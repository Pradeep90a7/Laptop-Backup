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5.xml" ContentType="application/vnd.openxmlformats-officedocument.spreadsheetml.comments+xml"/>
  <Override PartName="/xl/drawings/drawing2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puppala\Documents\Data Backup\CG Work\Brakes\Brakes OMMi\"/>
    </mc:Choice>
  </mc:AlternateContent>
  <bookViews>
    <workbookView xWindow="-12" yWindow="-12" windowWidth="19248" windowHeight="7140" tabRatio="774" firstSheet="8" activeTab="13"/>
  </bookViews>
  <sheets>
    <sheet name="20k Cross Ref (ODM)" sheetId="37" state="hidden" r:id="rId1"/>
    <sheet name="20k Cross Ref (DSSubject)" sheetId="38" state="hidden" r:id="rId2"/>
    <sheet name="20k Cross Ref (SD)-root" sheetId="40" state="hidden" r:id="rId3"/>
    <sheet name="20k Cross Ref (SD)" sheetId="55" state="hidden" r:id="rId4"/>
    <sheet name="Control Panel" sheetId="16" r:id="rId5"/>
    <sheet name="1. Overview (OMMi)" sheetId="9" r:id="rId6"/>
    <sheet name="2. Instructions (OMMi)" sheetId="8" r:id="rId7"/>
    <sheet name="3. CSA STAR - Guidance" sheetId="17" r:id="rId8"/>
    <sheet name="Report (OMMi) - Var 1" sheetId="1" r:id="rId9"/>
    <sheet name="Report (OMMi) - Var 2" sheetId="56" r:id="rId10"/>
    <sheet name="Report (OMMi) - Var 3" sheetId="57" r:id="rId11"/>
    <sheet name="4. ODM Scoring (OMMi)" sheetId="2" r:id="rId12"/>
    <sheet name="4.1 Service Desk" sheetId="39" r:id="rId13"/>
    <sheet name="5. Subject 1 Scoring (OMMi)" sheetId="15" r:id="rId14"/>
    <sheet name="6. Subject 2 Scoring (OMMi)" sheetId="58" r:id="rId15"/>
    <sheet name="7. Subject 3 Scoring (OMMi)" sheetId="59" r:id="rId16"/>
    <sheet name="8. Subject 4 Scoring (OMMi)" sheetId="60" r:id="rId17"/>
    <sheet name="9. Subject 5 Scoring (OMMi)" sheetId="61" r:id="rId18"/>
    <sheet name="10. Subject 6 Scoring (OMMi)" sheetId="62" r:id="rId19"/>
    <sheet name="11. Subject 7 Scoring (OMMi)" sheetId="63" r:id="rId20"/>
    <sheet name="12. Subject 8 Scoring (OMMi)" sheetId="64" r:id="rId21"/>
    <sheet name="13. Subject 9 Scoring (OMMi)" sheetId="65" r:id="rId22"/>
    <sheet name="14. Subject 10 Scoring (OMMi)" sheetId="66" r:id="rId23"/>
    <sheet name="15. Subject 11 Scoring (OMMi)" sheetId="67" r:id="rId24"/>
    <sheet name="16. Subject 12 Scoring (OMMi)" sheetId="68" r:id="rId25"/>
    <sheet name="17. Subject 13 Scoring (OMMi)" sheetId="69" r:id="rId26"/>
    <sheet name="18. Subject 14 Scoring (OMMi)" sheetId="70" r:id="rId27"/>
    <sheet name="19. Subject 15 Scoring (OMMi)" sheetId="71" r:id="rId28"/>
    <sheet name="20k-1 2018_9k 2015 (ISO)" sheetId="14" r:id="rId29"/>
    <sheet name="Document Control" sheetId="3" state="hidden" r:id="rId30"/>
    <sheet name="LookUps" sheetId="4" state="hidden" r:id="rId31"/>
  </sheets>
  <definedNames>
    <definedName name="_xlnm._FilterDatabase" localSheetId="18" hidden="1">'10. Subject 6 Scoring (OMMi)'!$B$4:$L$100</definedName>
    <definedName name="_xlnm._FilterDatabase" localSheetId="19" hidden="1">'11. Subject 7 Scoring (OMMi)'!$B$4:$L$100</definedName>
    <definedName name="_xlnm._FilterDatabase" localSheetId="20" hidden="1">'12. Subject 8 Scoring (OMMi)'!$B$4:$L$100</definedName>
    <definedName name="_xlnm._FilterDatabase" localSheetId="21" hidden="1">'13. Subject 9 Scoring (OMMi)'!$B$4:$L$100</definedName>
    <definedName name="_xlnm._FilterDatabase" localSheetId="22" hidden="1">'14. Subject 10 Scoring (OMMi)'!$B$4:$L$100</definedName>
    <definedName name="_xlnm._FilterDatabase" localSheetId="23" hidden="1">'15. Subject 11 Scoring (OMMi)'!$B$4:$L$100</definedName>
    <definedName name="_xlnm._FilterDatabase" localSheetId="24" hidden="1">'16. Subject 12 Scoring (OMMi)'!$B$4:$L$100</definedName>
    <definedName name="_xlnm._FilterDatabase" localSheetId="25" hidden="1">'17. Subject 13 Scoring (OMMi)'!$B$4:$L$100</definedName>
    <definedName name="_xlnm._FilterDatabase" localSheetId="26" hidden="1">'18. Subject 14 Scoring (OMMi)'!$B$4:$L$100</definedName>
    <definedName name="_xlnm._FilterDatabase" localSheetId="27" hidden="1">'19. Subject 15 Scoring (OMMi)'!$B$4:$L$100</definedName>
    <definedName name="_xlnm._FilterDatabase" localSheetId="1" hidden="1">'20k Cross Ref (DSSubject)'!$B$3:$BV$99</definedName>
    <definedName name="_xlnm._FilterDatabase" localSheetId="3" hidden="1">'20k Cross Ref (SD)'!$B$3:$BV$205</definedName>
    <definedName name="_xlnm._FilterDatabase" localSheetId="28" hidden="1">'20k-1 2018_9k 2015 (ISO)'!$B$3:$R$214</definedName>
    <definedName name="_xlnm._FilterDatabase" localSheetId="11" hidden="1">'4. ODM Scoring (OMMi)'!$B$4:$L$17</definedName>
    <definedName name="_xlnm._FilterDatabase" localSheetId="12" hidden="1">'4.1 Service Desk'!$B$4:$L$206</definedName>
    <definedName name="_xlnm._FilterDatabase" localSheetId="13" hidden="1">'5. Subject 1 Scoring (OMMi)'!$B$4:$L$100</definedName>
    <definedName name="_xlnm._FilterDatabase" localSheetId="14" hidden="1">'6. Subject 2 Scoring (OMMi)'!$B$4:$L$100</definedName>
    <definedName name="_xlnm._FilterDatabase" localSheetId="15" hidden="1">'7. Subject 3 Scoring (OMMi)'!$B$4:$L$100</definedName>
    <definedName name="_xlnm._FilterDatabase" localSheetId="16" hidden="1">'8. Subject 4 Scoring (OMMi)'!$B$4:$L$100</definedName>
    <definedName name="_xlnm._FilterDatabase" localSheetId="17" hidden="1">'9. Subject 5 Scoring (OMMi)'!$B$4:$L$100</definedName>
    <definedName name="Finding_Type">LookUps!$F$3:$F$11</definedName>
    <definedName name="Scores">LookUps!$B$3:$B$18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82" i="39" l="1"/>
  <c r="N183" i="39"/>
  <c r="J183" i="39"/>
  <c r="I183" i="39"/>
  <c r="H183" i="39"/>
  <c r="V34" i="1" l="1"/>
  <c r="V30" i="1"/>
  <c r="V26" i="1"/>
  <c r="V25" i="1"/>
  <c r="V22" i="1"/>
  <c r="V21" i="1"/>
  <c r="V18" i="1"/>
  <c r="V17" i="1"/>
  <c r="F2" i="71"/>
  <c r="F2" i="70"/>
  <c r="N100" i="71"/>
  <c r="J100" i="71"/>
  <c r="I100" i="71"/>
  <c r="H100" i="71"/>
  <c r="N99" i="71"/>
  <c r="J99" i="71"/>
  <c r="I99" i="71"/>
  <c r="H99" i="71"/>
  <c r="N98" i="71"/>
  <c r="J98" i="71"/>
  <c r="I98" i="71"/>
  <c r="H98" i="71"/>
  <c r="N97" i="71"/>
  <c r="J97" i="71"/>
  <c r="I97" i="71"/>
  <c r="H97" i="71"/>
  <c r="N96" i="71"/>
  <c r="J96" i="71"/>
  <c r="I96" i="71"/>
  <c r="H96" i="71"/>
  <c r="N95" i="71"/>
  <c r="J95" i="71"/>
  <c r="V37" i="1" s="1"/>
  <c r="I95" i="71"/>
  <c r="H95" i="71"/>
  <c r="G94" i="71"/>
  <c r="N94" i="71" s="1"/>
  <c r="N93" i="71"/>
  <c r="J93" i="71"/>
  <c r="I93" i="71"/>
  <c r="H93" i="71"/>
  <c r="N92" i="71"/>
  <c r="J92" i="71"/>
  <c r="I92" i="71"/>
  <c r="H92" i="71"/>
  <c r="N91" i="71"/>
  <c r="J91" i="71"/>
  <c r="I91" i="71"/>
  <c r="H91" i="71"/>
  <c r="N90" i="71"/>
  <c r="J90" i="71"/>
  <c r="I90" i="71"/>
  <c r="H90" i="71"/>
  <c r="N89" i="71"/>
  <c r="J89" i="71"/>
  <c r="I89" i="71"/>
  <c r="H89" i="71"/>
  <c r="N88" i="71"/>
  <c r="J88" i="71"/>
  <c r="V36" i="1" s="1"/>
  <c r="I88" i="71"/>
  <c r="H88" i="71"/>
  <c r="G87" i="71"/>
  <c r="I87" i="71" s="1"/>
  <c r="N86" i="71"/>
  <c r="J86" i="71"/>
  <c r="I86" i="71"/>
  <c r="H86" i="71"/>
  <c r="N85" i="71"/>
  <c r="J85" i="71"/>
  <c r="I85" i="71"/>
  <c r="H85" i="71"/>
  <c r="N84" i="71"/>
  <c r="J84" i="71"/>
  <c r="I84" i="71"/>
  <c r="H84" i="71"/>
  <c r="N83" i="71"/>
  <c r="J83" i="71"/>
  <c r="I83" i="71"/>
  <c r="H83" i="71"/>
  <c r="N82" i="71"/>
  <c r="J82" i="71"/>
  <c r="I82" i="71"/>
  <c r="H82" i="71"/>
  <c r="N81" i="71"/>
  <c r="J81" i="71"/>
  <c r="V35" i="1" s="1"/>
  <c r="I81" i="71"/>
  <c r="H81" i="71"/>
  <c r="N80" i="71"/>
  <c r="I80" i="71"/>
  <c r="G80" i="71"/>
  <c r="N79" i="71"/>
  <c r="J79" i="71"/>
  <c r="I79" i="71"/>
  <c r="H79" i="71"/>
  <c r="N78" i="71"/>
  <c r="J78" i="71"/>
  <c r="I78" i="71"/>
  <c r="H78" i="71"/>
  <c r="N77" i="71"/>
  <c r="J77" i="71"/>
  <c r="I77" i="71"/>
  <c r="H77" i="71"/>
  <c r="N76" i="71"/>
  <c r="J76" i="71"/>
  <c r="I76" i="71"/>
  <c r="H76" i="71"/>
  <c r="N75" i="71"/>
  <c r="J75" i="71"/>
  <c r="I75" i="71"/>
  <c r="H75" i="71"/>
  <c r="N74" i="71"/>
  <c r="J74" i="71"/>
  <c r="I74" i="71"/>
  <c r="H74" i="71"/>
  <c r="G73" i="71"/>
  <c r="N73" i="71" s="1"/>
  <c r="N72" i="71"/>
  <c r="J72" i="71"/>
  <c r="I72" i="71"/>
  <c r="H72" i="71"/>
  <c r="N71" i="71"/>
  <c r="J71" i="71"/>
  <c r="I71" i="71"/>
  <c r="H71" i="71"/>
  <c r="N70" i="71"/>
  <c r="J70" i="71"/>
  <c r="I70" i="71"/>
  <c r="H70" i="71"/>
  <c r="N69" i="71"/>
  <c r="J69" i="71"/>
  <c r="I69" i="71"/>
  <c r="H69" i="71"/>
  <c r="N68" i="71"/>
  <c r="J68" i="71"/>
  <c r="I68" i="71"/>
  <c r="H68" i="71"/>
  <c r="N67" i="71"/>
  <c r="J67" i="71"/>
  <c r="V33" i="1" s="1"/>
  <c r="I67" i="71"/>
  <c r="H67" i="71"/>
  <c r="G66" i="71"/>
  <c r="N66" i="71" s="1"/>
  <c r="N65" i="71"/>
  <c r="J65" i="71"/>
  <c r="I65" i="71"/>
  <c r="H65" i="71"/>
  <c r="N64" i="71"/>
  <c r="J64" i="71"/>
  <c r="V32" i="1" s="1"/>
  <c r="I64" i="71"/>
  <c r="H64" i="71"/>
  <c r="N63" i="71"/>
  <c r="G63" i="71"/>
  <c r="I63" i="71" s="1"/>
  <c r="N62" i="71"/>
  <c r="J62" i="71"/>
  <c r="I62" i="71"/>
  <c r="H62" i="71"/>
  <c r="N61" i="71"/>
  <c r="J61" i="71"/>
  <c r="I61" i="71"/>
  <c r="H61" i="71"/>
  <c r="N60" i="71"/>
  <c r="J60" i="71"/>
  <c r="V31" i="1" s="1"/>
  <c r="I60" i="71"/>
  <c r="H60" i="71"/>
  <c r="G59" i="71"/>
  <c r="I59" i="71" s="1"/>
  <c r="N58" i="71"/>
  <c r="J58" i="71"/>
  <c r="I58" i="71"/>
  <c r="H58" i="71"/>
  <c r="N57" i="71"/>
  <c r="J57" i="71"/>
  <c r="I57" i="71"/>
  <c r="H57" i="71"/>
  <c r="N56" i="71"/>
  <c r="J56" i="71"/>
  <c r="I56" i="71"/>
  <c r="H56" i="71"/>
  <c r="N55" i="71"/>
  <c r="J55" i="71"/>
  <c r="I55" i="71"/>
  <c r="H55" i="71"/>
  <c r="N54" i="71"/>
  <c r="J54" i="71"/>
  <c r="I54" i="71"/>
  <c r="H54" i="71"/>
  <c r="N53" i="71"/>
  <c r="J53" i="71"/>
  <c r="I53" i="71"/>
  <c r="H53" i="71"/>
  <c r="G52" i="71"/>
  <c r="N52" i="71" s="1"/>
  <c r="N51" i="71"/>
  <c r="J51" i="71"/>
  <c r="I51" i="71"/>
  <c r="H51" i="71"/>
  <c r="N50" i="71"/>
  <c r="J50" i="71"/>
  <c r="I50" i="71"/>
  <c r="H50" i="71"/>
  <c r="N49" i="71"/>
  <c r="J49" i="71"/>
  <c r="I49" i="71"/>
  <c r="H49" i="71"/>
  <c r="N48" i="71"/>
  <c r="J48" i="71"/>
  <c r="I48" i="71"/>
  <c r="H48" i="71"/>
  <c r="N47" i="71"/>
  <c r="J47" i="71"/>
  <c r="I47" i="71"/>
  <c r="H47" i="71"/>
  <c r="N46" i="71"/>
  <c r="J46" i="71"/>
  <c r="I46" i="71"/>
  <c r="H46" i="71"/>
  <c r="N45" i="71"/>
  <c r="J45" i="71"/>
  <c r="I45" i="71"/>
  <c r="H45" i="71"/>
  <c r="N44" i="71"/>
  <c r="J44" i="71"/>
  <c r="V29" i="1" s="1"/>
  <c r="I44" i="71"/>
  <c r="H44" i="71"/>
  <c r="G43" i="71"/>
  <c r="N43" i="71" s="1"/>
  <c r="N42" i="71"/>
  <c r="J42" i="71"/>
  <c r="I42" i="71"/>
  <c r="H42" i="71"/>
  <c r="N41" i="71"/>
  <c r="J41" i="71"/>
  <c r="I41" i="71"/>
  <c r="H41" i="71"/>
  <c r="N40" i="71"/>
  <c r="J40" i="71"/>
  <c r="I40" i="71"/>
  <c r="H40" i="71"/>
  <c r="N39" i="71"/>
  <c r="J39" i="71"/>
  <c r="I39" i="71"/>
  <c r="H39" i="71"/>
  <c r="N38" i="71"/>
  <c r="J38" i="71"/>
  <c r="I38" i="71"/>
  <c r="H38" i="71"/>
  <c r="N37" i="71"/>
  <c r="J37" i="71"/>
  <c r="V28" i="1" s="1"/>
  <c r="I37" i="71"/>
  <c r="H37" i="71"/>
  <c r="G36" i="71"/>
  <c r="I36" i="71" s="1"/>
  <c r="N35" i="71"/>
  <c r="J35" i="71"/>
  <c r="I35" i="71"/>
  <c r="H35" i="71"/>
  <c r="N34" i="71"/>
  <c r="J34" i="71"/>
  <c r="I34" i="71"/>
  <c r="H34" i="71"/>
  <c r="N33" i="71"/>
  <c r="J33" i="71"/>
  <c r="I33" i="71"/>
  <c r="H33" i="71"/>
  <c r="N32" i="71"/>
  <c r="J32" i="71"/>
  <c r="I32" i="71"/>
  <c r="H32" i="71"/>
  <c r="N31" i="71"/>
  <c r="J31" i="71"/>
  <c r="I31" i="71"/>
  <c r="H31" i="71"/>
  <c r="N30" i="71"/>
  <c r="J30" i="71"/>
  <c r="I30" i="71"/>
  <c r="H30" i="71"/>
  <c r="N29" i="71"/>
  <c r="J29" i="71"/>
  <c r="I29" i="71"/>
  <c r="H29" i="71"/>
  <c r="N28" i="71"/>
  <c r="J28" i="71"/>
  <c r="I28" i="71"/>
  <c r="H28" i="71"/>
  <c r="N27" i="71"/>
  <c r="J27" i="71"/>
  <c r="V24" i="1" s="1"/>
  <c r="I27" i="71"/>
  <c r="H27" i="71"/>
  <c r="N26" i="71"/>
  <c r="J26" i="71"/>
  <c r="I26" i="71"/>
  <c r="H26" i="71"/>
  <c r="N25" i="71"/>
  <c r="J25" i="71"/>
  <c r="I25" i="71"/>
  <c r="H25" i="71"/>
  <c r="N24" i="71"/>
  <c r="J24" i="71"/>
  <c r="I24" i="71"/>
  <c r="H24" i="71"/>
  <c r="N23" i="71"/>
  <c r="J23" i="71"/>
  <c r="V23" i="1" s="1"/>
  <c r="I23" i="71"/>
  <c r="H23" i="71"/>
  <c r="N22" i="71"/>
  <c r="J22" i="71"/>
  <c r="I22" i="71"/>
  <c r="H22" i="71"/>
  <c r="N21" i="71"/>
  <c r="J21" i="71"/>
  <c r="I21" i="71"/>
  <c r="H21" i="71"/>
  <c r="N20" i="71"/>
  <c r="J20" i="71"/>
  <c r="I20" i="71"/>
  <c r="H20" i="71"/>
  <c r="N19" i="71"/>
  <c r="J19" i="71"/>
  <c r="I19" i="71"/>
  <c r="H19" i="71"/>
  <c r="N18" i="71"/>
  <c r="J18" i="71"/>
  <c r="I18" i="71"/>
  <c r="H18" i="71"/>
  <c r="N17" i="71"/>
  <c r="J17" i="71"/>
  <c r="I17" i="71"/>
  <c r="H17" i="71"/>
  <c r="N16" i="71"/>
  <c r="J16" i="71"/>
  <c r="I16" i="71"/>
  <c r="H16" i="71"/>
  <c r="N15" i="71"/>
  <c r="J15" i="71"/>
  <c r="I15" i="71"/>
  <c r="H15" i="71"/>
  <c r="N14" i="71"/>
  <c r="J14" i="71"/>
  <c r="I14" i="71"/>
  <c r="H14" i="71"/>
  <c r="G13" i="71"/>
  <c r="N13" i="71" s="1"/>
  <c r="N12" i="71"/>
  <c r="J12" i="71"/>
  <c r="I12" i="71"/>
  <c r="H12" i="71"/>
  <c r="N11" i="71"/>
  <c r="J11" i="71"/>
  <c r="V20" i="1" s="1"/>
  <c r="I11" i="71"/>
  <c r="H11" i="71"/>
  <c r="N10" i="71"/>
  <c r="J10" i="71"/>
  <c r="I10" i="71"/>
  <c r="H10" i="71"/>
  <c r="N9" i="71"/>
  <c r="J9" i="71"/>
  <c r="I9" i="71"/>
  <c r="H9" i="71"/>
  <c r="N8" i="71"/>
  <c r="J8" i="71"/>
  <c r="V19" i="1" s="1"/>
  <c r="I8" i="71"/>
  <c r="H8" i="71"/>
  <c r="N7" i="71"/>
  <c r="J7" i="71"/>
  <c r="I7" i="71"/>
  <c r="H7" i="71"/>
  <c r="N6" i="71"/>
  <c r="J6" i="71"/>
  <c r="I6" i="71"/>
  <c r="H6" i="71"/>
  <c r="N5" i="71"/>
  <c r="J5" i="71"/>
  <c r="V12" i="1" s="1"/>
  <c r="I5" i="71"/>
  <c r="H5" i="71"/>
  <c r="E2" i="71"/>
  <c r="N36" i="71" l="1"/>
  <c r="I13" i="71"/>
  <c r="N59" i="71"/>
  <c r="N87" i="71"/>
  <c r="I52" i="71"/>
  <c r="I73" i="71"/>
  <c r="I66" i="71"/>
  <c r="I94" i="71"/>
  <c r="I43" i="71"/>
  <c r="U35" i="1"/>
  <c r="U31" i="1"/>
  <c r="U26" i="1"/>
  <c r="U22" i="1"/>
  <c r="N100" i="70"/>
  <c r="J100" i="70"/>
  <c r="I100" i="70"/>
  <c r="H100" i="70"/>
  <c r="N99" i="70"/>
  <c r="J99" i="70"/>
  <c r="I99" i="70"/>
  <c r="H99" i="70"/>
  <c r="N98" i="70"/>
  <c r="J98" i="70"/>
  <c r="I98" i="70"/>
  <c r="H98" i="70"/>
  <c r="N97" i="70"/>
  <c r="J97" i="70"/>
  <c r="I97" i="70"/>
  <c r="H97" i="70"/>
  <c r="N96" i="70"/>
  <c r="J96" i="70"/>
  <c r="I96" i="70"/>
  <c r="H96" i="70"/>
  <c r="N95" i="70"/>
  <c r="J95" i="70"/>
  <c r="U37" i="1" s="1"/>
  <c r="I95" i="70"/>
  <c r="H95" i="70"/>
  <c r="G94" i="70"/>
  <c r="N94" i="70" s="1"/>
  <c r="N93" i="70"/>
  <c r="J93" i="70"/>
  <c r="I93" i="70"/>
  <c r="H93" i="70"/>
  <c r="N92" i="70"/>
  <c r="J92" i="70"/>
  <c r="I92" i="70"/>
  <c r="H92" i="70"/>
  <c r="N91" i="70"/>
  <c r="J91" i="70"/>
  <c r="I91" i="70"/>
  <c r="H91" i="70"/>
  <c r="N90" i="70"/>
  <c r="J90" i="70"/>
  <c r="I90" i="70"/>
  <c r="H90" i="70"/>
  <c r="N89" i="70"/>
  <c r="J89" i="70"/>
  <c r="I89" i="70"/>
  <c r="H89" i="70"/>
  <c r="N88" i="70"/>
  <c r="J88" i="70"/>
  <c r="U36" i="1" s="1"/>
  <c r="I88" i="70"/>
  <c r="H88" i="70"/>
  <c r="N87" i="70"/>
  <c r="G87" i="70"/>
  <c r="I87" i="70" s="1"/>
  <c r="N86" i="70"/>
  <c r="J86" i="70"/>
  <c r="I86" i="70"/>
  <c r="H86" i="70"/>
  <c r="N85" i="70"/>
  <c r="J85" i="70"/>
  <c r="I85" i="70"/>
  <c r="H85" i="70"/>
  <c r="N84" i="70"/>
  <c r="J84" i="70"/>
  <c r="I84" i="70"/>
  <c r="H84" i="70"/>
  <c r="N83" i="70"/>
  <c r="J83" i="70"/>
  <c r="I83" i="70"/>
  <c r="H83" i="70"/>
  <c r="N82" i="70"/>
  <c r="J82" i="70"/>
  <c r="I82" i="70"/>
  <c r="H82" i="70"/>
  <c r="N81" i="70"/>
  <c r="J81" i="70"/>
  <c r="I81" i="70"/>
  <c r="H81" i="70"/>
  <c r="G80" i="70"/>
  <c r="N80" i="70" s="1"/>
  <c r="N79" i="70"/>
  <c r="J79" i="70"/>
  <c r="I79" i="70"/>
  <c r="H79" i="70"/>
  <c r="N78" i="70"/>
  <c r="J78" i="70"/>
  <c r="I78" i="70"/>
  <c r="H78" i="70"/>
  <c r="N77" i="70"/>
  <c r="J77" i="70"/>
  <c r="I77" i="70"/>
  <c r="H77" i="70"/>
  <c r="N76" i="70"/>
  <c r="J76" i="70"/>
  <c r="I76" i="70"/>
  <c r="H76" i="70"/>
  <c r="N75" i="70"/>
  <c r="J75" i="70"/>
  <c r="I75" i="70"/>
  <c r="H75" i="70"/>
  <c r="N74" i="70"/>
  <c r="J74" i="70"/>
  <c r="U34" i="1" s="1"/>
  <c r="I74" i="70"/>
  <c r="H74" i="70"/>
  <c r="G73" i="70"/>
  <c r="N73" i="70" s="1"/>
  <c r="N72" i="70"/>
  <c r="J72" i="70"/>
  <c r="I72" i="70"/>
  <c r="H72" i="70"/>
  <c r="N71" i="70"/>
  <c r="J71" i="70"/>
  <c r="I71" i="70"/>
  <c r="H71" i="70"/>
  <c r="N70" i="70"/>
  <c r="J70" i="70"/>
  <c r="I70" i="70"/>
  <c r="H70" i="70"/>
  <c r="N69" i="70"/>
  <c r="J69" i="70"/>
  <c r="I69" i="70"/>
  <c r="H69" i="70"/>
  <c r="N68" i="70"/>
  <c r="J68" i="70"/>
  <c r="I68" i="70"/>
  <c r="H68" i="70"/>
  <c r="N67" i="70"/>
  <c r="J67" i="70"/>
  <c r="U33" i="1" s="1"/>
  <c r="I67" i="70"/>
  <c r="H67" i="70"/>
  <c r="G66" i="70"/>
  <c r="N66" i="70" s="1"/>
  <c r="N65" i="70"/>
  <c r="J65" i="70"/>
  <c r="I65" i="70"/>
  <c r="H65" i="70"/>
  <c r="N64" i="70"/>
  <c r="J64" i="70"/>
  <c r="U32" i="1" s="1"/>
  <c r="I64" i="70"/>
  <c r="H64" i="70"/>
  <c r="G63" i="70"/>
  <c r="I63" i="70" s="1"/>
  <c r="N62" i="70"/>
  <c r="J62" i="70"/>
  <c r="I62" i="70"/>
  <c r="H62" i="70"/>
  <c r="N61" i="70"/>
  <c r="J61" i="70"/>
  <c r="I61" i="70"/>
  <c r="H61" i="70"/>
  <c r="N60" i="70"/>
  <c r="J60" i="70"/>
  <c r="I60" i="70"/>
  <c r="H60" i="70"/>
  <c r="I59" i="70"/>
  <c r="G59" i="70"/>
  <c r="N59" i="70" s="1"/>
  <c r="N58" i="70"/>
  <c r="J58" i="70"/>
  <c r="I58" i="70"/>
  <c r="H58" i="70"/>
  <c r="N57" i="70"/>
  <c r="J57" i="70"/>
  <c r="I57" i="70"/>
  <c r="H57" i="70"/>
  <c r="N56" i="70"/>
  <c r="J56" i="70"/>
  <c r="I56" i="70"/>
  <c r="H56" i="70"/>
  <c r="N55" i="70"/>
  <c r="J55" i="70"/>
  <c r="I55" i="70"/>
  <c r="H55" i="70"/>
  <c r="N54" i="70"/>
  <c r="J54" i="70"/>
  <c r="I54" i="70"/>
  <c r="H54" i="70"/>
  <c r="N53" i="70"/>
  <c r="J53" i="70"/>
  <c r="U30" i="1" s="1"/>
  <c r="I53" i="70"/>
  <c r="H53" i="70"/>
  <c r="G52" i="70"/>
  <c r="N52" i="70" s="1"/>
  <c r="N51" i="70"/>
  <c r="J51" i="70"/>
  <c r="I51" i="70"/>
  <c r="H51" i="70"/>
  <c r="N50" i="70"/>
  <c r="J50" i="70"/>
  <c r="I50" i="70"/>
  <c r="H50" i="70"/>
  <c r="N49" i="70"/>
  <c r="J49" i="70"/>
  <c r="I49" i="70"/>
  <c r="H49" i="70"/>
  <c r="N48" i="70"/>
  <c r="J48" i="70"/>
  <c r="I48" i="70"/>
  <c r="H48" i="70"/>
  <c r="N47" i="70"/>
  <c r="J47" i="70"/>
  <c r="I47" i="70"/>
  <c r="H47" i="70"/>
  <c r="N46" i="70"/>
  <c r="J46" i="70"/>
  <c r="I46" i="70"/>
  <c r="H46" i="70"/>
  <c r="N45" i="70"/>
  <c r="J45" i="70"/>
  <c r="I45" i="70"/>
  <c r="H45" i="70"/>
  <c r="N44" i="70"/>
  <c r="J44" i="70"/>
  <c r="U29" i="1" s="1"/>
  <c r="I44" i="70"/>
  <c r="H44" i="70"/>
  <c r="G43" i="70"/>
  <c r="N43" i="70" s="1"/>
  <c r="N42" i="70"/>
  <c r="J42" i="70"/>
  <c r="I42" i="70"/>
  <c r="H42" i="70"/>
  <c r="N41" i="70"/>
  <c r="J41" i="70"/>
  <c r="I41" i="70"/>
  <c r="H41" i="70"/>
  <c r="N40" i="70"/>
  <c r="J40" i="70"/>
  <c r="I40" i="70"/>
  <c r="H40" i="70"/>
  <c r="N39" i="70"/>
  <c r="J39" i="70"/>
  <c r="I39" i="70"/>
  <c r="H39" i="70"/>
  <c r="N38" i="70"/>
  <c r="J38" i="70"/>
  <c r="I38" i="70"/>
  <c r="H38" i="70"/>
  <c r="N37" i="70"/>
  <c r="J37" i="70"/>
  <c r="U28" i="1" s="1"/>
  <c r="I37" i="70"/>
  <c r="H37" i="70"/>
  <c r="N36" i="70"/>
  <c r="G36" i="70"/>
  <c r="I36" i="70" s="1"/>
  <c r="N35" i="70"/>
  <c r="J35" i="70"/>
  <c r="I35" i="70"/>
  <c r="H35" i="70"/>
  <c r="N34" i="70"/>
  <c r="J34" i="70"/>
  <c r="I34" i="70"/>
  <c r="H34" i="70"/>
  <c r="N33" i="70"/>
  <c r="J33" i="70"/>
  <c r="U25" i="1" s="1"/>
  <c r="I33" i="70"/>
  <c r="H33" i="70"/>
  <c r="N32" i="70"/>
  <c r="J32" i="70"/>
  <c r="I32" i="70"/>
  <c r="H32" i="70"/>
  <c r="N31" i="70"/>
  <c r="J31" i="70"/>
  <c r="I31" i="70"/>
  <c r="H31" i="70"/>
  <c r="N30" i="70"/>
  <c r="J30" i="70"/>
  <c r="I30" i="70"/>
  <c r="H30" i="70"/>
  <c r="N29" i="70"/>
  <c r="J29" i="70"/>
  <c r="I29" i="70"/>
  <c r="H29" i="70"/>
  <c r="N28" i="70"/>
  <c r="J28" i="70"/>
  <c r="I28" i="70"/>
  <c r="H28" i="70"/>
  <c r="N27" i="70"/>
  <c r="J27" i="70"/>
  <c r="U24" i="1" s="1"/>
  <c r="I27" i="70"/>
  <c r="H27" i="70"/>
  <c r="N26" i="70"/>
  <c r="J26" i="70"/>
  <c r="I26" i="70"/>
  <c r="H26" i="70"/>
  <c r="N25" i="70"/>
  <c r="J25" i="70"/>
  <c r="I25" i="70"/>
  <c r="H25" i="70"/>
  <c r="N24" i="70"/>
  <c r="J24" i="70"/>
  <c r="I24" i="70"/>
  <c r="H24" i="70"/>
  <c r="N23" i="70"/>
  <c r="J23" i="70"/>
  <c r="U23" i="1" s="1"/>
  <c r="I23" i="70"/>
  <c r="H23" i="70"/>
  <c r="N22" i="70"/>
  <c r="J22" i="70"/>
  <c r="I22" i="70"/>
  <c r="H22" i="70"/>
  <c r="N21" i="70"/>
  <c r="J21" i="70"/>
  <c r="I21" i="70"/>
  <c r="H21" i="70"/>
  <c r="N20" i="70"/>
  <c r="J20" i="70"/>
  <c r="I20" i="70"/>
  <c r="H20" i="70"/>
  <c r="N19" i="70"/>
  <c r="J19" i="70"/>
  <c r="I19" i="70"/>
  <c r="H19" i="70"/>
  <c r="N18" i="70"/>
  <c r="J18" i="70"/>
  <c r="I18" i="70"/>
  <c r="H18" i="70"/>
  <c r="N17" i="70"/>
  <c r="J17" i="70"/>
  <c r="I17" i="70"/>
  <c r="H17" i="70"/>
  <c r="N16" i="70"/>
  <c r="J16" i="70"/>
  <c r="I16" i="70"/>
  <c r="H16" i="70"/>
  <c r="N15" i="70"/>
  <c r="J15" i="70"/>
  <c r="I15" i="70"/>
  <c r="H15" i="70"/>
  <c r="N14" i="70"/>
  <c r="J14" i="70"/>
  <c r="U21" i="1" s="1"/>
  <c r="I14" i="70"/>
  <c r="H14" i="70"/>
  <c r="N13" i="70"/>
  <c r="I13" i="70"/>
  <c r="G13" i="70"/>
  <c r="N12" i="70"/>
  <c r="J12" i="70"/>
  <c r="I12" i="70"/>
  <c r="H12" i="70"/>
  <c r="N11" i="70"/>
  <c r="J11" i="70"/>
  <c r="U20" i="1" s="1"/>
  <c r="I11" i="70"/>
  <c r="H11" i="70"/>
  <c r="N10" i="70"/>
  <c r="J10" i="70"/>
  <c r="I10" i="70"/>
  <c r="H10" i="70"/>
  <c r="N9" i="70"/>
  <c r="J9" i="70"/>
  <c r="I9" i="70"/>
  <c r="H9" i="70"/>
  <c r="N8" i="70"/>
  <c r="J8" i="70"/>
  <c r="U19" i="1" s="1"/>
  <c r="I8" i="70"/>
  <c r="H8" i="70"/>
  <c r="N7" i="70"/>
  <c r="J7" i="70"/>
  <c r="U18" i="1" s="1"/>
  <c r="I7" i="70"/>
  <c r="H7" i="70"/>
  <c r="N6" i="70"/>
  <c r="J6" i="70"/>
  <c r="I6" i="70"/>
  <c r="H6" i="70"/>
  <c r="N5" i="70"/>
  <c r="J5" i="70"/>
  <c r="U17" i="1" s="1"/>
  <c r="I5" i="70"/>
  <c r="H5" i="70"/>
  <c r="E2" i="70"/>
  <c r="T37" i="1"/>
  <c r="T33" i="1"/>
  <c r="T20" i="1"/>
  <c r="F2" i="69"/>
  <c r="N100" i="69"/>
  <c r="J100" i="69"/>
  <c r="I100" i="69"/>
  <c r="H100" i="69"/>
  <c r="N99" i="69"/>
  <c r="J99" i="69"/>
  <c r="I99" i="69"/>
  <c r="H99" i="69"/>
  <c r="N98" i="69"/>
  <c r="J98" i="69"/>
  <c r="I98" i="69"/>
  <c r="H98" i="69"/>
  <c r="N97" i="69"/>
  <c r="J97" i="69"/>
  <c r="I97" i="69"/>
  <c r="H97" i="69"/>
  <c r="N96" i="69"/>
  <c r="J96" i="69"/>
  <c r="I96" i="69"/>
  <c r="H96" i="69"/>
  <c r="N95" i="69"/>
  <c r="J95" i="69"/>
  <c r="I95" i="69"/>
  <c r="H95" i="69"/>
  <c r="G94" i="69"/>
  <c r="N94" i="69" s="1"/>
  <c r="N93" i="69"/>
  <c r="J93" i="69"/>
  <c r="I93" i="69"/>
  <c r="H93" i="69"/>
  <c r="N92" i="69"/>
  <c r="J92" i="69"/>
  <c r="I92" i="69"/>
  <c r="H92" i="69"/>
  <c r="N91" i="69"/>
  <c r="J91" i="69"/>
  <c r="I91" i="69"/>
  <c r="H91" i="69"/>
  <c r="N90" i="69"/>
  <c r="J90" i="69"/>
  <c r="I90" i="69"/>
  <c r="H90" i="69"/>
  <c r="N89" i="69"/>
  <c r="J89" i="69"/>
  <c r="I89" i="69"/>
  <c r="H89" i="69"/>
  <c r="N88" i="69"/>
  <c r="J88" i="69"/>
  <c r="T36" i="1" s="1"/>
  <c r="I88" i="69"/>
  <c r="H88" i="69"/>
  <c r="G87" i="69"/>
  <c r="I87" i="69" s="1"/>
  <c r="N86" i="69"/>
  <c r="J86" i="69"/>
  <c r="I86" i="69"/>
  <c r="H86" i="69"/>
  <c r="N85" i="69"/>
  <c r="J85" i="69"/>
  <c r="I85" i="69"/>
  <c r="H85" i="69"/>
  <c r="N84" i="69"/>
  <c r="J84" i="69"/>
  <c r="I84" i="69"/>
  <c r="H84" i="69"/>
  <c r="N83" i="69"/>
  <c r="J83" i="69"/>
  <c r="I83" i="69"/>
  <c r="H83" i="69"/>
  <c r="N82" i="69"/>
  <c r="J82" i="69"/>
  <c r="I82" i="69"/>
  <c r="H82" i="69"/>
  <c r="N81" i="69"/>
  <c r="J81" i="69"/>
  <c r="T35" i="1" s="1"/>
  <c r="I81" i="69"/>
  <c r="H81" i="69"/>
  <c r="G80" i="69"/>
  <c r="N80" i="69" s="1"/>
  <c r="N79" i="69"/>
  <c r="J79" i="69"/>
  <c r="I79" i="69"/>
  <c r="H79" i="69"/>
  <c r="N78" i="69"/>
  <c r="J78" i="69"/>
  <c r="I78" i="69"/>
  <c r="H78" i="69"/>
  <c r="N77" i="69"/>
  <c r="J77" i="69"/>
  <c r="I77" i="69"/>
  <c r="H77" i="69"/>
  <c r="N76" i="69"/>
  <c r="J76" i="69"/>
  <c r="I76" i="69"/>
  <c r="H76" i="69"/>
  <c r="N75" i="69"/>
  <c r="J75" i="69"/>
  <c r="I75" i="69"/>
  <c r="H75" i="69"/>
  <c r="N74" i="69"/>
  <c r="J74" i="69"/>
  <c r="T34" i="1" s="1"/>
  <c r="I74" i="69"/>
  <c r="H74" i="69"/>
  <c r="G73" i="69"/>
  <c r="N73" i="69" s="1"/>
  <c r="N72" i="69"/>
  <c r="J72" i="69"/>
  <c r="I72" i="69"/>
  <c r="H72" i="69"/>
  <c r="N71" i="69"/>
  <c r="J71" i="69"/>
  <c r="I71" i="69"/>
  <c r="H71" i="69"/>
  <c r="N70" i="69"/>
  <c r="J70" i="69"/>
  <c r="I70" i="69"/>
  <c r="H70" i="69"/>
  <c r="N69" i="69"/>
  <c r="J69" i="69"/>
  <c r="I69" i="69"/>
  <c r="H69" i="69"/>
  <c r="N68" i="69"/>
  <c r="J68" i="69"/>
  <c r="I68" i="69"/>
  <c r="H68" i="69"/>
  <c r="N67" i="69"/>
  <c r="J67" i="69"/>
  <c r="I67" i="69"/>
  <c r="H67" i="69"/>
  <c r="I66" i="69"/>
  <c r="G66" i="69"/>
  <c r="N66" i="69" s="1"/>
  <c r="N65" i="69"/>
  <c r="J65" i="69"/>
  <c r="I65" i="69"/>
  <c r="H65" i="69"/>
  <c r="N64" i="69"/>
  <c r="J64" i="69"/>
  <c r="T32" i="1" s="1"/>
  <c r="I64" i="69"/>
  <c r="H64" i="69"/>
  <c r="N63" i="69"/>
  <c r="G63" i="69"/>
  <c r="I63" i="69" s="1"/>
  <c r="N62" i="69"/>
  <c r="J62" i="69"/>
  <c r="I62" i="69"/>
  <c r="H62" i="69"/>
  <c r="N61" i="69"/>
  <c r="J61" i="69"/>
  <c r="I61" i="69"/>
  <c r="H61" i="69"/>
  <c r="N60" i="69"/>
  <c r="J60" i="69"/>
  <c r="T31" i="1" s="1"/>
  <c r="I60" i="69"/>
  <c r="H60" i="69"/>
  <c r="I59" i="69"/>
  <c r="G59" i="69"/>
  <c r="N59" i="69" s="1"/>
  <c r="N58" i="69"/>
  <c r="J58" i="69"/>
  <c r="I58" i="69"/>
  <c r="H58" i="69"/>
  <c r="N57" i="69"/>
  <c r="J57" i="69"/>
  <c r="I57" i="69"/>
  <c r="H57" i="69"/>
  <c r="N56" i="69"/>
  <c r="J56" i="69"/>
  <c r="I56" i="69"/>
  <c r="H56" i="69"/>
  <c r="N55" i="69"/>
  <c r="J55" i="69"/>
  <c r="I55" i="69"/>
  <c r="H55" i="69"/>
  <c r="N54" i="69"/>
  <c r="J54" i="69"/>
  <c r="I54" i="69"/>
  <c r="H54" i="69"/>
  <c r="N53" i="69"/>
  <c r="J53" i="69"/>
  <c r="T30" i="1" s="1"/>
  <c r="I53" i="69"/>
  <c r="H53" i="69"/>
  <c r="G52" i="69"/>
  <c r="N52" i="69" s="1"/>
  <c r="N51" i="69"/>
  <c r="J51" i="69"/>
  <c r="I51" i="69"/>
  <c r="H51" i="69"/>
  <c r="N50" i="69"/>
  <c r="J50" i="69"/>
  <c r="I50" i="69"/>
  <c r="H50" i="69"/>
  <c r="N49" i="69"/>
  <c r="J49" i="69"/>
  <c r="I49" i="69"/>
  <c r="H49" i="69"/>
  <c r="N48" i="69"/>
  <c r="J48" i="69"/>
  <c r="I48" i="69"/>
  <c r="H48" i="69"/>
  <c r="N47" i="69"/>
  <c r="J47" i="69"/>
  <c r="I47" i="69"/>
  <c r="H47" i="69"/>
  <c r="N46" i="69"/>
  <c r="J46" i="69"/>
  <c r="I46" i="69"/>
  <c r="H46" i="69"/>
  <c r="N45" i="69"/>
  <c r="J45" i="69"/>
  <c r="I45" i="69"/>
  <c r="H45" i="69"/>
  <c r="N44" i="69"/>
  <c r="J44" i="69"/>
  <c r="T29" i="1" s="1"/>
  <c r="I44" i="69"/>
  <c r="H44" i="69"/>
  <c r="G43" i="69"/>
  <c r="N43" i="69" s="1"/>
  <c r="N42" i="69"/>
  <c r="J42" i="69"/>
  <c r="I42" i="69"/>
  <c r="H42" i="69"/>
  <c r="N41" i="69"/>
  <c r="J41" i="69"/>
  <c r="I41" i="69"/>
  <c r="H41" i="69"/>
  <c r="N40" i="69"/>
  <c r="J40" i="69"/>
  <c r="I40" i="69"/>
  <c r="H40" i="69"/>
  <c r="N39" i="69"/>
  <c r="J39" i="69"/>
  <c r="I39" i="69"/>
  <c r="H39" i="69"/>
  <c r="N38" i="69"/>
  <c r="J38" i="69"/>
  <c r="I38" i="69"/>
  <c r="H38" i="69"/>
  <c r="N37" i="69"/>
  <c r="J37" i="69"/>
  <c r="T28" i="1" s="1"/>
  <c r="I37" i="69"/>
  <c r="H37" i="69"/>
  <c r="N36" i="69"/>
  <c r="G36" i="69"/>
  <c r="I36" i="69" s="1"/>
  <c r="N35" i="69"/>
  <c r="J35" i="69"/>
  <c r="I35" i="69"/>
  <c r="H35" i="69"/>
  <c r="N34" i="69"/>
  <c r="J34" i="69"/>
  <c r="T26" i="1" s="1"/>
  <c r="I34" i="69"/>
  <c r="H34" i="69"/>
  <c r="N33" i="69"/>
  <c r="J33" i="69"/>
  <c r="T25" i="1" s="1"/>
  <c r="I33" i="69"/>
  <c r="H33" i="69"/>
  <c r="N32" i="69"/>
  <c r="J32" i="69"/>
  <c r="I32" i="69"/>
  <c r="H32" i="69"/>
  <c r="N31" i="69"/>
  <c r="J31" i="69"/>
  <c r="I31" i="69"/>
  <c r="H31" i="69"/>
  <c r="N30" i="69"/>
  <c r="J30" i="69"/>
  <c r="I30" i="69"/>
  <c r="H30" i="69"/>
  <c r="N29" i="69"/>
  <c r="J29" i="69"/>
  <c r="I29" i="69"/>
  <c r="H29" i="69"/>
  <c r="N28" i="69"/>
  <c r="J28" i="69"/>
  <c r="I28" i="69"/>
  <c r="H28" i="69"/>
  <c r="N27" i="69"/>
  <c r="J27" i="69"/>
  <c r="T24" i="1" s="1"/>
  <c r="I27" i="69"/>
  <c r="H27" i="69"/>
  <c r="N26" i="69"/>
  <c r="J26" i="69"/>
  <c r="I26" i="69"/>
  <c r="H26" i="69"/>
  <c r="N25" i="69"/>
  <c r="J25" i="69"/>
  <c r="I25" i="69"/>
  <c r="H25" i="69"/>
  <c r="N24" i="69"/>
  <c r="J24" i="69"/>
  <c r="I24" i="69"/>
  <c r="H24" i="69"/>
  <c r="N23" i="69"/>
  <c r="J23" i="69"/>
  <c r="T23" i="1" s="1"/>
  <c r="I23" i="69"/>
  <c r="H23" i="69"/>
  <c r="N22" i="69"/>
  <c r="J22" i="69"/>
  <c r="I22" i="69"/>
  <c r="H22" i="69"/>
  <c r="N21" i="69"/>
  <c r="J21" i="69"/>
  <c r="I21" i="69"/>
  <c r="H21" i="69"/>
  <c r="N20" i="69"/>
  <c r="J20" i="69"/>
  <c r="I20" i="69"/>
  <c r="H20" i="69"/>
  <c r="N19" i="69"/>
  <c r="J19" i="69"/>
  <c r="I19" i="69"/>
  <c r="H19" i="69"/>
  <c r="N18" i="69"/>
  <c r="J18" i="69"/>
  <c r="I18" i="69"/>
  <c r="H18" i="69"/>
  <c r="N17" i="69"/>
  <c r="J17" i="69"/>
  <c r="I17" i="69"/>
  <c r="H17" i="69"/>
  <c r="N16" i="69"/>
  <c r="J16" i="69"/>
  <c r="T22" i="1" s="1"/>
  <c r="I16" i="69"/>
  <c r="H16" i="69"/>
  <c r="N15" i="69"/>
  <c r="J15" i="69"/>
  <c r="I15" i="69"/>
  <c r="H15" i="69"/>
  <c r="N14" i="69"/>
  <c r="J14" i="69"/>
  <c r="T21" i="1" s="1"/>
  <c r="I14" i="69"/>
  <c r="H14" i="69"/>
  <c r="I13" i="69"/>
  <c r="G13" i="69"/>
  <c r="N13" i="69" s="1"/>
  <c r="N12" i="69"/>
  <c r="J12" i="69"/>
  <c r="I12" i="69"/>
  <c r="H12" i="69"/>
  <c r="N11" i="69"/>
  <c r="J11" i="69"/>
  <c r="I11" i="69"/>
  <c r="H11" i="69"/>
  <c r="N10" i="69"/>
  <c r="J10" i="69"/>
  <c r="I10" i="69"/>
  <c r="H10" i="69"/>
  <c r="N9" i="69"/>
  <c r="J9" i="69"/>
  <c r="I9" i="69"/>
  <c r="H9" i="69"/>
  <c r="N8" i="69"/>
  <c r="J8" i="69"/>
  <c r="T19" i="1" s="1"/>
  <c r="I8" i="69"/>
  <c r="H8" i="69"/>
  <c r="N7" i="69"/>
  <c r="J7" i="69"/>
  <c r="T18" i="1" s="1"/>
  <c r="I7" i="69"/>
  <c r="H7" i="69"/>
  <c r="N6" i="69"/>
  <c r="J6" i="69"/>
  <c r="I6" i="69"/>
  <c r="H6" i="69"/>
  <c r="N5" i="69"/>
  <c r="J5" i="69"/>
  <c r="T17" i="1" s="1"/>
  <c r="I5" i="69"/>
  <c r="H5" i="69"/>
  <c r="E2" i="69"/>
  <c r="S32" i="1"/>
  <c r="S28" i="1"/>
  <c r="S23" i="1"/>
  <c r="S19" i="1"/>
  <c r="F2" i="68"/>
  <c r="N100" i="68"/>
  <c r="J100" i="68"/>
  <c r="I100" i="68"/>
  <c r="H100" i="68"/>
  <c r="N99" i="68"/>
  <c r="J99" i="68"/>
  <c r="I99" i="68"/>
  <c r="H99" i="68"/>
  <c r="N98" i="68"/>
  <c r="J98" i="68"/>
  <c r="I98" i="68"/>
  <c r="H98" i="68"/>
  <c r="N97" i="68"/>
  <c r="J97" i="68"/>
  <c r="I97" i="68"/>
  <c r="H97" i="68"/>
  <c r="N96" i="68"/>
  <c r="J96" i="68"/>
  <c r="I96" i="68"/>
  <c r="H96" i="68"/>
  <c r="N95" i="68"/>
  <c r="J95" i="68"/>
  <c r="S37" i="1" s="1"/>
  <c r="I95" i="68"/>
  <c r="H95" i="68"/>
  <c r="G94" i="68"/>
  <c r="I94" i="68" s="1"/>
  <c r="N93" i="68"/>
  <c r="J93" i="68"/>
  <c r="I93" i="68"/>
  <c r="H93" i="68"/>
  <c r="N92" i="68"/>
  <c r="J92" i="68"/>
  <c r="I92" i="68"/>
  <c r="H92" i="68"/>
  <c r="N91" i="68"/>
  <c r="J91" i="68"/>
  <c r="I91" i="68"/>
  <c r="H91" i="68"/>
  <c r="N90" i="68"/>
  <c r="J90" i="68"/>
  <c r="I90" i="68"/>
  <c r="H90" i="68"/>
  <c r="N89" i="68"/>
  <c r="J89" i="68"/>
  <c r="I89" i="68"/>
  <c r="H89" i="68"/>
  <c r="N88" i="68"/>
  <c r="J88" i="68"/>
  <c r="S36" i="1" s="1"/>
  <c r="I88" i="68"/>
  <c r="H88" i="68"/>
  <c r="N87" i="68"/>
  <c r="I87" i="68"/>
  <c r="G87" i="68"/>
  <c r="N86" i="68"/>
  <c r="J86" i="68"/>
  <c r="I86" i="68"/>
  <c r="H86" i="68"/>
  <c r="N85" i="68"/>
  <c r="J85" i="68"/>
  <c r="I85" i="68"/>
  <c r="H85" i="68"/>
  <c r="N84" i="68"/>
  <c r="J84" i="68"/>
  <c r="I84" i="68"/>
  <c r="H84" i="68"/>
  <c r="N83" i="68"/>
  <c r="J83" i="68"/>
  <c r="I83" i="68"/>
  <c r="H83" i="68"/>
  <c r="N82" i="68"/>
  <c r="J82" i="68"/>
  <c r="I82" i="68"/>
  <c r="H82" i="68"/>
  <c r="N81" i="68"/>
  <c r="J81" i="68"/>
  <c r="S35" i="1" s="1"/>
  <c r="I81" i="68"/>
  <c r="H81" i="68"/>
  <c r="G80" i="68"/>
  <c r="N80" i="68" s="1"/>
  <c r="N79" i="68"/>
  <c r="J79" i="68"/>
  <c r="I79" i="68"/>
  <c r="H79" i="68"/>
  <c r="N78" i="68"/>
  <c r="J78" i="68"/>
  <c r="I78" i="68"/>
  <c r="H78" i="68"/>
  <c r="N77" i="68"/>
  <c r="J77" i="68"/>
  <c r="I77" i="68"/>
  <c r="H77" i="68"/>
  <c r="N76" i="68"/>
  <c r="J76" i="68"/>
  <c r="I76" i="68"/>
  <c r="H76" i="68"/>
  <c r="N75" i="68"/>
  <c r="J75" i="68"/>
  <c r="I75" i="68"/>
  <c r="H75" i="68"/>
  <c r="N74" i="68"/>
  <c r="J74" i="68"/>
  <c r="S34" i="1" s="1"/>
  <c r="I74" i="68"/>
  <c r="H74" i="68"/>
  <c r="G73" i="68"/>
  <c r="N73" i="68" s="1"/>
  <c r="N72" i="68"/>
  <c r="J72" i="68"/>
  <c r="I72" i="68"/>
  <c r="H72" i="68"/>
  <c r="N71" i="68"/>
  <c r="J71" i="68"/>
  <c r="I71" i="68"/>
  <c r="H71" i="68"/>
  <c r="N70" i="68"/>
  <c r="J70" i="68"/>
  <c r="I70" i="68"/>
  <c r="H70" i="68"/>
  <c r="N69" i="68"/>
  <c r="J69" i="68"/>
  <c r="I69" i="68"/>
  <c r="H69" i="68"/>
  <c r="N68" i="68"/>
  <c r="J68" i="68"/>
  <c r="I68" i="68"/>
  <c r="H68" i="68"/>
  <c r="N67" i="68"/>
  <c r="J67" i="68"/>
  <c r="S33" i="1" s="1"/>
  <c r="I67" i="68"/>
  <c r="H67" i="68"/>
  <c r="N66" i="68"/>
  <c r="G66" i="68"/>
  <c r="I66" i="68" s="1"/>
  <c r="N65" i="68"/>
  <c r="J65" i="68"/>
  <c r="I65" i="68"/>
  <c r="H65" i="68"/>
  <c r="N64" i="68"/>
  <c r="J64" i="68"/>
  <c r="I64" i="68"/>
  <c r="H64" i="68"/>
  <c r="G63" i="68"/>
  <c r="N63" i="68" s="1"/>
  <c r="N62" i="68"/>
  <c r="J62" i="68"/>
  <c r="I62" i="68"/>
  <c r="H62" i="68"/>
  <c r="N61" i="68"/>
  <c r="J61" i="68"/>
  <c r="I61" i="68"/>
  <c r="H61" i="68"/>
  <c r="N60" i="68"/>
  <c r="J60" i="68"/>
  <c r="S31" i="1" s="1"/>
  <c r="I60" i="68"/>
  <c r="H60" i="68"/>
  <c r="G59" i="68"/>
  <c r="N59" i="68" s="1"/>
  <c r="N58" i="68"/>
  <c r="J58" i="68"/>
  <c r="I58" i="68"/>
  <c r="H58" i="68"/>
  <c r="N57" i="68"/>
  <c r="J57" i="68"/>
  <c r="I57" i="68"/>
  <c r="H57" i="68"/>
  <c r="N56" i="68"/>
  <c r="J56" i="68"/>
  <c r="I56" i="68"/>
  <c r="H56" i="68"/>
  <c r="N55" i="68"/>
  <c r="J55" i="68"/>
  <c r="I55" i="68"/>
  <c r="H55" i="68"/>
  <c r="N54" i="68"/>
  <c r="J54" i="68"/>
  <c r="I54" i="68"/>
  <c r="H54" i="68"/>
  <c r="N53" i="68"/>
  <c r="J53" i="68"/>
  <c r="S30" i="1" s="1"/>
  <c r="I53" i="68"/>
  <c r="H53" i="68"/>
  <c r="G52" i="68"/>
  <c r="N52" i="68" s="1"/>
  <c r="N51" i="68"/>
  <c r="J51" i="68"/>
  <c r="I51" i="68"/>
  <c r="H51" i="68"/>
  <c r="N50" i="68"/>
  <c r="J50" i="68"/>
  <c r="I50" i="68"/>
  <c r="H50" i="68"/>
  <c r="N49" i="68"/>
  <c r="J49" i="68"/>
  <c r="I49" i="68"/>
  <c r="H49" i="68"/>
  <c r="N48" i="68"/>
  <c r="J48" i="68"/>
  <c r="I48" i="68"/>
  <c r="H48" i="68"/>
  <c r="N47" i="68"/>
  <c r="J47" i="68"/>
  <c r="I47" i="68"/>
  <c r="H47" i="68"/>
  <c r="N46" i="68"/>
  <c r="J46" i="68"/>
  <c r="I46" i="68"/>
  <c r="H46" i="68"/>
  <c r="N45" i="68"/>
  <c r="J45" i="68"/>
  <c r="I45" i="68"/>
  <c r="H45" i="68"/>
  <c r="N44" i="68"/>
  <c r="J44" i="68"/>
  <c r="S29" i="1" s="1"/>
  <c r="I44" i="68"/>
  <c r="H44" i="68"/>
  <c r="N43" i="68"/>
  <c r="I43" i="68"/>
  <c r="G43" i="68"/>
  <c r="N42" i="68"/>
  <c r="J42" i="68"/>
  <c r="I42" i="68"/>
  <c r="H42" i="68"/>
  <c r="N41" i="68"/>
  <c r="J41" i="68"/>
  <c r="I41" i="68"/>
  <c r="H41" i="68"/>
  <c r="N40" i="68"/>
  <c r="J40" i="68"/>
  <c r="I40" i="68"/>
  <c r="H40" i="68"/>
  <c r="N39" i="68"/>
  <c r="J39" i="68"/>
  <c r="I39" i="68"/>
  <c r="H39" i="68"/>
  <c r="N38" i="68"/>
  <c r="J38" i="68"/>
  <c r="I38" i="68"/>
  <c r="H38" i="68"/>
  <c r="N37" i="68"/>
  <c r="J37" i="68"/>
  <c r="I37" i="68"/>
  <c r="H37" i="68"/>
  <c r="G36" i="68"/>
  <c r="N36" i="68" s="1"/>
  <c r="N35" i="68"/>
  <c r="J35" i="68"/>
  <c r="I35" i="68"/>
  <c r="H35" i="68"/>
  <c r="N34" i="68"/>
  <c r="J34" i="68"/>
  <c r="S26" i="1" s="1"/>
  <c r="I34" i="68"/>
  <c r="H34" i="68"/>
  <c r="N33" i="68"/>
  <c r="J33" i="68"/>
  <c r="S25" i="1" s="1"/>
  <c r="I33" i="68"/>
  <c r="H33" i="68"/>
  <c r="N32" i="68"/>
  <c r="J32" i="68"/>
  <c r="I32" i="68"/>
  <c r="H32" i="68"/>
  <c r="N31" i="68"/>
  <c r="J31" i="68"/>
  <c r="I31" i="68"/>
  <c r="H31" i="68"/>
  <c r="N30" i="68"/>
  <c r="J30" i="68"/>
  <c r="I30" i="68"/>
  <c r="H30" i="68"/>
  <c r="N29" i="68"/>
  <c r="J29" i="68"/>
  <c r="I29" i="68"/>
  <c r="H29" i="68"/>
  <c r="N28" i="68"/>
  <c r="J28" i="68"/>
  <c r="I28" i="68"/>
  <c r="H28" i="68"/>
  <c r="N27" i="68"/>
  <c r="J27" i="68"/>
  <c r="S24" i="1" s="1"/>
  <c r="I27" i="68"/>
  <c r="H27" i="68"/>
  <c r="N26" i="68"/>
  <c r="J26" i="68"/>
  <c r="I26" i="68"/>
  <c r="H26" i="68"/>
  <c r="N25" i="68"/>
  <c r="J25" i="68"/>
  <c r="I25" i="68"/>
  <c r="H25" i="68"/>
  <c r="N24" i="68"/>
  <c r="J24" i="68"/>
  <c r="I24" i="68"/>
  <c r="H24" i="68"/>
  <c r="N23" i="68"/>
  <c r="J23" i="68"/>
  <c r="I23" i="68"/>
  <c r="H23" i="68"/>
  <c r="N22" i="68"/>
  <c r="J22" i="68"/>
  <c r="I22" i="68"/>
  <c r="H22" i="68"/>
  <c r="N21" i="68"/>
  <c r="J21" i="68"/>
  <c r="I21" i="68"/>
  <c r="H21" i="68"/>
  <c r="N20" i="68"/>
  <c r="J20" i="68"/>
  <c r="I20" i="68"/>
  <c r="H20" i="68"/>
  <c r="N19" i="68"/>
  <c r="J19" i="68"/>
  <c r="I19" i="68"/>
  <c r="H19" i="68"/>
  <c r="N18" i="68"/>
  <c r="J18" i="68"/>
  <c r="I18" i="68"/>
  <c r="H18" i="68"/>
  <c r="N17" i="68"/>
  <c r="J17" i="68"/>
  <c r="I17" i="68"/>
  <c r="H17" i="68"/>
  <c r="N16" i="68"/>
  <c r="J16" i="68"/>
  <c r="S22" i="1" s="1"/>
  <c r="I16" i="68"/>
  <c r="H16" i="68"/>
  <c r="N15" i="68"/>
  <c r="J15" i="68"/>
  <c r="I15" i="68"/>
  <c r="H15" i="68"/>
  <c r="N14" i="68"/>
  <c r="J14" i="68"/>
  <c r="S21" i="1" s="1"/>
  <c r="I14" i="68"/>
  <c r="H14" i="68"/>
  <c r="G13" i="68"/>
  <c r="I13" i="68" s="1"/>
  <c r="N12" i="68"/>
  <c r="J12" i="68"/>
  <c r="I12" i="68"/>
  <c r="H12" i="68"/>
  <c r="N11" i="68"/>
  <c r="J11" i="68"/>
  <c r="S20" i="1" s="1"/>
  <c r="I11" i="68"/>
  <c r="H11" i="68"/>
  <c r="N10" i="68"/>
  <c r="J10" i="68"/>
  <c r="I10" i="68"/>
  <c r="H10" i="68"/>
  <c r="N9" i="68"/>
  <c r="J9" i="68"/>
  <c r="I9" i="68"/>
  <c r="H9" i="68"/>
  <c r="N8" i="68"/>
  <c r="J8" i="68"/>
  <c r="I8" i="68"/>
  <c r="H8" i="68"/>
  <c r="N7" i="68"/>
  <c r="J7" i="68"/>
  <c r="S18" i="1" s="1"/>
  <c r="I7" i="68"/>
  <c r="H7" i="68"/>
  <c r="N6" i="68"/>
  <c r="J6" i="68"/>
  <c r="I6" i="68"/>
  <c r="H6" i="68"/>
  <c r="N5" i="68"/>
  <c r="J5" i="68"/>
  <c r="S17" i="1" s="1"/>
  <c r="I5" i="68"/>
  <c r="H5" i="68"/>
  <c r="E2" i="68"/>
  <c r="R36" i="1"/>
  <c r="R32" i="1"/>
  <c r="R28" i="1"/>
  <c r="R23" i="1"/>
  <c r="R19" i="1"/>
  <c r="F2" i="67"/>
  <c r="N100" i="67"/>
  <c r="J100" i="67"/>
  <c r="I100" i="67"/>
  <c r="H100" i="67"/>
  <c r="N99" i="67"/>
  <c r="J99" i="67"/>
  <c r="I99" i="67"/>
  <c r="H99" i="67"/>
  <c r="N98" i="67"/>
  <c r="J98" i="67"/>
  <c r="I98" i="67"/>
  <c r="H98" i="67"/>
  <c r="N97" i="67"/>
  <c r="J97" i="67"/>
  <c r="I97" i="67"/>
  <c r="H97" i="67"/>
  <c r="N96" i="67"/>
  <c r="J96" i="67"/>
  <c r="I96" i="67"/>
  <c r="H96" i="67"/>
  <c r="N95" i="67"/>
  <c r="J95" i="67"/>
  <c r="R37" i="1" s="1"/>
  <c r="I95" i="67"/>
  <c r="H95" i="67"/>
  <c r="G94" i="67"/>
  <c r="N94" i="67" s="1"/>
  <c r="N93" i="67"/>
  <c r="J93" i="67"/>
  <c r="I93" i="67"/>
  <c r="H93" i="67"/>
  <c r="N92" i="67"/>
  <c r="J92" i="67"/>
  <c r="I92" i="67"/>
  <c r="H92" i="67"/>
  <c r="N91" i="67"/>
  <c r="J91" i="67"/>
  <c r="I91" i="67"/>
  <c r="H91" i="67"/>
  <c r="N90" i="67"/>
  <c r="J90" i="67"/>
  <c r="I90" i="67"/>
  <c r="H90" i="67"/>
  <c r="N89" i="67"/>
  <c r="J89" i="67"/>
  <c r="I89" i="67"/>
  <c r="H89" i="67"/>
  <c r="N88" i="67"/>
  <c r="J88" i="67"/>
  <c r="I88" i="67"/>
  <c r="H88" i="67"/>
  <c r="G87" i="67"/>
  <c r="I87" i="67" s="1"/>
  <c r="N86" i="67"/>
  <c r="J86" i="67"/>
  <c r="I86" i="67"/>
  <c r="H86" i="67"/>
  <c r="N85" i="67"/>
  <c r="J85" i="67"/>
  <c r="I85" i="67"/>
  <c r="H85" i="67"/>
  <c r="N84" i="67"/>
  <c r="J84" i="67"/>
  <c r="I84" i="67"/>
  <c r="H84" i="67"/>
  <c r="N83" i="67"/>
  <c r="J83" i="67"/>
  <c r="I83" i="67"/>
  <c r="H83" i="67"/>
  <c r="N82" i="67"/>
  <c r="J82" i="67"/>
  <c r="I82" i="67"/>
  <c r="H82" i="67"/>
  <c r="N81" i="67"/>
  <c r="J81" i="67"/>
  <c r="R35" i="1" s="1"/>
  <c r="I81" i="67"/>
  <c r="H81" i="67"/>
  <c r="I80" i="67"/>
  <c r="G80" i="67"/>
  <c r="N80" i="67" s="1"/>
  <c r="N79" i="67"/>
  <c r="J79" i="67"/>
  <c r="I79" i="67"/>
  <c r="H79" i="67"/>
  <c r="N78" i="67"/>
  <c r="J78" i="67"/>
  <c r="I78" i="67"/>
  <c r="H78" i="67"/>
  <c r="N77" i="67"/>
  <c r="J77" i="67"/>
  <c r="I77" i="67"/>
  <c r="H77" i="67"/>
  <c r="N76" i="67"/>
  <c r="J76" i="67"/>
  <c r="I76" i="67"/>
  <c r="H76" i="67"/>
  <c r="N75" i="67"/>
  <c r="J75" i="67"/>
  <c r="I75" i="67"/>
  <c r="H75" i="67"/>
  <c r="N74" i="67"/>
  <c r="J74" i="67"/>
  <c r="R34" i="1" s="1"/>
  <c r="I74" i="67"/>
  <c r="H74" i="67"/>
  <c r="G73" i="67"/>
  <c r="N73" i="67" s="1"/>
  <c r="N72" i="67"/>
  <c r="J72" i="67"/>
  <c r="I72" i="67"/>
  <c r="H72" i="67"/>
  <c r="N71" i="67"/>
  <c r="J71" i="67"/>
  <c r="I71" i="67"/>
  <c r="H71" i="67"/>
  <c r="N70" i="67"/>
  <c r="J70" i="67"/>
  <c r="I70" i="67"/>
  <c r="H70" i="67"/>
  <c r="N69" i="67"/>
  <c r="J69" i="67"/>
  <c r="I69" i="67"/>
  <c r="H69" i="67"/>
  <c r="N68" i="67"/>
  <c r="J68" i="67"/>
  <c r="I68" i="67"/>
  <c r="H68" i="67"/>
  <c r="N67" i="67"/>
  <c r="J67" i="67"/>
  <c r="R33" i="1" s="1"/>
  <c r="I67" i="67"/>
  <c r="H67" i="67"/>
  <c r="G66" i="67"/>
  <c r="N66" i="67" s="1"/>
  <c r="N65" i="67"/>
  <c r="J65" i="67"/>
  <c r="I65" i="67"/>
  <c r="H65" i="67"/>
  <c r="N64" i="67"/>
  <c r="J64" i="67"/>
  <c r="I64" i="67"/>
  <c r="H64" i="67"/>
  <c r="G63" i="67"/>
  <c r="I63" i="67" s="1"/>
  <c r="N62" i="67"/>
  <c r="J62" i="67"/>
  <c r="I62" i="67"/>
  <c r="H62" i="67"/>
  <c r="N61" i="67"/>
  <c r="J61" i="67"/>
  <c r="I61" i="67"/>
  <c r="H61" i="67"/>
  <c r="N60" i="67"/>
  <c r="J60" i="67"/>
  <c r="R31" i="1" s="1"/>
  <c r="I60" i="67"/>
  <c r="H60" i="67"/>
  <c r="N59" i="67"/>
  <c r="I59" i="67"/>
  <c r="G59" i="67"/>
  <c r="N58" i="67"/>
  <c r="J58" i="67"/>
  <c r="I58" i="67"/>
  <c r="H58" i="67"/>
  <c r="N57" i="67"/>
  <c r="J57" i="67"/>
  <c r="I57" i="67"/>
  <c r="H57" i="67"/>
  <c r="N56" i="67"/>
  <c r="J56" i="67"/>
  <c r="I56" i="67"/>
  <c r="H56" i="67"/>
  <c r="N55" i="67"/>
  <c r="J55" i="67"/>
  <c r="I55" i="67"/>
  <c r="H55" i="67"/>
  <c r="N54" i="67"/>
  <c r="J54" i="67"/>
  <c r="I54" i="67"/>
  <c r="H54" i="67"/>
  <c r="N53" i="67"/>
  <c r="J53" i="67"/>
  <c r="R30" i="1" s="1"/>
  <c r="I53" i="67"/>
  <c r="H53" i="67"/>
  <c r="G52" i="67"/>
  <c r="N52" i="67" s="1"/>
  <c r="N51" i="67"/>
  <c r="J51" i="67"/>
  <c r="I51" i="67"/>
  <c r="H51" i="67"/>
  <c r="N50" i="67"/>
  <c r="J50" i="67"/>
  <c r="I50" i="67"/>
  <c r="H50" i="67"/>
  <c r="N49" i="67"/>
  <c r="J49" i="67"/>
  <c r="I49" i="67"/>
  <c r="H49" i="67"/>
  <c r="N48" i="67"/>
  <c r="J48" i="67"/>
  <c r="I48" i="67"/>
  <c r="H48" i="67"/>
  <c r="N47" i="67"/>
  <c r="J47" i="67"/>
  <c r="I47" i="67"/>
  <c r="H47" i="67"/>
  <c r="N46" i="67"/>
  <c r="J46" i="67"/>
  <c r="I46" i="67"/>
  <c r="H46" i="67"/>
  <c r="N45" i="67"/>
  <c r="J45" i="67"/>
  <c r="I45" i="67"/>
  <c r="H45" i="67"/>
  <c r="N44" i="67"/>
  <c r="J44" i="67"/>
  <c r="R29" i="1" s="1"/>
  <c r="I44" i="67"/>
  <c r="H44" i="67"/>
  <c r="N43" i="67"/>
  <c r="I43" i="67"/>
  <c r="G43" i="67"/>
  <c r="N42" i="67"/>
  <c r="J42" i="67"/>
  <c r="I42" i="67"/>
  <c r="H42" i="67"/>
  <c r="N41" i="67"/>
  <c r="J41" i="67"/>
  <c r="I41" i="67"/>
  <c r="H41" i="67"/>
  <c r="N40" i="67"/>
  <c r="J40" i="67"/>
  <c r="I40" i="67"/>
  <c r="H40" i="67"/>
  <c r="N39" i="67"/>
  <c r="J39" i="67"/>
  <c r="I39" i="67"/>
  <c r="H39" i="67"/>
  <c r="N38" i="67"/>
  <c r="J38" i="67"/>
  <c r="I38" i="67"/>
  <c r="H38" i="67"/>
  <c r="N37" i="67"/>
  <c r="J37" i="67"/>
  <c r="I37" i="67"/>
  <c r="H37" i="67"/>
  <c r="G36" i="67"/>
  <c r="I36" i="67" s="1"/>
  <c r="N35" i="67"/>
  <c r="J35" i="67"/>
  <c r="I35" i="67"/>
  <c r="H35" i="67"/>
  <c r="N34" i="67"/>
  <c r="J34" i="67"/>
  <c r="R26" i="1" s="1"/>
  <c r="I34" i="67"/>
  <c r="H34" i="67"/>
  <c r="N33" i="67"/>
  <c r="J33" i="67"/>
  <c r="R25" i="1" s="1"/>
  <c r="I33" i="67"/>
  <c r="H33" i="67"/>
  <c r="N32" i="67"/>
  <c r="J32" i="67"/>
  <c r="I32" i="67"/>
  <c r="H32" i="67"/>
  <c r="N31" i="67"/>
  <c r="J31" i="67"/>
  <c r="I31" i="67"/>
  <c r="H31" i="67"/>
  <c r="N30" i="67"/>
  <c r="J30" i="67"/>
  <c r="I30" i="67"/>
  <c r="H30" i="67"/>
  <c r="N29" i="67"/>
  <c r="J29" i="67"/>
  <c r="I29" i="67"/>
  <c r="H29" i="67"/>
  <c r="N28" i="67"/>
  <c r="J28" i="67"/>
  <c r="I28" i="67"/>
  <c r="H28" i="67"/>
  <c r="N27" i="67"/>
  <c r="J27" i="67"/>
  <c r="R24" i="1" s="1"/>
  <c r="I27" i="67"/>
  <c r="H27" i="67"/>
  <c r="N26" i="67"/>
  <c r="J26" i="67"/>
  <c r="I26" i="67"/>
  <c r="H26" i="67"/>
  <c r="N25" i="67"/>
  <c r="J25" i="67"/>
  <c r="I25" i="67"/>
  <c r="H25" i="67"/>
  <c r="N24" i="67"/>
  <c r="J24" i="67"/>
  <c r="I24" i="67"/>
  <c r="H24" i="67"/>
  <c r="N23" i="67"/>
  <c r="J23" i="67"/>
  <c r="I23" i="67"/>
  <c r="H23" i="67"/>
  <c r="N22" i="67"/>
  <c r="J22" i="67"/>
  <c r="I22" i="67"/>
  <c r="H22" i="67"/>
  <c r="N21" i="67"/>
  <c r="J21" i="67"/>
  <c r="I21" i="67"/>
  <c r="H21" i="67"/>
  <c r="N20" i="67"/>
  <c r="J20" i="67"/>
  <c r="I20" i="67"/>
  <c r="H20" i="67"/>
  <c r="N19" i="67"/>
  <c r="J19" i="67"/>
  <c r="I19" i="67"/>
  <c r="H19" i="67"/>
  <c r="N18" i="67"/>
  <c r="J18" i="67"/>
  <c r="I18" i="67"/>
  <c r="H18" i="67"/>
  <c r="N17" i="67"/>
  <c r="J17" i="67"/>
  <c r="I17" i="67"/>
  <c r="H17" i="67"/>
  <c r="N16" i="67"/>
  <c r="J16" i="67"/>
  <c r="R22" i="1" s="1"/>
  <c r="I16" i="67"/>
  <c r="H16" i="67"/>
  <c r="N15" i="67"/>
  <c r="J15" i="67"/>
  <c r="I15" i="67"/>
  <c r="H15" i="67"/>
  <c r="N14" i="67"/>
  <c r="J14" i="67"/>
  <c r="R21" i="1" s="1"/>
  <c r="I14" i="67"/>
  <c r="H14" i="67"/>
  <c r="I13" i="67"/>
  <c r="G13" i="67"/>
  <c r="N13" i="67" s="1"/>
  <c r="N12" i="67"/>
  <c r="J12" i="67"/>
  <c r="I12" i="67"/>
  <c r="H12" i="67"/>
  <c r="N11" i="67"/>
  <c r="J11" i="67"/>
  <c r="R20" i="1" s="1"/>
  <c r="I11" i="67"/>
  <c r="H11" i="67"/>
  <c r="N10" i="67"/>
  <c r="J10" i="67"/>
  <c r="I10" i="67"/>
  <c r="H10" i="67"/>
  <c r="N9" i="67"/>
  <c r="J9" i="67"/>
  <c r="I9" i="67"/>
  <c r="H9" i="67"/>
  <c r="N8" i="67"/>
  <c r="J8" i="67"/>
  <c r="I8" i="67"/>
  <c r="H8" i="67"/>
  <c r="N7" i="67"/>
  <c r="J7" i="67"/>
  <c r="R18" i="1" s="1"/>
  <c r="I7" i="67"/>
  <c r="H7" i="67"/>
  <c r="N6" i="67"/>
  <c r="J6" i="67"/>
  <c r="I6" i="67"/>
  <c r="H6" i="67"/>
  <c r="N5" i="67"/>
  <c r="J5" i="67"/>
  <c r="R17" i="1" s="1"/>
  <c r="I5" i="67"/>
  <c r="H5" i="67"/>
  <c r="E2" i="67"/>
  <c r="Q36" i="1"/>
  <c r="Q32" i="1"/>
  <c r="Q28" i="1"/>
  <c r="Q19" i="1"/>
  <c r="F2" i="66"/>
  <c r="N100" i="66"/>
  <c r="J100" i="66"/>
  <c r="I100" i="66"/>
  <c r="H100" i="66"/>
  <c r="N99" i="66"/>
  <c r="J99" i="66"/>
  <c r="I99" i="66"/>
  <c r="H99" i="66"/>
  <c r="N98" i="66"/>
  <c r="J98" i="66"/>
  <c r="I98" i="66"/>
  <c r="H98" i="66"/>
  <c r="N97" i="66"/>
  <c r="J97" i="66"/>
  <c r="I97" i="66"/>
  <c r="H97" i="66"/>
  <c r="N96" i="66"/>
  <c r="J96" i="66"/>
  <c r="I96" i="66"/>
  <c r="H96" i="66"/>
  <c r="N95" i="66"/>
  <c r="J95" i="66"/>
  <c r="Q37" i="1" s="1"/>
  <c r="I95" i="66"/>
  <c r="H95" i="66"/>
  <c r="G94" i="66"/>
  <c r="N94" i="66" s="1"/>
  <c r="N93" i="66"/>
  <c r="J93" i="66"/>
  <c r="I93" i="66"/>
  <c r="H93" i="66"/>
  <c r="N92" i="66"/>
  <c r="J92" i="66"/>
  <c r="I92" i="66"/>
  <c r="H92" i="66"/>
  <c r="N91" i="66"/>
  <c r="J91" i="66"/>
  <c r="I91" i="66"/>
  <c r="H91" i="66"/>
  <c r="N90" i="66"/>
  <c r="J90" i="66"/>
  <c r="I90" i="66"/>
  <c r="H90" i="66"/>
  <c r="N89" i="66"/>
  <c r="J89" i="66"/>
  <c r="I89" i="66"/>
  <c r="H89" i="66"/>
  <c r="N88" i="66"/>
  <c r="J88" i="66"/>
  <c r="I88" i="66"/>
  <c r="H88" i="66"/>
  <c r="G87" i="66"/>
  <c r="I87" i="66" s="1"/>
  <c r="N86" i="66"/>
  <c r="J86" i="66"/>
  <c r="I86" i="66"/>
  <c r="H86" i="66"/>
  <c r="N85" i="66"/>
  <c r="J85" i="66"/>
  <c r="I85" i="66"/>
  <c r="H85" i="66"/>
  <c r="N84" i="66"/>
  <c r="J84" i="66"/>
  <c r="I84" i="66"/>
  <c r="H84" i="66"/>
  <c r="N83" i="66"/>
  <c r="J83" i="66"/>
  <c r="I83" i="66"/>
  <c r="H83" i="66"/>
  <c r="N82" i="66"/>
  <c r="J82" i="66"/>
  <c r="I82" i="66"/>
  <c r="H82" i="66"/>
  <c r="N81" i="66"/>
  <c r="J81" i="66"/>
  <c r="Q35" i="1" s="1"/>
  <c r="I81" i="66"/>
  <c r="H81" i="66"/>
  <c r="I80" i="66"/>
  <c r="G80" i="66"/>
  <c r="N80" i="66" s="1"/>
  <c r="N79" i="66"/>
  <c r="J79" i="66"/>
  <c r="I79" i="66"/>
  <c r="H79" i="66"/>
  <c r="N78" i="66"/>
  <c r="J78" i="66"/>
  <c r="I78" i="66"/>
  <c r="H78" i="66"/>
  <c r="N77" i="66"/>
  <c r="J77" i="66"/>
  <c r="I77" i="66"/>
  <c r="H77" i="66"/>
  <c r="N76" i="66"/>
  <c r="J76" i="66"/>
  <c r="I76" i="66"/>
  <c r="H76" i="66"/>
  <c r="N75" i="66"/>
  <c r="J75" i="66"/>
  <c r="I75" i="66"/>
  <c r="H75" i="66"/>
  <c r="N74" i="66"/>
  <c r="J74" i="66"/>
  <c r="Q34" i="1" s="1"/>
  <c r="I74" i="66"/>
  <c r="H74" i="66"/>
  <c r="G73" i="66"/>
  <c r="N73" i="66" s="1"/>
  <c r="N72" i="66"/>
  <c r="J72" i="66"/>
  <c r="I72" i="66"/>
  <c r="H72" i="66"/>
  <c r="N71" i="66"/>
  <c r="J71" i="66"/>
  <c r="I71" i="66"/>
  <c r="H71" i="66"/>
  <c r="N70" i="66"/>
  <c r="J70" i="66"/>
  <c r="I70" i="66"/>
  <c r="H70" i="66"/>
  <c r="N69" i="66"/>
  <c r="J69" i="66"/>
  <c r="I69" i="66"/>
  <c r="H69" i="66"/>
  <c r="N68" i="66"/>
  <c r="J68" i="66"/>
  <c r="I68" i="66"/>
  <c r="H68" i="66"/>
  <c r="N67" i="66"/>
  <c r="J67" i="66"/>
  <c r="Q33" i="1" s="1"/>
  <c r="I67" i="66"/>
  <c r="H67" i="66"/>
  <c r="G66" i="66"/>
  <c r="N65" i="66"/>
  <c r="J65" i="66"/>
  <c r="I65" i="66"/>
  <c r="H65" i="66"/>
  <c r="N64" i="66"/>
  <c r="J64" i="66"/>
  <c r="I64" i="66"/>
  <c r="H64" i="66"/>
  <c r="G63" i="66"/>
  <c r="I63" i="66" s="1"/>
  <c r="N62" i="66"/>
  <c r="J62" i="66"/>
  <c r="I62" i="66"/>
  <c r="H62" i="66"/>
  <c r="N61" i="66"/>
  <c r="J61" i="66"/>
  <c r="I61" i="66"/>
  <c r="H61" i="66"/>
  <c r="N60" i="66"/>
  <c r="J60" i="66"/>
  <c r="Q31" i="1" s="1"/>
  <c r="I60" i="66"/>
  <c r="H60" i="66"/>
  <c r="N59" i="66"/>
  <c r="I59" i="66"/>
  <c r="G59" i="66"/>
  <c r="N58" i="66"/>
  <c r="J58" i="66"/>
  <c r="I58" i="66"/>
  <c r="H58" i="66"/>
  <c r="N57" i="66"/>
  <c r="J57" i="66"/>
  <c r="I57" i="66"/>
  <c r="H57" i="66"/>
  <c r="N56" i="66"/>
  <c r="J56" i="66"/>
  <c r="I56" i="66"/>
  <c r="H56" i="66"/>
  <c r="N55" i="66"/>
  <c r="J55" i="66"/>
  <c r="I55" i="66"/>
  <c r="H55" i="66"/>
  <c r="N54" i="66"/>
  <c r="J54" i="66"/>
  <c r="I54" i="66"/>
  <c r="H54" i="66"/>
  <c r="N53" i="66"/>
  <c r="J53" i="66"/>
  <c r="Q30" i="1" s="1"/>
  <c r="I53" i="66"/>
  <c r="H53" i="66"/>
  <c r="G52" i="66"/>
  <c r="N52" i="66" s="1"/>
  <c r="N51" i="66"/>
  <c r="J51" i="66"/>
  <c r="I51" i="66"/>
  <c r="H51" i="66"/>
  <c r="N50" i="66"/>
  <c r="J50" i="66"/>
  <c r="I50" i="66"/>
  <c r="H50" i="66"/>
  <c r="N49" i="66"/>
  <c r="J49" i="66"/>
  <c r="I49" i="66"/>
  <c r="H49" i="66"/>
  <c r="N48" i="66"/>
  <c r="J48" i="66"/>
  <c r="I48" i="66"/>
  <c r="H48" i="66"/>
  <c r="N47" i="66"/>
  <c r="J47" i="66"/>
  <c r="I47" i="66"/>
  <c r="H47" i="66"/>
  <c r="N46" i="66"/>
  <c r="J46" i="66"/>
  <c r="I46" i="66"/>
  <c r="H46" i="66"/>
  <c r="N45" i="66"/>
  <c r="J45" i="66"/>
  <c r="I45" i="66"/>
  <c r="H45" i="66"/>
  <c r="N44" i="66"/>
  <c r="J44" i="66"/>
  <c r="Q29" i="1" s="1"/>
  <c r="I44" i="66"/>
  <c r="H44" i="66"/>
  <c r="G43" i="66"/>
  <c r="N42" i="66"/>
  <c r="J42" i="66"/>
  <c r="I42" i="66"/>
  <c r="H42" i="66"/>
  <c r="N41" i="66"/>
  <c r="J41" i="66"/>
  <c r="I41" i="66"/>
  <c r="H41" i="66"/>
  <c r="N40" i="66"/>
  <c r="J40" i="66"/>
  <c r="I40" i="66"/>
  <c r="H40" i="66"/>
  <c r="N39" i="66"/>
  <c r="J39" i="66"/>
  <c r="I39" i="66"/>
  <c r="H39" i="66"/>
  <c r="N38" i="66"/>
  <c r="J38" i="66"/>
  <c r="I38" i="66"/>
  <c r="H38" i="66"/>
  <c r="N37" i="66"/>
  <c r="J37" i="66"/>
  <c r="I37" i="66"/>
  <c r="H37" i="66"/>
  <c r="G36" i="66"/>
  <c r="I36" i="66" s="1"/>
  <c r="N35" i="66"/>
  <c r="J35" i="66"/>
  <c r="I35" i="66"/>
  <c r="H35" i="66"/>
  <c r="N34" i="66"/>
  <c r="J34" i="66"/>
  <c r="Q26" i="1" s="1"/>
  <c r="I34" i="66"/>
  <c r="H34" i="66"/>
  <c r="N33" i="66"/>
  <c r="J33" i="66"/>
  <c r="Q25" i="1" s="1"/>
  <c r="I33" i="66"/>
  <c r="H33" i="66"/>
  <c r="N32" i="66"/>
  <c r="J32" i="66"/>
  <c r="I32" i="66"/>
  <c r="H32" i="66"/>
  <c r="N31" i="66"/>
  <c r="J31" i="66"/>
  <c r="I31" i="66"/>
  <c r="H31" i="66"/>
  <c r="N30" i="66"/>
  <c r="J30" i="66"/>
  <c r="I30" i="66"/>
  <c r="H30" i="66"/>
  <c r="N29" i="66"/>
  <c r="J29" i="66"/>
  <c r="I29" i="66"/>
  <c r="H29" i="66"/>
  <c r="N28" i="66"/>
  <c r="J28" i="66"/>
  <c r="I28" i="66"/>
  <c r="H28" i="66"/>
  <c r="N27" i="66"/>
  <c r="J27" i="66"/>
  <c r="Q24" i="1" s="1"/>
  <c r="I27" i="66"/>
  <c r="H27" i="66"/>
  <c r="N26" i="66"/>
  <c r="J26" i="66"/>
  <c r="I26" i="66"/>
  <c r="H26" i="66"/>
  <c r="N25" i="66"/>
  <c r="J25" i="66"/>
  <c r="I25" i="66"/>
  <c r="H25" i="66"/>
  <c r="N24" i="66"/>
  <c r="J24" i="66"/>
  <c r="I24" i="66"/>
  <c r="H24" i="66"/>
  <c r="N23" i="66"/>
  <c r="J23" i="66"/>
  <c r="Q23" i="1" s="1"/>
  <c r="I23" i="66"/>
  <c r="H23" i="66"/>
  <c r="N22" i="66"/>
  <c r="J22" i="66"/>
  <c r="I22" i="66"/>
  <c r="H22" i="66"/>
  <c r="N21" i="66"/>
  <c r="J21" i="66"/>
  <c r="I21" i="66"/>
  <c r="H21" i="66"/>
  <c r="N20" i="66"/>
  <c r="J20" i="66"/>
  <c r="I20" i="66"/>
  <c r="H20" i="66"/>
  <c r="N19" i="66"/>
  <c r="J19" i="66"/>
  <c r="I19" i="66"/>
  <c r="H19" i="66"/>
  <c r="N18" i="66"/>
  <c r="J18" i="66"/>
  <c r="I18" i="66"/>
  <c r="H18" i="66"/>
  <c r="N17" i="66"/>
  <c r="J17" i="66"/>
  <c r="I17" i="66"/>
  <c r="H17" i="66"/>
  <c r="N16" i="66"/>
  <c r="J16" i="66"/>
  <c r="Q22" i="1" s="1"/>
  <c r="I16" i="66"/>
  <c r="H16" i="66"/>
  <c r="N15" i="66"/>
  <c r="J15" i="66"/>
  <c r="I15" i="66"/>
  <c r="H15" i="66"/>
  <c r="N14" i="66"/>
  <c r="J14" i="66"/>
  <c r="Q21" i="1" s="1"/>
  <c r="I14" i="66"/>
  <c r="H14" i="66"/>
  <c r="N13" i="66"/>
  <c r="I13" i="66"/>
  <c r="G13" i="66"/>
  <c r="N12" i="66"/>
  <c r="J12" i="66"/>
  <c r="I12" i="66"/>
  <c r="H12" i="66"/>
  <c r="N11" i="66"/>
  <c r="J11" i="66"/>
  <c r="Q20" i="1" s="1"/>
  <c r="I11" i="66"/>
  <c r="H11" i="66"/>
  <c r="N10" i="66"/>
  <c r="J10" i="66"/>
  <c r="I10" i="66"/>
  <c r="H10" i="66"/>
  <c r="N9" i="66"/>
  <c r="J9" i="66"/>
  <c r="I9" i="66"/>
  <c r="H9" i="66"/>
  <c r="N8" i="66"/>
  <c r="J8" i="66"/>
  <c r="I8" i="66"/>
  <c r="H8" i="66"/>
  <c r="N7" i="66"/>
  <c r="J7" i="66"/>
  <c r="Q18" i="1" s="1"/>
  <c r="I7" i="66"/>
  <c r="H7" i="66"/>
  <c r="N6" i="66"/>
  <c r="J6" i="66"/>
  <c r="I6" i="66"/>
  <c r="H6" i="66"/>
  <c r="N5" i="66"/>
  <c r="J5" i="66"/>
  <c r="Q17" i="1" s="1"/>
  <c r="I5" i="66"/>
  <c r="H5" i="66"/>
  <c r="E2" i="66"/>
  <c r="P37" i="1"/>
  <c r="P36" i="1"/>
  <c r="P33" i="1"/>
  <c r="P32" i="1"/>
  <c r="P28" i="1"/>
  <c r="P23" i="1"/>
  <c r="P19" i="1"/>
  <c r="F2" i="65"/>
  <c r="N100" i="65"/>
  <c r="J100" i="65"/>
  <c r="I100" i="65"/>
  <c r="H100" i="65"/>
  <c r="N99" i="65"/>
  <c r="J99" i="65"/>
  <c r="I99" i="65"/>
  <c r="H99" i="65"/>
  <c r="N98" i="65"/>
  <c r="J98" i="65"/>
  <c r="I98" i="65"/>
  <c r="H98" i="65"/>
  <c r="N97" i="65"/>
  <c r="J97" i="65"/>
  <c r="I97" i="65"/>
  <c r="H97" i="65"/>
  <c r="N96" i="65"/>
  <c r="J96" i="65"/>
  <c r="I96" i="65"/>
  <c r="H96" i="65"/>
  <c r="N95" i="65"/>
  <c r="J95" i="65"/>
  <c r="I95" i="65"/>
  <c r="H95" i="65"/>
  <c r="G94" i="65"/>
  <c r="N94" i="65" s="1"/>
  <c r="N93" i="65"/>
  <c r="J93" i="65"/>
  <c r="I93" i="65"/>
  <c r="H93" i="65"/>
  <c r="N92" i="65"/>
  <c r="J92" i="65"/>
  <c r="I92" i="65"/>
  <c r="H92" i="65"/>
  <c r="N91" i="65"/>
  <c r="J91" i="65"/>
  <c r="I91" i="65"/>
  <c r="H91" i="65"/>
  <c r="N90" i="65"/>
  <c r="J90" i="65"/>
  <c r="I90" i="65"/>
  <c r="H90" i="65"/>
  <c r="N89" i="65"/>
  <c r="J89" i="65"/>
  <c r="I89" i="65"/>
  <c r="H89" i="65"/>
  <c r="N88" i="65"/>
  <c r="J88" i="65"/>
  <c r="I88" i="65"/>
  <c r="H88" i="65"/>
  <c r="G87" i="65"/>
  <c r="I87" i="65" s="1"/>
  <c r="N86" i="65"/>
  <c r="J86" i="65"/>
  <c r="I86" i="65"/>
  <c r="H86" i="65"/>
  <c r="N85" i="65"/>
  <c r="J85" i="65"/>
  <c r="I85" i="65"/>
  <c r="H85" i="65"/>
  <c r="N84" i="65"/>
  <c r="J84" i="65"/>
  <c r="I84" i="65"/>
  <c r="H84" i="65"/>
  <c r="N83" i="65"/>
  <c r="J83" i="65"/>
  <c r="I83" i="65"/>
  <c r="H83" i="65"/>
  <c r="N82" i="65"/>
  <c r="J82" i="65"/>
  <c r="I82" i="65"/>
  <c r="H82" i="65"/>
  <c r="N81" i="65"/>
  <c r="J81" i="65"/>
  <c r="P35" i="1" s="1"/>
  <c r="I81" i="65"/>
  <c r="H81" i="65"/>
  <c r="N80" i="65"/>
  <c r="G80" i="65"/>
  <c r="I80" i="65" s="1"/>
  <c r="N79" i="65"/>
  <c r="J79" i="65"/>
  <c r="I79" i="65"/>
  <c r="H79" i="65"/>
  <c r="N78" i="65"/>
  <c r="J78" i="65"/>
  <c r="I78" i="65"/>
  <c r="H78" i="65"/>
  <c r="N77" i="65"/>
  <c r="J77" i="65"/>
  <c r="I77" i="65"/>
  <c r="H77" i="65"/>
  <c r="N76" i="65"/>
  <c r="J76" i="65"/>
  <c r="I76" i="65"/>
  <c r="H76" i="65"/>
  <c r="N75" i="65"/>
  <c r="J75" i="65"/>
  <c r="I75" i="65"/>
  <c r="H75" i="65"/>
  <c r="N74" i="65"/>
  <c r="J74" i="65"/>
  <c r="P34" i="1" s="1"/>
  <c r="I74" i="65"/>
  <c r="H74" i="65"/>
  <c r="G73" i="65"/>
  <c r="N73" i="65" s="1"/>
  <c r="N72" i="65"/>
  <c r="J72" i="65"/>
  <c r="I72" i="65"/>
  <c r="H72" i="65"/>
  <c r="N71" i="65"/>
  <c r="J71" i="65"/>
  <c r="I71" i="65"/>
  <c r="H71" i="65"/>
  <c r="N70" i="65"/>
  <c r="J70" i="65"/>
  <c r="I70" i="65"/>
  <c r="H70" i="65"/>
  <c r="N69" i="65"/>
  <c r="J69" i="65"/>
  <c r="I69" i="65"/>
  <c r="H69" i="65"/>
  <c r="N68" i="65"/>
  <c r="J68" i="65"/>
  <c r="I68" i="65"/>
  <c r="H68" i="65"/>
  <c r="N67" i="65"/>
  <c r="J67" i="65"/>
  <c r="I67" i="65"/>
  <c r="H67" i="65"/>
  <c r="G66" i="65"/>
  <c r="N66" i="65" s="1"/>
  <c r="N65" i="65"/>
  <c r="J65" i="65"/>
  <c r="I65" i="65"/>
  <c r="H65" i="65"/>
  <c r="N64" i="65"/>
  <c r="J64" i="65"/>
  <c r="I64" i="65"/>
  <c r="H64" i="65"/>
  <c r="G63" i="65"/>
  <c r="I63" i="65" s="1"/>
  <c r="N62" i="65"/>
  <c r="J62" i="65"/>
  <c r="I62" i="65"/>
  <c r="H62" i="65"/>
  <c r="N61" i="65"/>
  <c r="J61" i="65"/>
  <c r="I61" i="65"/>
  <c r="H61" i="65"/>
  <c r="N60" i="65"/>
  <c r="J60" i="65"/>
  <c r="P31" i="1" s="1"/>
  <c r="I60" i="65"/>
  <c r="H60" i="65"/>
  <c r="N59" i="65"/>
  <c r="I59" i="65"/>
  <c r="G59" i="65"/>
  <c r="N58" i="65"/>
  <c r="J58" i="65"/>
  <c r="I58" i="65"/>
  <c r="H58" i="65"/>
  <c r="N57" i="65"/>
  <c r="J57" i="65"/>
  <c r="I57" i="65"/>
  <c r="H57" i="65"/>
  <c r="N56" i="65"/>
  <c r="J56" i="65"/>
  <c r="I56" i="65"/>
  <c r="H56" i="65"/>
  <c r="N55" i="65"/>
  <c r="J55" i="65"/>
  <c r="I55" i="65"/>
  <c r="H55" i="65"/>
  <c r="N54" i="65"/>
  <c r="J54" i="65"/>
  <c r="I54" i="65"/>
  <c r="H54" i="65"/>
  <c r="N53" i="65"/>
  <c r="J53" i="65"/>
  <c r="P30" i="1" s="1"/>
  <c r="I53" i="65"/>
  <c r="H53" i="65"/>
  <c r="G52" i="65"/>
  <c r="N52" i="65" s="1"/>
  <c r="N51" i="65"/>
  <c r="J51" i="65"/>
  <c r="I51" i="65"/>
  <c r="H51" i="65"/>
  <c r="N50" i="65"/>
  <c r="J50" i="65"/>
  <c r="I50" i="65"/>
  <c r="H50" i="65"/>
  <c r="N49" i="65"/>
  <c r="J49" i="65"/>
  <c r="I49" i="65"/>
  <c r="H49" i="65"/>
  <c r="N48" i="65"/>
  <c r="J48" i="65"/>
  <c r="I48" i="65"/>
  <c r="H48" i="65"/>
  <c r="N47" i="65"/>
  <c r="J47" i="65"/>
  <c r="I47" i="65"/>
  <c r="H47" i="65"/>
  <c r="N46" i="65"/>
  <c r="J46" i="65"/>
  <c r="I46" i="65"/>
  <c r="H46" i="65"/>
  <c r="N45" i="65"/>
  <c r="J45" i="65"/>
  <c r="I45" i="65"/>
  <c r="H45" i="65"/>
  <c r="N44" i="65"/>
  <c r="J44" i="65"/>
  <c r="P29" i="1" s="1"/>
  <c r="I44" i="65"/>
  <c r="H44" i="65"/>
  <c r="G43" i="65"/>
  <c r="N42" i="65"/>
  <c r="J42" i="65"/>
  <c r="I42" i="65"/>
  <c r="H42" i="65"/>
  <c r="N41" i="65"/>
  <c r="J41" i="65"/>
  <c r="I41" i="65"/>
  <c r="H41" i="65"/>
  <c r="N40" i="65"/>
  <c r="J40" i="65"/>
  <c r="I40" i="65"/>
  <c r="H40" i="65"/>
  <c r="N39" i="65"/>
  <c r="J39" i="65"/>
  <c r="I39" i="65"/>
  <c r="H39" i="65"/>
  <c r="N38" i="65"/>
  <c r="J38" i="65"/>
  <c r="I38" i="65"/>
  <c r="H38" i="65"/>
  <c r="N37" i="65"/>
  <c r="J37" i="65"/>
  <c r="I37" i="65"/>
  <c r="H37" i="65"/>
  <c r="G36" i="65"/>
  <c r="N36" i="65" s="1"/>
  <c r="N35" i="65"/>
  <c r="J35" i="65"/>
  <c r="I35" i="65"/>
  <c r="H35" i="65"/>
  <c r="N34" i="65"/>
  <c r="J34" i="65"/>
  <c r="P26" i="1" s="1"/>
  <c r="I34" i="65"/>
  <c r="H34" i="65"/>
  <c r="N33" i="65"/>
  <c r="J33" i="65"/>
  <c r="P25" i="1" s="1"/>
  <c r="I33" i="65"/>
  <c r="H33" i="65"/>
  <c r="N32" i="65"/>
  <c r="J32" i="65"/>
  <c r="I32" i="65"/>
  <c r="H32" i="65"/>
  <c r="N31" i="65"/>
  <c r="J31" i="65"/>
  <c r="I31" i="65"/>
  <c r="H31" i="65"/>
  <c r="N30" i="65"/>
  <c r="J30" i="65"/>
  <c r="I30" i="65"/>
  <c r="H30" i="65"/>
  <c r="N29" i="65"/>
  <c r="J29" i="65"/>
  <c r="I29" i="65"/>
  <c r="H29" i="65"/>
  <c r="N28" i="65"/>
  <c r="J28" i="65"/>
  <c r="I28" i="65"/>
  <c r="H28" i="65"/>
  <c r="N27" i="65"/>
  <c r="J27" i="65"/>
  <c r="P24" i="1" s="1"/>
  <c r="I27" i="65"/>
  <c r="H27" i="65"/>
  <c r="N26" i="65"/>
  <c r="J26" i="65"/>
  <c r="I26" i="65"/>
  <c r="H26" i="65"/>
  <c r="N25" i="65"/>
  <c r="J25" i="65"/>
  <c r="I25" i="65"/>
  <c r="H25" i="65"/>
  <c r="N24" i="65"/>
  <c r="J24" i="65"/>
  <c r="I24" i="65"/>
  <c r="H24" i="65"/>
  <c r="N23" i="65"/>
  <c r="J23" i="65"/>
  <c r="I23" i="65"/>
  <c r="H23" i="65"/>
  <c r="N22" i="65"/>
  <c r="J22" i="65"/>
  <c r="I22" i="65"/>
  <c r="H22" i="65"/>
  <c r="N21" i="65"/>
  <c r="J21" i="65"/>
  <c r="I21" i="65"/>
  <c r="H21" i="65"/>
  <c r="N20" i="65"/>
  <c r="J20" i="65"/>
  <c r="I20" i="65"/>
  <c r="H20" i="65"/>
  <c r="N19" i="65"/>
  <c r="J19" i="65"/>
  <c r="I19" i="65"/>
  <c r="H19" i="65"/>
  <c r="N18" i="65"/>
  <c r="J18" i="65"/>
  <c r="I18" i="65"/>
  <c r="H18" i="65"/>
  <c r="N17" i="65"/>
  <c r="J17" i="65"/>
  <c r="I17" i="65"/>
  <c r="H17" i="65"/>
  <c r="N16" i="65"/>
  <c r="J16" i="65"/>
  <c r="P22" i="1" s="1"/>
  <c r="I16" i="65"/>
  <c r="H16" i="65"/>
  <c r="N15" i="65"/>
  <c r="J15" i="65"/>
  <c r="I15" i="65"/>
  <c r="H15" i="65"/>
  <c r="N14" i="65"/>
  <c r="J14" i="65"/>
  <c r="P21" i="1" s="1"/>
  <c r="I14" i="65"/>
  <c r="H14" i="65"/>
  <c r="I13" i="65"/>
  <c r="G13" i="65"/>
  <c r="N13" i="65" s="1"/>
  <c r="N12" i="65"/>
  <c r="J12" i="65"/>
  <c r="I12" i="65"/>
  <c r="H12" i="65"/>
  <c r="N11" i="65"/>
  <c r="J11" i="65"/>
  <c r="P20" i="1" s="1"/>
  <c r="I11" i="65"/>
  <c r="H11" i="65"/>
  <c r="N10" i="65"/>
  <c r="J10" i="65"/>
  <c r="I10" i="65"/>
  <c r="H10" i="65"/>
  <c r="N9" i="65"/>
  <c r="J9" i="65"/>
  <c r="I9" i="65"/>
  <c r="H9" i="65"/>
  <c r="N8" i="65"/>
  <c r="J8" i="65"/>
  <c r="I8" i="65"/>
  <c r="H8" i="65"/>
  <c r="N7" i="65"/>
  <c r="J7" i="65"/>
  <c r="P18" i="1" s="1"/>
  <c r="I7" i="65"/>
  <c r="H7" i="65"/>
  <c r="N6" i="65"/>
  <c r="J6" i="65"/>
  <c r="I6" i="65"/>
  <c r="H6" i="65"/>
  <c r="N5" i="65"/>
  <c r="J5" i="65"/>
  <c r="P17" i="1" s="1"/>
  <c r="I5" i="65"/>
  <c r="H5" i="65"/>
  <c r="E2" i="65"/>
  <c r="O37" i="1"/>
  <c r="O36" i="1"/>
  <c r="O32" i="1"/>
  <c r="O28" i="1"/>
  <c r="O23" i="1"/>
  <c r="O19" i="1"/>
  <c r="F2" i="64"/>
  <c r="N100" i="64"/>
  <c r="J100" i="64"/>
  <c r="I100" i="64"/>
  <c r="H100" i="64"/>
  <c r="N99" i="64"/>
  <c r="J99" i="64"/>
  <c r="I99" i="64"/>
  <c r="H99" i="64"/>
  <c r="N98" i="64"/>
  <c r="J98" i="64"/>
  <c r="I98" i="64"/>
  <c r="H98" i="64"/>
  <c r="N97" i="64"/>
  <c r="J97" i="64"/>
  <c r="I97" i="64"/>
  <c r="H97" i="64"/>
  <c r="N96" i="64"/>
  <c r="J96" i="64"/>
  <c r="I96" i="64"/>
  <c r="H96" i="64"/>
  <c r="N95" i="64"/>
  <c r="J95" i="64"/>
  <c r="I95" i="64"/>
  <c r="H95" i="64"/>
  <c r="G94" i="64"/>
  <c r="N94" i="64" s="1"/>
  <c r="N93" i="64"/>
  <c r="J93" i="64"/>
  <c r="I93" i="64"/>
  <c r="H93" i="64"/>
  <c r="N92" i="64"/>
  <c r="J92" i="64"/>
  <c r="I92" i="64"/>
  <c r="H92" i="64"/>
  <c r="N91" i="64"/>
  <c r="J91" i="64"/>
  <c r="I91" i="64"/>
  <c r="H91" i="64"/>
  <c r="N90" i="64"/>
  <c r="J90" i="64"/>
  <c r="I90" i="64"/>
  <c r="H90" i="64"/>
  <c r="N89" i="64"/>
  <c r="J89" i="64"/>
  <c r="I89" i="64"/>
  <c r="H89" i="64"/>
  <c r="N88" i="64"/>
  <c r="J88" i="64"/>
  <c r="I88" i="64"/>
  <c r="H88" i="64"/>
  <c r="G87" i="64"/>
  <c r="I87" i="64" s="1"/>
  <c r="N86" i="64"/>
  <c r="J86" i="64"/>
  <c r="I86" i="64"/>
  <c r="H86" i="64"/>
  <c r="N85" i="64"/>
  <c r="J85" i="64"/>
  <c r="I85" i="64"/>
  <c r="H85" i="64"/>
  <c r="N84" i="64"/>
  <c r="J84" i="64"/>
  <c r="I84" i="64"/>
  <c r="H84" i="64"/>
  <c r="N83" i="64"/>
  <c r="J83" i="64"/>
  <c r="I83" i="64"/>
  <c r="H83" i="64"/>
  <c r="N82" i="64"/>
  <c r="J82" i="64"/>
  <c r="I82" i="64"/>
  <c r="H82" i="64"/>
  <c r="N81" i="64"/>
  <c r="J81" i="64"/>
  <c r="O35" i="1" s="1"/>
  <c r="I81" i="64"/>
  <c r="H81" i="64"/>
  <c r="I80" i="64"/>
  <c r="G80" i="64"/>
  <c r="N80" i="64" s="1"/>
  <c r="N79" i="64"/>
  <c r="J79" i="64"/>
  <c r="I79" i="64"/>
  <c r="H79" i="64"/>
  <c r="N78" i="64"/>
  <c r="J78" i="64"/>
  <c r="I78" i="64"/>
  <c r="H78" i="64"/>
  <c r="N77" i="64"/>
  <c r="J77" i="64"/>
  <c r="I77" i="64"/>
  <c r="H77" i="64"/>
  <c r="N76" i="64"/>
  <c r="J76" i="64"/>
  <c r="I76" i="64"/>
  <c r="H76" i="64"/>
  <c r="N75" i="64"/>
  <c r="J75" i="64"/>
  <c r="I75" i="64"/>
  <c r="H75" i="64"/>
  <c r="N74" i="64"/>
  <c r="J74" i="64"/>
  <c r="O34" i="1" s="1"/>
  <c r="I74" i="64"/>
  <c r="H74" i="64"/>
  <c r="G73" i="64"/>
  <c r="N73" i="64" s="1"/>
  <c r="N72" i="64"/>
  <c r="J72" i="64"/>
  <c r="I72" i="64"/>
  <c r="H72" i="64"/>
  <c r="N71" i="64"/>
  <c r="J71" i="64"/>
  <c r="I71" i="64"/>
  <c r="H71" i="64"/>
  <c r="N70" i="64"/>
  <c r="J70" i="64"/>
  <c r="I70" i="64"/>
  <c r="H70" i="64"/>
  <c r="N69" i="64"/>
  <c r="J69" i="64"/>
  <c r="I69" i="64"/>
  <c r="H69" i="64"/>
  <c r="N68" i="64"/>
  <c r="J68" i="64"/>
  <c r="I68" i="64"/>
  <c r="H68" i="64"/>
  <c r="N67" i="64"/>
  <c r="J67" i="64"/>
  <c r="O33" i="1" s="1"/>
  <c r="I67" i="64"/>
  <c r="H67" i="64"/>
  <c r="G66" i="64"/>
  <c r="N65" i="64"/>
  <c r="J65" i="64"/>
  <c r="I65" i="64"/>
  <c r="H65" i="64"/>
  <c r="N64" i="64"/>
  <c r="J64" i="64"/>
  <c r="I64" i="64"/>
  <c r="H64" i="64"/>
  <c r="N63" i="64"/>
  <c r="G63" i="64"/>
  <c r="I63" i="64" s="1"/>
  <c r="N62" i="64"/>
  <c r="J62" i="64"/>
  <c r="I62" i="64"/>
  <c r="H62" i="64"/>
  <c r="N61" i="64"/>
  <c r="J61" i="64"/>
  <c r="I61" i="64"/>
  <c r="H61" i="64"/>
  <c r="N60" i="64"/>
  <c r="J60" i="64"/>
  <c r="O31" i="1" s="1"/>
  <c r="I60" i="64"/>
  <c r="H60" i="64"/>
  <c r="G59" i="64"/>
  <c r="N58" i="64"/>
  <c r="J58" i="64"/>
  <c r="I58" i="64"/>
  <c r="H58" i="64"/>
  <c r="N57" i="64"/>
  <c r="J57" i="64"/>
  <c r="I57" i="64"/>
  <c r="H57" i="64"/>
  <c r="N56" i="64"/>
  <c r="J56" i="64"/>
  <c r="I56" i="64"/>
  <c r="H56" i="64"/>
  <c r="N55" i="64"/>
  <c r="J55" i="64"/>
  <c r="I55" i="64"/>
  <c r="H55" i="64"/>
  <c r="N54" i="64"/>
  <c r="J54" i="64"/>
  <c r="I54" i="64"/>
  <c r="H54" i="64"/>
  <c r="N53" i="64"/>
  <c r="J53" i="64"/>
  <c r="O30" i="1" s="1"/>
  <c r="I53" i="64"/>
  <c r="H53" i="64"/>
  <c r="G52" i="64"/>
  <c r="N52" i="64" s="1"/>
  <c r="N51" i="64"/>
  <c r="J51" i="64"/>
  <c r="I51" i="64"/>
  <c r="H51" i="64"/>
  <c r="N50" i="64"/>
  <c r="J50" i="64"/>
  <c r="I50" i="64"/>
  <c r="H50" i="64"/>
  <c r="N49" i="64"/>
  <c r="J49" i="64"/>
  <c r="I49" i="64"/>
  <c r="H49" i="64"/>
  <c r="N48" i="64"/>
  <c r="J48" i="64"/>
  <c r="I48" i="64"/>
  <c r="H48" i="64"/>
  <c r="N47" i="64"/>
  <c r="J47" i="64"/>
  <c r="I47" i="64"/>
  <c r="H47" i="64"/>
  <c r="N46" i="64"/>
  <c r="J46" i="64"/>
  <c r="I46" i="64"/>
  <c r="H46" i="64"/>
  <c r="N45" i="64"/>
  <c r="J45" i="64"/>
  <c r="I45" i="64"/>
  <c r="H45" i="64"/>
  <c r="N44" i="64"/>
  <c r="J44" i="64"/>
  <c r="O29" i="1" s="1"/>
  <c r="I44" i="64"/>
  <c r="H44" i="64"/>
  <c r="G43" i="64"/>
  <c r="N43" i="64" s="1"/>
  <c r="N42" i="64"/>
  <c r="J42" i="64"/>
  <c r="I42" i="64"/>
  <c r="H42" i="64"/>
  <c r="N41" i="64"/>
  <c r="J41" i="64"/>
  <c r="I41" i="64"/>
  <c r="H41" i="64"/>
  <c r="N40" i="64"/>
  <c r="J40" i="64"/>
  <c r="I40" i="64"/>
  <c r="H40" i="64"/>
  <c r="N39" i="64"/>
  <c r="J39" i="64"/>
  <c r="I39" i="64"/>
  <c r="H39" i="64"/>
  <c r="N38" i="64"/>
  <c r="J38" i="64"/>
  <c r="I38" i="64"/>
  <c r="H38" i="64"/>
  <c r="N37" i="64"/>
  <c r="J37" i="64"/>
  <c r="I37" i="64"/>
  <c r="H37" i="64"/>
  <c r="N36" i="64"/>
  <c r="G36" i="64"/>
  <c r="I36" i="64" s="1"/>
  <c r="N35" i="64"/>
  <c r="J35" i="64"/>
  <c r="I35" i="64"/>
  <c r="H35" i="64"/>
  <c r="N34" i="64"/>
  <c r="J34" i="64"/>
  <c r="O26" i="1" s="1"/>
  <c r="I34" i="64"/>
  <c r="H34" i="64"/>
  <c r="N33" i="64"/>
  <c r="J33" i="64"/>
  <c r="O25" i="1" s="1"/>
  <c r="I33" i="64"/>
  <c r="H33" i="64"/>
  <c r="N32" i="64"/>
  <c r="J32" i="64"/>
  <c r="I32" i="64"/>
  <c r="H32" i="64"/>
  <c r="N31" i="64"/>
  <c r="J31" i="64"/>
  <c r="I31" i="64"/>
  <c r="H31" i="64"/>
  <c r="N30" i="64"/>
  <c r="J30" i="64"/>
  <c r="I30" i="64"/>
  <c r="H30" i="64"/>
  <c r="N29" i="64"/>
  <c r="J29" i="64"/>
  <c r="I29" i="64"/>
  <c r="H29" i="64"/>
  <c r="N28" i="64"/>
  <c r="J28" i="64"/>
  <c r="I28" i="64"/>
  <c r="H28" i="64"/>
  <c r="N27" i="64"/>
  <c r="J27" i="64"/>
  <c r="O24" i="1" s="1"/>
  <c r="I27" i="64"/>
  <c r="H27" i="64"/>
  <c r="N26" i="64"/>
  <c r="J26" i="64"/>
  <c r="I26" i="64"/>
  <c r="H26" i="64"/>
  <c r="N25" i="64"/>
  <c r="J25" i="64"/>
  <c r="I25" i="64"/>
  <c r="H25" i="64"/>
  <c r="N24" i="64"/>
  <c r="J24" i="64"/>
  <c r="I24" i="64"/>
  <c r="H24" i="64"/>
  <c r="N23" i="64"/>
  <c r="J23" i="64"/>
  <c r="I23" i="64"/>
  <c r="H23" i="64"/>
  <c r="N22" i="64"/>
  <c r="J22" i="64"/>
  <c r="I22" i="64"/>
  <c r="H22" i="64"/>
  <c r="N21" i="64"/>
  <c r="J21" i="64"/>
  <c r="I21" i="64"/>
  <c r="H21" i="64"/>
  <c r="N20" i="64"/>
  <c r="J20" i="64"/>
  <c r="I20" i="64"/>
  <c r="H20" i="64"/>
  <c r="N19" i="64"/>
  <c r="J19" i="64"/>
  <c r="I19" i="64"/>
  <c r="H19" i="64"/>
  <c r="N18" i="64"/>
  <c r="J18" i="64"/>
  <c r="I18" i="64"/>
  <c r="H18" i="64"/>
  <c r="N17" i="64"/>
  <c r="J17" i="64"/>
  <c r="I17" i="64"/>
  <c r="H17" i="64"/>
  <c r="N16" i="64"/>
  <c r="J16" i="64"/>
  <c r="O22" i="1" s="1"/>
  <c r="I16" i="64"/>
  <c r="H16" i="64"/>
  <c r="N15" i="64"/>
  <c r="J15" i="64"/>
  <c r="I15" i="64"/>
  <c r="H15" i="64"/>
  <c r="N14" i="64"/>
  <c r="J14" i="64"/>
  <c r="O21" i="1" s="1"/>
  <c r="I14" i="64"/>
  <c r="H14" i="64"/>
  <c r="G13" i="64"/>
  <c r="N13" i="64" s="1"/>
  <c r="N12" i="64"/>
  <c r="J12" i="64"/>
  <c r="I12" i="64"/>
  <c r="H12" i="64"/>
  <c r="N11" i="64"/>
  <c r="J11" i="64"/>
  <c r="O20" i="1" s="1"/>
  <c r="I11" i="64"/>
  <c r="H11" i="64"/>
  <c r="N10" i="64"/>
  <c r="J10" i="64"/>
  <c r="I10" i="64"/>
  <c r="H10" i="64"/>
  <c r="N9" i="64"/>
  <c r="J9" i="64"/>
  <c r="I9" i="64"/>
  <c r="H9" i="64"/>
  <c r="N8" i="64"/>
  <c r="J8" i="64"/>
  <c r="I8" i="64"/>
  <c r="H8" i="64"/>
  <c r="N7" i="64"/>
  <c r="J7" i="64"/>
  <c r="O18" i="1" s="1"/>
  <c r="I7" i="64"/>
  <c r="H7" i="64"/>
  <c r="N6" i="64"/>
  <c r="J6" i="64"/>
  <c r="I6" i="64"/>
  <c r="H6" i="64"/>
  <c r="N5" i="64"/>
  <c r="J5" i="64"/>
  <c r="O17" i="1" s="1"/>
  <c r="I5" i="64"/>
  <c r="H5" i="64"/>
  <c r="E2" i="64"/>
  <c r="N34" i="1"/>
  <c r="N30" i="1"/>
  <c r="N25" i="1"/>
  <c r="N21" i="1"/>
  <c r="N17" i="1"/>
  <c r="F2" i="63"/>
  <c r="N100" i="63"/>
  <c r="J100" i="63"/>
  <c r="I100" i="63"/>
  <c r="H100" i="63"/>
  <c r="N99" i="63"/>
  <c r="J99" i="63"/>
  <c r="I99" i="63"/>
  <c r="H99" i="63"/>
  <c r="N98" i="63"/>
  <c r="J98" i="63"/>
  <c r="I98" i="63"/>
  <c r="H98" i="63"/>
  <c r="N97" i="63"/>
  <c r="J97" i="63"/>
  <c r="I97" i="63"/>
  <c r="H97" i="63"/>
  <c r="N96" i="63"/>
  <c r="J96" i="63"/>
  <c r="I96" i="63"/>
  <c r="H96" i="63"/>
  <c r="N95" i="63"/>
  <c r="J95" i="63"/>
  <c r="N37" i="1" s="1"/>
  <c r="I95" i="63"/>
  <c r="H95" i="63"/>
  <c r="G94" i="63"/>
  <c r="N94" i="63" s="1"/>
  <c r="N93" i="63"/>
  <c r="J93" i="63"/>
  <c r="I93" i="63"/>
  <c r="H93" i="63"/>
  <c r="N92" i="63"/>
  <c r="J92" i="63"/>
  <c r="I92" i="63"/>
  <c r="H92" i="63"/>
  <c r="N91" i="63"/>
  <c r="J91" i="63"/>
  <c r="I91" i="63"/>
  <c r="H91" i="63"/>
  <c r="N90" i="63"/>
  <c r="J90" i="63"/>
  <c r="I90" i="63"/>
  <c r="H90" i="63"/>
  <c r="N89" i="63"/>
  <c r="J89" i="63"/>
  <c r="I89" i="63"/>
  <c r="H89" i="63"/>
  <c r="N88" i="63"/>
  <c r="J88" i="63"/>
  <c r="N36" i="1" s="1"/>
  <c r="I88" i="63"/>
  <c r="H88" i="63"/>
  <c r="N87" i="63"/>
  <c r="G87" i="63"/>
  <c r="I87" i="63" s="1"/>
  <c r="N86" i="63"/>
  <c r="J86" i="63"/>
  <c r="I86" i="63"/>
  <c r="H86" i="63"/>
  <c r="N85" i="63"/>
  <c r="J85" i="63"/>
  <c r="I85" i="63"/>
  <c r="H85" i="63"/>
  <c r="N84" i="63"/>
  <c r="J84" i="63"/>
  <c r="I84" i="63"/>
  <c r="H84" i="63"/>
  <c r="N83" i="63"/>
  <c r="J83" i="63"/>
  <c r="I83" i="63"/>
  <c r="H83" i="63"/>
  <c r="N82" i="63"/>
  <c r="J82" i="63"/>
  <c r="I82" i="63"/>
  <c r="H82" i="63"/>
  <c r="N81" i="63"/>
  <c r="J81" i="63"/>
  <c r="N35" i="1" s="1"/>
  <c r="I81" i="63"/>
  <c r="H81" i="63"/>
  <c r="G80" i="63"/>
  <c r="N79" i="63"/>
  <c r="J79" i="63"/>
  <c r="I79" i="63"/>
  <c r="H79" i="63"/>
  <c r="N78" i="63"/>
  <c r="J78" i="63"/>
  <c r="I78" i="63"/>
  <c r="H78" i="63"/>
  <c r="N77" i="63"/>
  <c r="J77" i="63"/>
  <c r="I77" i="63"/>
  <c r="H77" i="63"/>
  <c r="N76" i="63"/>
  <c r="J76" i="63"/>
  <c r="I76" i="63"/>
  <c r="H76" i="63"/>
  <c r="N75" i="63"/>
  <c r="J75" i="63"/>
  <c r="I75" i="63"/>
  <c r="H75" i="63"/>
  <c r="N74" i="63"/>
  <c r="J74" i="63"/>
  <c r="I74" i="63"/>
  <c r="H74" i="63"/>
  <c r="G73" i="63"/>
  <c r="N73" i="63" s="1"/>
  <c r="N72" i="63"/>
  <c r="J72" i="63"/>
  <c r="I72" i="63"/>
  <c r="H72" i="63"/>
  <c r="N71" i="63"/>
  <c r="J71" i="63"/>
  <c r="I71" i="63"/>
  <c r="H71" i="63"/>
  <c r="N70" i="63"/>
  <c r="J70" i="63"/>
  <c r="I70" i="63"/>
  <c r="H70" i="63"/>
  <c r="N69" i="63"/>
  <c r="J69" i="63"/>
  <c r="I69" i="63"/>
  <c r="H69" i="63"/>
  <c r="N68" i="63"/>
  <c r="J68" i="63"/>
  <c r="I68" i="63"/>
  <c r="H68" i="63"/>
  <c r="N67" i="63"/>
  <c r="J67" i="63"/>
  <c r="N33" i="1" s="1"/>
  <c r="I67" i="63"/>
  <c r="H67" i="63"/>
  <c r="G66" i="63"/>
  <c r="N66" i="63" s="1"/>
  <c r="N65" i="63"/>
  <c r="J65" i="63"/>
  <c r="I65" i="63"/>
  <c r="H65" i="63"/>
  <c r="N64" i="63"/>
  <c r="J64" i="63"/>
  <c r="N32" i="1" s="1"/>
  <c r="I64" i="63"/>
  <c r="H64" i="63"/>
  <c r="G63" i="63"/>
  <c r="N62" i="63"/>
  <c r="J62" i="63"/>
  <c r="I62" i="63"/>
  <c r="H62" i="63"/>
  <c r="N61" i="63"/>
  <c r="J61" i="63"/>
  <c r="I61" i="63"/>
  <c r="H61" i="63"/>
  <c r="N60" i="63"/>
  <c r="J60" i="63"/>
  <c r="N31" i="1" s="1"/>
  <c r="I60" i="63"/>
  <c r="H60" i="63"/>
  <c r="G59" i="63"/>
  <c r="N59" i="63" s="1"/>
  <c r="N58" i="63"/>
  <c r="J58" i="63"/>
  <c r="I58" i="63"/>
  <c r="H58" i="63"/>
  <c r="N57" i="63"/>
  <c r="J57" i="63"/>
  <c r="I57" i="63"/>
  <c r="H57" i="63"/>
  <c r="N56" i="63"/>
  <c r="J56" i="63"/>
  <c r="I56" i="63"/>
  <c r="H56" i="63"/>
  <c r="N55" i="63"/>
  <c r="J55" i="63"/>
  <c r="I55" i="63"/>
  <c r="H55" i="63"/>
  <c r="N54" i="63"/>
  <c r="J54" i="63"/>
  <c r="I54" i="63"/>
  <c r="H54" i="63"/>
  <c r="N53" i="63"/>
  <c r="J53" i="63"/>
  <c r="I53" i="63"/>
  <c r="H53" i="63"/>
  <c r="G52" i="63"/>
  <c r="N52" i="63" s="1"/>
  <c r="N51" i="63"/>
  <c r="J51" i="63"/>
  <c r="I51" i="63"/>
  <c r="H51" i="63"/>
  <c r="N50" i="63"/>
  <c r="J50" i="63"/>
  <c r="I50" i="63"/>
  <c r="H50" i="63"/>
  <c r="N49" i="63"/>
  <c r="J49" i="63"/>
  <c r="I49" i="63"/>
  <c r="H49" i="63"/>
  <c r="N48" i="63"/>
  <c r="J48" i="63"/>
  <c r="I48" i="63"/>
  <c r="H48" i="63"/>
  <c r="N47" i="63"/>
  <c r="J47" i="63"/>
  <c r="I47" i="63"/>
  <c r="H47" i="63"/>
  <c r="N46" i="63"/>
  <c r="J46" i="63"/>
  <c r="I46" i="63"/>
  <c r="H46" i="63"/>
  <c r="N45" i="63"/>
  <c r="J45" i="63"/>
  <c r="I45" i="63"/>
  <c r="H45" i="63"/>
  <c r="N44" i="63"/>
  <c r="J44" i="63"/>
  <c r="N29" i="1" s="1"/>
  <c r="I44" i="63"/>
  <c r="H44" i="63"/>
  <c r="N43" i="63"/>
  <c r="G43" i="63"/>
  <c r="I43" i="63" s="1"/>
  <c r="N42" i="63"/>
  <c r="J42" i="63"/>
  <c r="I42" i="63"/>
  <c r="H42" i="63"/>
  <c r="N41" i="63"/>
  <c r="J41" i="63"/>
  <c r="I41" i="63"/>
  <c r="H41" i="63"/>
  <c r="N40" i="63"/>
  <c r="J40" i="63"/>
  <c r="I40" i="63"/>
  <c r="H40" i="63"/>
  <c r="N39" i="63"/>
  <c r="J39" i="63"/>
  <c r="I39" i="63"/>
  <c r="H39" i="63"/>
  <c r="N38" i="63"/>
  <c r="J38" i="63"/>
  <c r="I38" i="63"/>
  <c r="H38" i="63"/>
  <c r="N37" i="63"/>
  <c r="J37" i="63"/>
  <c r="N28" i="1" s="1"/>
  <c r="I37" i="63"/>
  <c r="H37" i="63"/>
  <c r="N36" i="63"/>
  <c r="I36" i="63"/>
  <c r="G36" i="63"/>
  <c r="N35" i="63"/>
  <c r="J35" i="63"/>
  <c r="I35" i="63"/>
  <c r="H35" i="63"/>
  <c r="N34" i="63"/>
  <c r="J34" i="63"/>
  <c r="N26" i="1" s="1"/>
  <c r="I34" i="63"/>
  <c r="H34" i="63"/>
  <c r="N33" i="63"/>
  <c r="J33" i="63"/>
  <c r="I33" i="63"/>
  <c r="H33" i="63"/>
  <c r="N32" i="63"/>
  <c r="J32" i="63"/>
  <c r="I32" i="63"/>
  <c r="H32" i="63"/>
  <c r="N31" i="63"/>
  <c r="J31" i="63"/>
  <c r="I31" i="63"/>
  <c r="H31" i="63"/>
  <c r="N30" i="63"/>
  <c r="J30" i="63"/>
  <c r="I30" i="63"/>
  <c r="H30" i="63"/>
  <c r="N29" i="63"/>
  <c r="J29" i="63"/>
  <c r="I29" i="63"/>
  <c r="H29" i="63"/>
  <c r="N28" i="63"/>
  <c r="J28" i="63"/>
  <c r="I28" i="63"/>
  <c r="H28" i="63"/>
  <c r="N27" i="63"/>
  <c r="J27" i="63"/>
  <c r="N24" i="1" s="1"/>
  <c r="I27" i="63"/>
  <c r="H27" i="63"/>
  <c r="N26" i="63"/>
  <c r="J26" i="63"/>
  <c r="I26" i="63"/>
  <c r="H26" i="63"/>
  <c r="N25" i="63"/>
  <c r="J25" i="63"/>
  <c r="I25" i="63"/>
  <c r="H25" i="63"/>
  <c r="N24" i="63"/>
  <c r="J24" i="63"/>
  <c r="I24" i="63"/>
  <c r="H24" i="63"/>
  <c r="N23" i="63"/>
  <c r="J23" i="63"/>
  <c r="N23" i="1" s="1"/>
  <c r="I23" i="63"/>
  <c r="H23" i="63"/>
  <c r="N22" i="63"/>
  <c r="J22" i="63"/>
  <c r="I22" i="63"/>
  <c r="H22" i="63"/>
  <c r="N21" i="63"/>
  <c r="J21" i="63"/>
  <c r="I21" i="63"/>
  <c r="H21" i="63"/>
  <c r="N20" i="63"/>
  <c r="J20" i="63"/>
  <c r="I20" i="63"/>
  <c r="H20" i="63"/>
  <c r="N19" i="63"/>
  <c r="J19" i="63"/>
  <c r="I19" i="63"/>
  <c r="H19" i="63"/>
  <c r="N18" i="63"/>
  <c r="J18" i="63"/>
  <c r="I18" i="63"/>
  <c r="H18" i="63"/>
  <c r="N17" i="63"/>
  <c r="J17" i="63"/>
  <c r="I17" i="63"/>
  <c r="H17" i="63"/>
  <c r="N16" i="63"/>
  <c r="J16" i="63"/>
  <c r="N22" i="1" s="1"/>
  <c r="I16" i="63"/>
  <c r="H16" i="63"/>
  <c r="N15" i="63"/>
  <c r="J15" i="63"/>
  <c r="I15" i="63"/>
  <c r="H15" i="63"/>
  <c r="N14" i="63"/>
  <c r="J14" i="63"/>
  <c r="I14" i="63"/>
  <c r="H14" i="63"/>
  <c r="G13" i="63"/>
  <c r="N13" i="63" s="1"/>
  <c r="N12" i="63"/>
  <c r="J12" i="63"/>
  <c r="I12" i="63"/>
  <c r="H12" i="63"/>
  <c r="N11" i="63"/>
  <c r="J11" i="63"/>
  <c r="N20" i="1" s="1"/>
  <c r="I11" i="63"/>
  <c r="H11" i="63"/>
  <c r="N10" i="63"/>
  <c r="J10" i="63"/>
  <c r="I10" i="63"/>
  <c r="H10" i="63"/>
  <c r="N9" i="63"/>
  <c r="J9" i="63"/>
  <c r="I9" i="63"/>
  <c r="H9" i="63"/>
  <c r="N8" i="63"/>
  <c r="J8" i="63"/>
  <c r="N19" i="1" s="1"/>
  <c r="I8" i="63"/>
  <c r="H8" i="63"/>
  <c r="N7" i="63"/>
  <c r="J7" i="63"/>
  <c r="N18" i="1" s="1"/>
  <c r="I7" i="63"/>
  <c r="H7" i="63"/>
  <c r="N6" i="63"/>
  <c r="J6" i="63"/>
  <c r="I6" i="63"/>
  <c r="H6" i="63"/>
  <c r="N5" i="63"/>
  <c r="J5" i="63"/>
  <c r="I5" i="63"/>
  <c r="H5" i="63"/>
  <c r="E2" i="63"/>
  <c r="M34" i="1"/>
  <c r="M31" i="1"/>
  <c r="M25" i="1"/>
  <c r="M21" i="1"/>
  <c r="M17" i="1"/>
  <c r="F2" i="62"/>
  <c r="N100" i="62"/>
  <c r="J100" i="62"/>
  <c r="I100" i="62"/>
  <c r="H100" i="62"/>
  <c r="N99" i="62"/>
  <c r="J99" i="62"/>
  <c r="I99" i="62"/>
  <c r="H99" i="62"/>
  <c r="N98" i="62"/>
  <c r="J98" i="62"/>
  <c r="I98" i="62"/>
  <c r="H98" i="62"/>
  <c r="N97" i="62"/>
  <c r="J97" i="62"/>
  <c r="I97" i="62"/>
  <c r="H97" i="62"/>
  <c r="N96" i="62"/>
  <c r="J96" i="62"/>
  <c r="I96" i="62"/>
  <c r="H96" i="62"/>
  <c r="N95" i="62"/>
  <c r="J95" i="62"/>
  <c r="M37" i="1" s="1"/>
  <c r="I95" i="62"/>
  <c r="H95" i="62"/>
  <c r="G94" i="62"/>
  <c r="N94" i="62" s="1"/>
  <c r="N93" i="62"/>
  <c r="J93" i="62"/>
  <c r="I93" i="62"/>
  <c r="H93" i="62"/>
  <c r="N92" i="62"/>
  <c r="J92" i="62"/>
  <c r="I92" i="62"/>
  <c r="H92" i="62"/>
  <c r="N91" i="62"/>
  <c r="J91" i="62"/>
  <c r="I91" i="62"/>
  <c r="H91" i="62"/>
  <c r="N90" i="62"/>
  <c r="J90" i="62"/>
  <c r="I90" i="62"/>
  <c r="H90" i="62"/>
  <c r="N89" i="62"/>
  <c r="J89" i="62"/>
  <c r="I89" i="62"/>
  <c r="H89" i="62"/>
  <c r="N88" i="62"/>
  <c r="J88" i="62"/>
  <c r="M36" i="1" s="1"/>
  <c r="I88" i="62"/>
  <c r="H88" i="62"/>
  <c r="N87" i="62"/>
  <c r="G87" i="62"/>
  <c r="I87" i="62" s="1"/>
  <c r="N86" i="62"/>
  <c r="J86" i="62"/>
  <c r="I86" i="62"/>
  <c r="H86" i="62"/>
  <c r="N85" i="62"/>
  <c r="J85" i="62"/>
  <c r="I85" i="62"/>
  <c r="H85" i="62"/>
  <c r="N84" i="62"/>
  <c r="J84" i="62"/>
  <c r="I84" i="62"/>
  <c r="H84" i="62"/>
  <c r="N83" i="62"/>
  <c r="J83" i="62"/>
  <c r="I83" i="62"/>
  <c r="H83" i="62"/>
  <c r="N82" i="62"/>
  <c r="J82" i="62"/>
  <c r="I82" i="62"/>
  <c r="H82" i="62"/>
  <c r="N81" i="62"/>
  <c r="J81" i="62"/>
  <c r="M35" i="1" s="1"/>
  <c r="I81" i="62"/>
  <c r="H81" i="62"/>
  <c r="G80" i="62"/>
  <c r="N80" i="62" s="1"/>
  <c r="N79" i="62"/>
  <c r="J79" i="62"/>
  <c r="I79" i="62"/>
  <c r="H79" i="62"/>
  <c r="N78" i="62"/>
  <c r="J78" i="62"/>
  <c r="I78" i="62"/>
  <c r="H78" i="62"/>
  <c r="N77" i="62"/>
  <c r="J77" i="62"/>
  <c r="I77" i="62"/>
  <c r="H77" i="62"/>
  <c r="N76" i="62"/>
  <c r="J76" i="62"/>
  <c r="I76" i="62"/>
  <c r="H76" i="62"/>
  <c r="N75" i="62"/>
  <c r="J75" i="62"/>
  <c r="I75" i="62"/>
  <c r="H75" i="62"/>
  <c r="N74" i="62"/>
  <c r="J74" i="62"/>
  <c r="I74" i="62"/>
  <c r="H74" i="62"/>
  <c r="G73" i="62"/>
  <c r="N73" i="62" s="1"/>
  <c r="N72" i="62"/>
  <c r="J72" i="62"/>
  <c r="I72" i="62"/>
  <c r="H72" i="62"/>
  <c r="N71" i="62"/>
  <c r="J71" i="62"/>
  <c r="I71" i="62"/>
  <c r="H71" i="62"/>
  <c r="N70" i="62"/>
  <c r="J70" i="62"/>
  <c r="I70" i="62"/>
  <c r="H70" i="62"/>
  <c r="N69" i="62"/>
  <c r="J69" i="62"/>
  <c r="I69" i="62"/>
  <c r="H69" i="62"/>
  <c r="N68" i="62"/>
  <c r="J68" i="62"/>
  <c r="I68" i="62"/>
  <c r="H68" i="62"/>
  <c r="N67" i="62"/>
  <c r="J67" i="62"/>
  <c r="M33" i="1" s="1"/>
  <c r="I67" i="62"/>
  <c r="H67" i="62"/>
  <c r="I66" i="62"/>
  <c r="G66" i="62"/>
  <c r="N66" i="62" s="1"/>
  <c r="N65" i="62"/>
  <c r="J65" i="62"/>
  <c r="I65" i="62"/>
  <c r="H65" i="62"/>
  <c r="N64" i="62"/>
  <c r="J64" i="62"/>
  <c r="M32" i="1" s="1"/>
  <c r="I64" i="62"/>
  <c r="H64" i="62"/>
  <c r="G63" i="62"/>
  <c r="N62" i="62"/>
  <c r="J62" i="62"/>
  <c r="I62" i="62"/>
  <c r="H62" i="62"/>
  <c r="N61" i="62"/>
  <c r="J61" i="62"/>
  <c r="I61" i="62"/>
  <c r="H61" i="62"/>
  <c r="N60" i="62"/>
  <c r="J60" i="62"/>
  <c r="I60" i="62"/>
  <c r="H60" i="62"/>
  <c r="I59" i="62"/>
  <c r="G59" i="62"/>
  <c r="N59" i="62" s="1"/>
  <c r="N58" i="62"/>
  <c r="J58" i="62"/>
  <c r="I58" i="62"/>
  <c r="H58" i="62"/>
  <c r="N57" i="62"/>
  <c r="J57" i="62"/>
  <c r="I57" i="62"/>
  <c r="H57" i="62"/>
  <c r="N56" i="62"/>
  <c r="J56" i="62"/>
  <c r="I56" i="62"/>
  <c r="H56" i="62"/>
  <c r="N55" i="62"/>
  <c r="J55" i="62"/>
  <c r="I55" i="62"/>
  <c r="H55" i="62"/>
  <c r="N54" i="62"/>
  <c r="J54" i="62"/>
  <c r="I54" i="62"/>
  <c r="H54" i="62"/>
  <c r="N53" i="62"/>
  <c r="J53" i="62"/>
  <c r="M30" i="1" s="1"/>
  <c r="I53" i="62"/>
  <c r="H53" i="62"/>
  <c r="G52" i="62"/>
  <c r="N52" i="62" s="1"/>
  <c r="N51" i="62"/>
  <c r="J51" i="62"/>
  <c r="I51" i="62"/>
  <c r="H51" i="62"/>
  <c r="N50" i="62"/>
  <c r="J50" i="62"/>
  <c r="I50" i="62"/>
  <c r="H50" i="62"/>
  <c r="N49" i="62"/>
  <c r="J49" i="62"/>
  <c r="I49" i="62"/>
  <c r="H49" i="62"/>
  <c r="N48" i="62"/>
  <c r="J48" i="62"/>
  <c r="I48" i="62"/>
  <c r="H48" i="62"/>
  <c r="N47" i="62"/>
  <c r="J47" i="62"/>
  <c r="I47" i="62"/>
  <c r="H47" i="62"/>
  <c r="N46" i="62"/>
  <c r="J46" i="62"/>
  <c r="I46" i="62"/>
  <c r="H46" i="62"/>
  <c r="N45" i="62"/>
  <c r="J45" i="62"/>
  <c r="I45" i="62"/>
  <c r="H45" i="62"/>
  <c r="N44" i="62"/>
  <c r="J44" i="62"/>
  <c r="M29" i="1" s="1"/>
  <c r="I44" i="62"/>
  <c r="H44" i="62"/>
  <c r="I43" i="62"/>
  <c r="G43" i="62"/>
  <c r="N43" i="62" s="1"/>
  <c r="N42" i="62"/>
  <c r="J42" i="62"/>
  <c r="I42" i="62"/>
  <c r="H42" i="62"/>
  <c r="N41" i="62"/>
  <c r="J41" i="62"/>
  <c r="I41" i="62"/>
  <c r="H41" i="62"/>
  <c r="N40" i="62"/>
  <c r="J40" i="62"/>
  <c r="I40" i="62"/>
  <c r="H40" i="62"/>
  <c r="N39" i="62"/>
  <c r="J39" i="62"/>
  <c r="I39" i="62"/>
  <c r="H39" i="62"/>
  <c r="N38" i="62"/>
  <c r="J38" i="62"/>
  <c r="I38" i="62"/>
  <c r="H38" i="62"/>
  <c r="N37" i="62"/>
  <c r="J37" i="62"/>
  <c r="M28" i="1" s="1"/>
  <c r="I37" i="62"/>
  <c r="H37" i="62"/>
  <c r="G36" i="62"/>
  <c r="I36" i="62" s="1"/>
  <c r="N35" i="62"/>
  <c r="J35" i="62"/>
  <c r="I35" i="62"/>
  <c r="H35" i="62"/>
  <c r="N34" i="62"/>
  <c r="J34" i="62"/>
  <c r="M26" i="1" s="1"/>
  <c r="I34" i="62"/>
  <c r="H34" i="62"/>
  <c r="N33" i="62"/>
  <c r="J33" i="62"/>
  <c r="I33" i="62"/>
  <c r="H33" i="62"/>
  <c r="N32" i="62"/>
  <c r="J32" i="62"/>
  <c r="I32" i="62"/>
  <c r="H32" i="62"/>
  <c r="N31" i="62"/>
  <c r="J31" i="62"/>
  <c r="I31" i="62"/>
  <c r="H31" i="62"/>
  <c r="N30" i="62"/>
  <c r="J30" i="62"/>
  <c r="I30" i="62"/>
  <c r="H30" i="62"/>
  <c r="N29" i="62"/>
  <c r="J29" i="62"/>
  <c r="I29" i="62"/>
  <c r="H29" i="62"/>
  <c r="N28" i="62"/>
  <c r="J28" i="62"/>
  <c r="I28" i="62"/>
  <c r="H28" i="62"/>
  <c r="N27" i="62"/>
  <c r="J27" i="62"/>
  <c r="M24" i="1" s="1"/>
  <c r="I27" i="62"/>
  <c r="H27" i="62"/>
  <c r="N26" i="62"/>
  <c r="J26" i="62"/>
  <c r="I26" i="62"/>
  <c r="H26" i="62"/>
  <c r="N25" i="62"/>
  <c r="J25" i="62"/>
  <c r="I25" i="62"/>
  <c r="H25" i="62"/>
  <c r="N24" i="62"/>
  <c r="J24" i="62"/>
  <c r="I24" i="62"/>
  <c r="H24" i="62"/>
  <c r="N23" i="62"/>
  <c r="J23" i="62"/>
  <c r="M23" i="1" s="1"/>
  <c r="I23" i="62"/>
  <c r="H23" i="62"/>
  <c r="N22" i="62"/>
  <c r="J22" i="62"/>
  <c r="I22" i="62"/>
  <c r="H22" i="62"/>
  <c r="N21" i="62"/>
  <c r="J21" i="62"/>
  <c r="I21" i="62"/>
  <c r="H21" i="62"/>
  <c r="N20" i="62"/>
  <c r="J20" i="62"/>
  <c r="I20" i="62"/>
  <c r="H20" i="62"/>
  <c r="N19" i="62"/>
  <c r="J19" i="62"/>
  <c r="I19" i="62"/>
  <c r="H19" i="62"/>
  <c r="N18" i="62"/>
  <c r="J18" i="62"/>
  <c r="I18" i="62"/>
  <c r="H18" i="62"/>
  <c r="N17" i="62"/>
  <c r="J17" i="62"/>
  <c r="I17" i="62"/>
  <c r="H17" i="62"/>
  <c r="N16" i="62"/>
  <c r="J16" i="62"/>
  <c r="M22" i="1" s="1"/>
  <c r="I16" i="62"/>
  <c r="H16" i="62"/>
  <c r="N15" i="62"/>
  <c r="J15" i="62"/>
  <c r="I15" i="62"/>
  <c r="H15" i="62"/>
  <c r="N14" i="62"/>
  <c r="J14" i="62"/>
  <c r="I14" i="62"/>
  <c r="H14" i="62"/>
  <c r="I13" i="62"/>
  <c r="G13" i="62"/>
  <c r="N13" i="62" s="1"/>
  <c r="N12" i="62"/>
  <c r="J12" i="62"/>
  <c r="I12" i="62"/>
  <c r="H12" i="62"/>
  <c r="N11" i="62"/>
  <c r="J11" i="62"/>
  <c r="M20" i="1" s="1"/>
  <c r="I11" i="62"/>
  <c r="H11" i="62"/>
  <c r="N10" i="62"/>
  <c r="J10" i="62"/>
  <c r="I10" i="62"/>
  <c r="H10" i="62"/>
  <c r="N9" i="62"/>
  <c r="J9" i="62"/>
  <c r="I9" i="62"/>
  <c r="H9" i="62"/>
  <c r="N8" i="62"/>
  <c r="J8" i="62"/>
  <c r="M19" i="1" s="1"/>
  <c r="I8" i="62"/>
  <c r="H8" i="62"/>
  <c r="N7" i="62"/>
  <c r="J7" i="62"/>
  <c r="M18" i="1" s="1"/>
  <c r="I7" i="62"/>
  <c r="H7" i="62"/>
  <c r="N6" i="62"/>
  <c r="J6" i="62"/>
  <c r="I6" i="62"/>
  <c r="H6" i="62"/>
  <c r="N5" i="62"/>
  <c r="J5" i="62"/>
  <c r="M12" i="1" s="1"/>
  <c r="I5" i="62"/>
  <c r="H5" i="62"/>
  <c r="E2" i="62"/>
  <c r="L37" i="1"/>
  <c r="L36" i="1"/>
  <c r="L32" i="1"/>
  <c r="L28" i="1"/>
  <c r="L23" i="1"/>
  <c r="L19" i="1"/>
  <c r="F2" i="61"/>
  <c r="N100" i="61"/>
  <c r="J100" i="61"/>
  <c r="I100" i="61"/>
  <c r="H100" i="61"/>
  <c r="N99" i="61"/>
  <c r="J99" i="61"/>
  <c r="I99" i="61"/>
  <c r="H99" i="61"/>
  <c r="N98" i="61"/>
  <c r="J98" i="61"/>
  <c r="I98" i="61"/>
  <c r="H98" i="61"/>
  <c r="N97" i="61"/>
  <c r="J97" i="61"/>
  <c r="I97" i="61"/>
  <c r="H97" i="61"/>
  <c r="N96" i="61"/>
  <c r="J96" i="61"/>
  <c r="I96" i="61"/>
  <c r="H96" i="61"/>
  <c r="N95" i="61"/>
  <c r="J95" i="61"/>
  <c r="I95" i="61"/>
  <c r="H95" i="61"/>
  <c r="G94" i="61"/>
  <c r="N94" i="61" s="1"/>
  <c r="N93" i="61"/>
  <c r="J93" i="61"/>
  <c r="I93" i="61"/>
  <c r="H93" i="61"/>
  <c r="N92" i="61"/>
  <c r="J92" i="61"/>
  <c r="I92" i="61"/>
  <c r="H92" i="61"/>
  <c r="N91" i="61"/>
  <c r="J91" i="61"/>
  <c r="I91" i="61"/>
  <c r="H91" i="61"/>
  <c r="N90" i="61"/>
  <c r="J90" i="61"/>
  <c r="I90" i="61"/>
  <c r="H90" i="61"/>
  <c r="N89" i="61"/>
  <c r="J89" i="61"/>
  <c r="I89" i="61"/>
  <c r="H89" i="61"/>
  <c r="N88" i="61"/>
  <c r="J88" i="61"/>
  <c r="I88" i="61"/>
  <c r="H88" i="61"/>
  <c r="G87" i="61"/>
  <c r="I87" i="61" s="1"/>
  <c r="N86" i="61"/>
  <c r="J86" i="61"/>
  <c r="I86" i="61"/>
  <c r="H86" i="61"/>
  <c r="N85" i="61"/>
  <c r="J85" i="61"/>
  <c r="I85" i="61"/>
  <c r="H85" i="61"/>
  <c r="N84" i="61"/>
  <c r="J84" i="61"/>
  <c r="I84" i="61"/>
  <c r="H84" i="61"/>
  <c r="N83" i="61"/>
  <c r="J83" i="61"/>
  <c r="I83" i="61"/>
  <c r="H83" i="61"/>
  <c r="N82" i="61"/>
  <c r="J82" i="61"/>
  <c r="I82" i="61"/>
  <c r="H82" i="61"/>
  <c r="N81" i="61"/>
  <c r="J81" i="61"/>
  <c r="L35" i="1" s="1"/>
  <c r="I81" i="61"/>
  <c r="H81" i="61"/>
  <c r="N80" i="61"/>
  <c r="I80" i="61"/>
  <c r="G80" i="61"/>
  <c r="N79" i="61"/>
  <c r="J79" i="61"/>
  <c r="I79" i="61"/>
  <c r="H79" i="61"/>
  <c r="N78" i="61"/>
  <c r="J78" i="61"/>
  <c r="I78" i="61"/>
  <c r="H78" i="61"/>
  <c r="N77" i="61"/>
  <c r="J77" i="61"/>
  <c r="I77" i="61"/>
  <c r="H77" i="61"/>
  <c r="N76" i="61"/>
  <c r="J76" i="61"/>
  <c r="I76" i="61"/>
  <c r="H76" i="61"/>
  <c r="N75" i="61"/>
  <c r="J75" i="61"/>
  <c r="I75" i="61"/>
  <c r="H75" i="61"/>
  <c r="N74" i="61"/>
  <c r="J74" i="61"/>
  <c r="L34" i="1" s="1"/>
  <c r="I74" i="61"/>
  <c r="H74" i="61"/>
  <c r="G73" i="61"/>
  <c r="N73" i="61" s="1"/>
  <c r="N72" i="61"/>
  <c r="J72" i="61"/>
  <c r="I72" i="61"/>
  <c r="H72" i="61"/>
  <c r="N71" i="61"/>
  <c r="J71" i="61"/>
  <c r="I71" i="61"/>
  <c r="H71" i="61"/>
  <c r="N70" i="61"/>
  <c r="J70" i="61"/>
  <c r="I70" i="61"/>
  <c r="H70" i="61"/>
  <c r="N69" i="61"/>
  <c r="J69" i="61"/>
  <c r="I69" i="61"/>
  <c r="H69" i="61"/>
  <c r="N68" i="61"/>
  <c r="J68" i="61"/>
  <c r="I68" i="61"/>
  <c r="H68" i="61"/>
  <c r="N67" i="61"/>
  <c r="J67" i="61"/>
  <c r="L33" i="1" s="1"/>
  <c r="I67" i="61"/>
  <c r="H67" i="61"/>
  <c r="G66" i="61"/>
  <c r="N66" i="61" s="1"/>
  <c r="N65" i="61"/>
  <c r="J65" i="61"/>
  <c r="I65" i="61"/>
  <c r="H65" i="61"/>
  <c r="N64" i="61"/>
  <c r="J64" i="61"/>
  <c r="I64" i="61"/>
  <c r="H64" i="61"/>
  <c r="N63" i="61"/>
  <c r="G63" i="61"/>
  <c r="I63" i="61" s="1"/>
  <c r="N62" i="61"/>
  <c r="J62" i="61"/>
  <c r="I62" i="61"/>
  <c r="H62" i="61"/>
  <c r="N61" i="61"/>
  <c r="J61" i="61"/>
  <c r="I61" i="61"/>
  <c r="H61" i="61"/>
  <c r="N60" i="61"/>
  <c r="J60" i="61"/>
  <c r="L31" i="1" s="1"/>
  <c r="I60" i="61"/>
  <c r="H60" i="61"/>
  <c r="N59" i="61"/>
  <c r="I59" i="61"/>
  <c r="G59" i="61"/>
  <c r="N58" i="61"/>
  <c r="J58" i="61"/>
  <c r="I58" i="61"/>
  <c r="H58" i="61"/>
  <c r="N57" i="61"/>
  <c r="J57" i="61"/>
  <c r="I57" i="61"/>
  <c r="H57" i="61"/>
  <c r="N56" i="61"/>
  <c r="J56" i="61"/>
  <c r="I56" i="61"/>
  <c r="H56" i="61"/>
  <c r="N55" i="61"/>
  <c r="J55" i="61"/>
  <c r="I55" i="61"/>
  <c r="H55" i="61"/>
  <c r="N54" i="61"/>
  <c r="J54" i="61"/>
  <c r="I54" i="61"/>
  <c r="H54" i="61"/>
  <c r="N53" i="61"/>
  <c r="J53" i="61"/>
  <c r="L30" i="1" s="1"/>
  <c r="I53" i="61"/>
  <c r="H53" i="61"/>
  <c r="G52" i="61"/>
  <c r="N52" i="61" s="1"/>
  <c r="N51" i="61"/>
  <c r="J51" i="61"/>
  <c r="I51" i="61"/>
  <c r="H51" i="61"/>
  <c r="N50" i="61"/>
  <c r="J50" i="61"/>
  <c r="I50" i="61"/>
  <c r="H50" i="61"/>
  <c r="N49" i="61"/>
  <c r="J49" i="61"/>
  <c r="I49" i="61"/>
  <c r="H49" i="61"/>
  <c r="N48" i="61"/>
  <c r="J48" i="61"/>
  <c r="I48" i="61"/>
  <c r="H48" i="61"/>
  <c r="N47" i="61"/>
  <c r="J47" i="61"/>
  <c r="I47" i="61"/>
  <c r="H47" i="61"/>
  <c r="N46" i="61"/>
  <c r="J46" i="61"/>
  <c r="I46" i="61"/>
  <c r="H46" i="61"/>
  <c r="N45" i="61"/>
  <c r="J45" i="61"/>
  <c r="I45" i="61"/>
  <c r="H45" i="61"/>
  <c r="N44" i="61"/>
  <c r="J44" i="61"/>
  <c r="L29" i="1" s="1"/>
  <c r="I44" i="61"/>
  <c r="H44" i="61"/>
  <c r="G43" i="61"/>
  <c r="N43" i="61" s="1"/>
  <c r="N42" i="61"/>
  <c r="J42" i="61"/>
  <c r="I42" i="61"/>
  <c r="H42" i="61"/>
  <c r="N41" i="61"/>
  <c r="J41" i="61"/>
  <c r="I41" i="61"/>
  <c r="H41" i="61"/>
  <c r="N40" i="61"/>
  <c r="J40" i="61"/>
  <c r="I40" i="61"/>
  <c r="H40" i="61"/>
  <c r="N39" i="61"/>
  <c r="J39" i="61"/>
  <c r="I39" i="61"/>
  <c r="H39" i="61"/>
  <c r="N38" i="61"/>
  <c r="J38" i="61"/>
  <c r="I38" i="61"/>
  <c r="H38" i="61"/>
  <c r="N37" i="61"/>
  <c r="J37" i="61"/>
  <c r="I37" i="61"/>
  <c r="H37" i="61"/>
  <c r="N36" i="61"/>
  <c r="G36" i="61"/>
  <c r="I36" i="61" s="1"/>
  <c r="N35" i="61"/>
  <c r="J35" i="61"/>
  <c r="I35" i="61"/>
  <c r="H35" i="61"/>
  <c r="N34" i="61"/>
  <c r="J34" i="61"/>
  <c r="L26" i="1" s="1"/>
  <c r="I34" i="61"/>
  <c r="H34" i="61"/>
  <c r="N33" i="61"/>
  <c r="J33" i="61"/>
  <c r="L25" i="1" s="1"/>
  <c r="I33" i="61"/>
  <c r="H33" i="61"/>
  <c r="N32" i="61"/>
  <c r="J32" i="61"/>
  <c r="I32" i="61"/>
  <c r="H32" i="61"/>
  <c r="N31" i="61"/>
  <c r="J31" i="61"/>
  <c r="I31" i="61"/>
  <c r="H31" i="61"/>
  <c r="N30" i="61"/>
  <c r="J30" i="61"/>
  <c r="I30" i="61"/>
  <c r="H30" i="61"/>
  <c r="N29" i="61"/>
  <c r="J29" i="61"/>
  <c r="I29" i="61"/>
  <c r="H29" i="61"/>
  <c r="N28" i="61"/>
  <c r="J28" i="61"/>
  <c r="I28" i="61"/>
  <c r="H28" i="61"/>
  <c r="N27" i="61"/>
  <c r="J27" i="61"/>
  <c r="L24" i="1" s="1"/>
  <c r="I27" i="61"/>
  <c r="H27" i="61"/>
  <c r="N26" i="61"/>
  <c r="J26" i="61"/>
  <c r="I26" i="61"/>
  <c r="H26" i="61"/>
  <c r="N25" i="61"/>
  <c r="J25" i="61"/>
  <c r="I25" i="61"/>
  <c r="H25" i="61"/>
  <c r="N24" i="61"/>
  <c r="J24" i="61"/>
  <c r="I24" i="61"/>
  <c r="H24" i="61"/>
  <c r="N23" i="61"/>
  <c r="J23" i="61"/>
  <c r="I23" i="61"/>
  <c r="H23" i="61"/>
  <c r="N22" i="61"/>
  <c r="J22" i="61"/>
  <c r="I22" i="61"/>
  <c r="H22" i="61"/>
  <c r="N21" i="61"/>
  <c r="J21" i="61"/>
  <c r="I21" i="61"/>
  <c r="H21" i="61"/>
  <c r="N20" i="61"/>
  <c r="J20" i="61"/>
  <c r="I20" i="61"/>
  <c r="H20" i="61"/>
  <c r="N19" i="61"/>
  <c r="J19" i="61"/>
  <c r="I19" i="61"/>
  <c r="H19" i="61"/>
  <c r="N18" i="61"/>
  <c r="J18" i="61"/>
  <c r="I18" i="61"/>
  <c r="H18" i="61"/>
  <c r="N17" i="61"/>
  <c r="J17" i="61"/>
  <c r="I17" i="61"/>
  <c r="H17" i="61"/>
  <c r="N16" i="61"/>
  <c r="J16" i="61"/>
  <c r="L22" i="1" s="1"/>
  <c r="I16" i="61"/>
  <c r="H16" i="61"/>
  <c r="N15" i="61"/>
  <c r="J15" i="61"/>
  <c r="I15" i="61"/>
  <c r="H15" i="61"/>
  <c r="N14" i="61"/>
  <c r="J14" i="61"/>
  <c r="L21" i="1" s="1"/>
  <c r="I14" i="61"/>
  <c r="H14" i="61"/>
  <c r="G13" i="61"/>
  <c r="N12" i="61"/>
  <c r="J12" i="61"/>
  <c r="I12" i="61"/>
  <c r="H12" i="61"/>
  <c r="N11" i="61"/>
  <c r="J11" i="61"/>
  <c r="L20" i="1" s="1"/>
  <c r="I11" i="61"/>
  <c r="H11" i="61"/>
  <c r="N10" i="61"/>
  <c r="J10" i="61"/>
  <c r="I10" i="61"/>
  <c r="H10" i="61"/>
  <c r="N9" i="61"/>
  <c r="J9" i="61"/>
  <c r="I9" i="61"/>
  <c r="H9" i="61"/>
  <c r="N8" i="61"/>
  <c r="J8" i="61"/>
  <c r="I8" i="61"/>
  <c r="H8" i="61"/>
  <c r="N7" i="61"/>
  <c r="J7" i="61"/>
  <c r="L18" i="1" s="1"/>
  <c r="I7" i="61"/>
  <c r="H7" i="61"/>
  <c r="N6" i="61"/>
  <c r="J6" i="61"/>
  <c r="I6" i="61"/>
  <c r="H6" i="61"/>
  <c r="N5" i="61"/>
  <c r="J5" i="61"/>
  <c r="L17" i="1" s="1"/>
  <c r="I5" i="61"/>
  <c r="H5" i="61"/>
  <c r="E2" i="61"/>
  <c r="K36" i="1"/>
  <c r="K31" i="1"/>
  <c r="K26" i="1"/>
  <c r="K22" i="1"/>
  <c r="F2" i="60"/>
  <c r="N100" i="60"/>
  <c r="J100" i="60"/>
  <c r="I100" i="60"/>
  <c r="H100" i="60"/>
  <c r="N99" i="60"/>
  <c r="J99" i="60"/>
  <c r="I99" i="60"/>
  <c r="H99" i="60"/>
  <c r="N98" i="60"/>
  <c r="J98" i="60"/>
  <c r="I98" i="60"/>
  <c r="H98" i="60"/>
  <c r="N97" i="60"/>
  <c r="J97" i="60"/>
  <c r="I97" i="60"/>
  <c r="H97" i="60"/>
  <c r="N96" i="60"/>
  <c r="J96" i="60"/>
  <c r="I96" i="60"/>
  <c r="H96" i="60"/>
  <c r="N95" i="60"/>
  <c r="J95" i="60"/>
  <c r="K37" i="1" s="1"/>
  <c r="I95" i="60"/>
  <c r="H95" i="60"/>
  <c r="G94" i="60"/>
  <c r="N94" i="60" s="1"/>
  <c r="N93" i="60"/>
  <c r="J93" i="60"/>
  <c r="I93" i="60"/>
  <c r="H93" i="60"/>
  <c r="N92" i="60"/>
  <c r="J92" i="60"/>
  <c r="I92" i="60"/>
  <c r="H92" i="60"/>
  <c r="N91" i="60"/>
  <c r="J91" i="60"/>
  <c r="I91" i="60"/>
  <c r="H91" i="60"/>
  <c r="N90" i="60"/>
  <c r="J90" i="60"/>
  <c r="I90" i="60"/>
  <c r="H90" i="60"/>
  <c r="N89" i="60"/>
  <c r="J89" i="60"/>
  <c r="I89" i="60"/>
  <c r="H89" i="60"/>
  <c r="N88" i="60"/>
  <c r="J88" i="60"/>
  <c r="I88" i="60"/>
  <c r="H88" i="60"/>
  <c r="N87" i="60"/>
  <c r="G87" i="60"/>
  <c r="I87" i="60" s="1"/>
  <c r="N86" i="60"/>
  <c r="J86" i="60"/>
  <c r="I86" i="60"/>
  <c r="H86" i="60"/>
  <c r="N85" i="60"/>
  <c r="J85" i="60"/>
  <c r="I85" i="60"/>
  <c r="H85" i="60"/>
  <c r="N84" i="60"/>
  <c r="J84" i="60"/>
  <c r="I84" i="60"/>
  <c r="H84" i="60"/>
  <c r="N83" i="60"/>
  <c r="J83" i="60"/>
  <c r="I83" i="60"/>
  <c r="H83" i="60"/>
  <c r="N82" i="60"/>
  <c r="J82" i="60"/>
  <c r="I82" i="60"/>
  <c r="H82" i="60"/>
  <c r="N81" i="60"/>
  <c r="J81" i="60"/>
  <c r="K35" i="1" s="1"/>
  <c r="I81" i="60"/>
  <c r="H81" i="60"/>
  <c r="G80" i="60"/>
  <c r="N79" i="60"/>
  <c r="J79" i="60"/>
  <c r="I79" i="60"/>
  <c r="H79" i="60"/>
  <c r="N78" i="60"/>
  <c r="J78" i="60"/>
  <c r="I78" i="60"/>
  <c r="H78" i="60"/>
  <c r="N77" i="60"/>
  <c r="J77" i="60"/>
  <c r="I77" i="60"/>
  <c r="H77" i="60"/>
  <c r="N76" i="60"/>
  <c r="J76" i="60"/>
  <c r="I76" i="60"/>
  <c r="H76" i="60"/>
  <c r="N75" i="60"/>
  <c r="J75" i="60"/>
  <c r="I75" i="60"/>
  <c r="H75" i="60"/>
  <c r="N74" i="60"/>
  <c r="J74" i="60"/>
  <c r="K34" i="1" s="1"/>
  <c r="I74" i="60"/>
  <c r="H74" i="60"/>
  <c r="G73" i="60"/>
  <c r="N73" i="60" s="1"/>
  <c r="N72" i="60"/>
  <c r="J72" i="60"/>
  <c r="I72" i="60"/>
  <c r="H72" i="60"/>
  <c r="N71" i="60"/>
  <c r="J71" i="60"/>
  <c r="I71" i="60"/>
  <c r="H71" i="60"/>
  <c r="N70" i="60"/>
  <c r="J70" i="60"/>
  <c r="I70" i="60"/>
  <c r="H70" i="60"/>
  <c r="N69" i="60"/>
  <c r="J69" i="60"/>
  <c r="I69" i="60"/>
  <c r="H69" i="60"/>
  <c r="N68" i="60"/>
  <c r="J68" i="60"/>
  <c r="I68" i="60"/>
  <c r="H68" i="60"/>
  <c r="N67" i="60"/>
  <c r="J67" i="60"/>
  <c r="K33" i="1" s="1"/>
  <c r="I67" i="60"/>
  <c r="H67" i="60"/>
  <c r="G66" i="60"/>
  <c r="N66" i="60" s="1"/>
  <c r="N65" i="60"/>
  <c r="J65" i="60"/>
  <c r="I65" i="60"/>
  <c r="H65" i="60"/>
  <c r="N64" i="60"/>
  <c r="J64" i="60"/>
  <c r="K32" i="1" s="1"/>
  <c r="I64" i="60"/>
  <c r="H64" i="60"/>
  <c r="N63" i="60"/>
  <c r="G63" i="60"/>
  <c r="I63" i="60" s="1"/>
  <c r="N62" i="60"/>
  <c r="J62" i="60"/>
  <c r="I62" i="60"/>
  <c r="H62" i="60"/>
  <c r="N61" i="60"/>
  <c r="J61" i="60"/>
  <c r="I61" i="60"/>
  <c r="H61" i="60"/>
  <c r="N60" i="60"/>
  <c r="J60" i="60"/>
  <c r="I60" i="60"/>
  <c r="H60" i="60"/>
  <c r="G59" i="60"/>
  <c r="N59" i="60" s="1"/>
  <c r="N58" i="60"/>
  <c r="J58" i="60"/>
  <c r="I58" i="60"/>
  <c r="H58" i="60"/>
  <c r="N57" i="60"/>
  <c r="J57" i="60"/>
  <c r="I57" i="60"/>
  <c r="H57" i="60"/>
  <c r="N56" i="60"/>
  <c r="J56" i="60"/>
  <c r="I56" i="60"/>
  <c r="H56" i="60"/>
  <c r="N55" i="60"/>
  <c r="J55" i="60"/>
  <c r="I55" i="60"/>
  <c r="H55" i="60"/>
  <c r="N54" i="60"/>
  <c r="J54" i="60"/>
  <c r="I54" i="60"/>
  <c r="H54" i="60"/>
  <c r="N53" i="60"/>
  <c r="J53" i="60"/>
  <c r="K30" i="1" s="1"/>
  <c r="I53" i="60"/>
  <c r="H53" i="60"/>
  <c r="G52" i="60"/>
  <c r="N52" i="60" s="1"/>
  <c r="N51" i="60"/>
  <c r="J51" i="60"/>
  <c r="I51" i="60"/>
  <c r="H51" i="60"/>
  <c r="N50" i="60"/>
  <c r="J50" i="60"/>
  <c r="I50" i="60"/>
  <c r="H50" i="60"/>
  <c r="N49" i="60"/>
  <c r="J49" i="60"/>
  <c r="I49" i="60"/>
  <c r="H49" i="60"/>
  <c r="N48" i="60"/>
  <c r="J48" i="60"/>
  <c r="I48" i="60"/>
  <c r="H48" i="60"/>
  <c r="N47" i="60"/>
  <c r="J47" i="60"/>
  <c r="I47" i="60"/>
  <c r="H47" i="60"/>
  <c r="N46" i="60"/>
  <c r="J46" i="60"/>
  <c r="I46" i="60"/>
  <c r="H46" i="60"/>
  <c r="N45" i="60"/>
  <c r="J45" i="60"/>
  <c r="I45" i="60"/>
  <c r="H45" i="60"/>
  <c r="N44" i="60"/>
  <c r="J44" i="60"/>
  <c r="K29" i="1" s="1"/>
  <c r="I44" i="60"/>
  <c r="H44" i="60"/>
  <c r="I43" i="60"/>
  <c r="G43" i="60"/>
  <c r="N43" i="60" s="1"/>
  <c r="N42" i="60"/>
  <c r="J42" i="60"/>
  <c r="I42" i="60"/>
  <c r="H42" i="60"/>
  <c r="N41" i="60"/>
  <c r="J41" i="60"/>
  <c r="I41" i="60"/>
  <c r="H41" i="60"/>
  <c r="N40" i="60"/>
  <c r="J40" i="60"/>
  <c r="I40" i="60"/>
  <c r="H40" i="60"/>
  <c r="N39" i="60"/>
  <c r="J39" i="60"/>
  <c r="I39" i="60"/>
  <c r="H39" i="60"/>
  <c r="N38" i="60"/>
  <c r="J38" i="60"/>
  <c r="I38" i="60"/>
  <c r="H38" i="60"/>
  <c r="N37" i="60"/>
  <c r="J37" i="60"/>
  <c r="K28" i="1" s="1"/>
  <c r="I37" i="60"/>
  <c r="H37" i="60"/>
  <c r="G36" i="60"/>
  <c r="N35" i="60"/>
  <c r="J35" i="60"/>
  <c r="I35" i="60"/>
  <c r="H35" i="60"/>
  <c r="N34" i="60"/>
  <c r="J34" i="60"/>
  <c r="I34" i="60"/>
  <c r="H34" i="60"/>
  <c r="N33" i="60"/>
  <c r="J33" i="60"/>
  <c r="K25" i="1" s="1"/>
  <c r="I33" i="60"/>
  <c r="H33" i="60"/>
  <c r="N32" i="60"/>
  <c r="J32" i="60"/>
  <c r="I32" i="60"/>
  <c r="H32" i="60"/>
  <c r="N31" i="60"/>
  <c r="J31" i="60"/>
  <c r="I31" i="60"/>
  <c r="H31" i="60"/>
  <c r="N30" i="60"/>
  <c r="J30" i="60"/>
  <c r="I30" i="60"/>
  <c r="H30" i="60"/>
  <c r="N29" i="60"/>
  <c r="J29" i="60"/>
  <c r="I29" i="60"/>
  <c r="H29" i="60"/>
  <c r="N28" i="60"/>
  <c r="J28" i="60"/>
  <c r="I28" i="60"/>
  <c r="H28" i="60"/>
  <c r="N27" i="60"/>
  <c r="J27" i="60"/>
  <c r="K24" i="1" s="1"/>
  <c r="I27" i="60"/>
  <c r="H27" i="60"/>
  <c r="N26" i="60"/>
  <c r="J26" i="60"/>
  <c r="I26" i="60"/>
  <c r="H26" i="60"/>
  <c r="N25" i="60"/>
  <c r="J25" i="60"/>
  <c r="I25" i="60"/>
  <c r="H25" i="60"/>
  <c r="N24" i="60"/>
  <c r="J24" i="60"/>
  <c r="I24" i="60"/>
  <c r="H24" i="60"/>
  <c r="N23" i="60"/>
  <c r="J23" i="60"/>
  <c r="K23" i="1" s="1"/>
  <c r="I23" i="60"/>
  <c r="H23" i="60"/>
  <c r="N22" i="60"/>
  <c r="J22" i="60"/>
  <c r="I22" i="60"/>
  <c r="H22" i="60"/>
  <c r="N21" i="60"/>
  <c r="J21" i="60"/>
  <c r="I21" i="60"/>
  <c r="H21" i="60"/>
  <c r="N20" i="60"/>
  <c r="J20" i="60"/>
  <c r="I20" i="60"/>
  <c r="H20" i="60"/>
  <c r="N19" i="60"/>
  <c r="J19" i="60"/>
  <c r="I19" i="60"/>
  <c r="H19" i="60"/>
  <c r="N18" i="60"/>
  <c r="J18" i="60"/>
  <c r="I18" i="60"/>
  <c r="H18" i="60"/>
  <c r="N17" i="60"/>
  <c r="J17" i="60"/>
  <c r="I17" i="60"/>
  <c r="H17" i="60"/>
  <c r="N16" i="60"/>
  <c r="J16" i="60"/>
  <c r="I16" i="60"/>
  <c r="H16" i="60"/>
  <c r="N15" i="60"/>
  <c r="J15" i="60"/>
  <c r="I15" i="60"/>
  <c r="H15" i="60"/>
  <c r="N14" i="60"/>
  <c r="J14" i="60"/>
  <c r="K21" i="1" s="1"/>
  <c r="I14" i="60"/>
  <c r="H14" i="60"/>
  <c r="I13" i="60"/>
  <c r="G13" i="60"/>
  <c r="N13" i="60" s="1"/>
  <c r="N12" i="60"/>
  <c r="J12" i="60"/>
  <c r="I12" i="60"/>
  <c r="H12" i="60"/>
  <c r="N11" i="60"/>
  <c r="J11" i="60"/>
  <c r="K20" i="1" s="1"/>
  <c r="I11" i="60"/>
  <c r="H11" i="60"/>
  <c r="N10" i="60"/>
  <c r="J10" i="60"/>
  <c r="I10" i="60"/>
  <c r="H10" i="60"/>
  <c r="N9" i="60"/>
  <c r="J9" i="60"/>
  <c r="I9" i="60"/>
  <c r="H9" i="60"/>
  <c r="N8" i="60"/>
  <c r="J8" i="60"/>
  <c r="K19" i="1" s="1"/>
  <c r="I8" i="60"/>
  <c r="H8" i="60"/>
  <c r="N7" i="60"/>
  <c r="J7" i="60"/>
  <c r="K18" i="1" s="1"/>
  <c r="I7" i="60"/>
  <c r="H7" i="60"/>
  <c r="N6" i="60"/>
  <c r="J6" i="60"/>
  <c r="I6" i="60"/>
  <c r="H6" i="60"/>
  <c r="N5" i="60"/>
  <c r="J5" i="60"/>
  <c r="I5" i="60"/>
  <c r="H5" i="60"/>
  <c r="E2" i="60"/>
  <c r="J37" i="1"/>
  <c r="J33" i="1"/>
  <c r="J29" i="1"/>
  <c r="J20" i="1"/>
  <c r="F2" i="59"/>
  <c r="N100" i="59"/>
  <c r="J100" i="59"/>
  <c r="I100" i="59"/>
  <c r="H100" i="59"/>
  <c r="N99" i="59"/>
  <c r="J99" i="59"/>
  <c r="I99" i="59"/>
  <c r="H99" i="59"/>
  <c r="N98" i="59"/>
  <c r="J98" i="59"/>
  <c r="I98" i="59"/>
  <c r="H98" i="59"/>
  <c r="N97" i="59"/>
  <c r="J97" i="59"/>
  <c r="I97" i="59"/>
  <c r="H97" i="59"/>
  <c r="N96" i="59"/>
  <c r="J96" i="59"/>
  <c r="I96" i="59"/>
  <c r="H96" i="59"/>
  <c r="N95" i="59"/>
  <c r="J95" i="59"/>
  <c r="I95" i="59"/>
  <c r="H95" i="59"/>
  <c r="G94" i="59"/>
  <c r="N94" i="59" s="1"/>
  <c r="N93" i="59"/>
  <c r="J93" i="59"/>
  <c r="I93" i="59"/>
  <c r="H93" i="59"/>
  <c r="N92" i="59"/>
  <c r="J92" i="59"/>
  <c r="I92" i="59"/>
  <c r="H92" i="59"/>
  <c r="N91" i="59"/>
  <c r="J91" i="59"/>
  <c r="I91" i="59"/>
  <c r="H91" i="59"/>
  <c r="N90" i="59"/>
  <c r="J90" i="59"/>
  <c r="I90" i="59"/>
  <c r="H90" i="59"/>
  <c r="N89" i="59"/>
  <c r="J89" i="59"/>
  <c r="I89" i="59"/>
  <c r="H89" i="59"/>
  <c r="N88" i="59"/>
  <c r="J88" i="59"/>
  <c r="J36" i="1" s="1"/>
  <c r="I88" i="59"/>
  <c r="H88" i="59"/>
  <c r="G87" i="59"/>
  <c r="N86" i="59"/>
  <c r="J86" i="59"/>
  <c r="I86" i="59"/>
  <c r="H86" i="59"/>
  <c r="N85" i="59"/>
  <c r="J85" i="59"/>
  <c r="I85" i="59"/>
  <c r="H85" i="59"/>
  <c r="N84" i="59"/>
  <c r="J84" i="59"/>
  <c r="I84" i="59"/>
  <c r="H84" i="59"/>
  <c r="N83" i="59"/>
  <c r="J83" i="59"/>
  <c r="I83" i="59"/>
  <c r="H83" i="59"/>
  <c r="N82" i="59"/>
  <c r="J82" i="59"/>
  <c r="I82" i="59"/>
  <c r="H82" i="59"/>
  <c r="N81" i="59"/>
  <c r="J81" i="59"/>
  <c r="J35" i="1" s="1"/>
  <c r="I81" i="59"/>
  <c r="H81" i="59"/>
  <c r="G80" i="59"/>
  <c r="N80" i="59" s="1"/>
  <c r="N79" i="59"/>
  <c r="J79" i="59"/>
  <c r="I79" i="59"/>
  <c r="H79" i="59"/>
  <c r="N78" i="59"/>
  <c r="J78" i="59"/>
  <c r="I78" i="59"/>
  <c r="H78" i="59"/>
  <c r="N77" i="59"/>
  <c r="J77" i="59"/>
  <c r="I77" i="59"/>
  <c r="H77" i="59"/>
  <c r="N76" i="59"/>
  <c r="J76" i="59"/>
  <c r="I76" i="59"/>
  <c r="H76" i="59"/>
  <c r="N75" i="59"/>
  <c r="J75" i="59"/>
  <c r="I75" i="59"/>
  <c r="H75" i="59"/>
  <c r="N74" i="59"/>
  <c r="J74" i="59"/>
  <c r="J34" i="1" s="1"/>
  <c r="I74" i="59"/>
  <c r="H74" i="59"/>
  <c r="G73" i="59"/>
  <c r="N73" i="59" s="1"/>
  <c r="N72" i="59"/>
  <c r="J72" i="59"/>
  <c r="I72" i="59"/>
  <c r="H72" i="59"/>
  <c r="N71" i="59"/>
  <c r="J71" i="59"/>
  <c r="I71" i="59"/>
  <c r="H71" i="59"/>
  <c r="N70" i="59"/>
  <c r="J70" i="59"/>
  <c r="I70" i="59"/>
  <c r="H70" i="59"/>
  <c r="N69" i="59"/>
  <c r="J69" i="59"/>
  <c r="I69" i="59"/>
  <c r="H69" i="59"/>
  <c r="N68" i="59"/>
  <c r="J68" i="59"/>
  <c r="I68" i="59"/>
  <c r="H68" i="59"/>
  <c r="N67" i="59"/>
  <c r="J67" i="59"/>
  <c r="I67" i="59"/>
  <c r="H67" i="59"/>
  <c r="G66" i="59"/>
  <c r="N66" i="59" s="1"/>
  <c r="N65" i="59"/>
  <c r="J65" i="59"/>
  <c r="I65" i="59"/>
  <c r="H65" i="59"/>
  <c r="N64" i="59"/>
  <c r="J64" i="59"/>
  <c r="J32" i="1" s="1"/>
  <c r="I64" i="59"/>
  <c r="H64" i="59"/>
  <c r="G63" i="59"/>
  <c r="I63" i="59" s="1"/>
  <c r="N62" i="59"/>
  <c r="J62" i="59"/>
  <c r="I62" i="59"/>
  <c r="H62" i="59"/>
  <c r="N61" i="59"/>
  <c r="J61" i="59"/>
  <c r="I61" i="59"/>
  <c r="H61" i="59"/>
  <c r="N60" i="59"/>
  <c r="J60" i="59"/>
  <c r="J31" i="1" s="1"/>
  <c r="I60" i="59"/>
  <c r="H60" i="59"/>
  <c r="N59" i="59"/>
  <c r="I59" i="59"/>
  <c r="G59" i="59"/>
  <c r="N58" i="59"/>
  <c r="J58" i="59"/>
  <c r="I58" i="59"/>
  <c r="H58" i="59"/>
  <c r="N57" i="59"/>
  <c r="J57" i="59"/>
  <c r="I57" i="59"/>
  <c r="H57" i="59"/>
  <c r="N56" i="59"/>
  <c r="J56" i="59"/>
  <c r="I56" i="59"/>
  <c r="H56" i="59"/>
  <c r="N55" i="59"/>
  <c r="J55" i="59"/>
  <c r="I55" i="59"/>
  <c r="H55" i="59"/>
  <c r="N54" i="59"/>
  <c r="J54" i="59"/>
  <c r="I54" i="59"/>
  <c r="H54" i="59"/>
  <c r="N53" i="59"/>
  <c r="J53" i="59"/>
  <c r="J30" i="1" s="1"/>
  <c r="I53" i="59"/>
  <c r="H53" i="59"/>
  <c r="G52" i="59"/>
  <c r="N52" i="59" s="1"/>
  <c r="N51" i="59"/>
  <c r="J51" i="59"/>
  <c r="I51" i="59"/>
  <c r="H51" i="59"/>
  <c r="N50" i="59"/>
  <c r="J50" i="59"/>
  <c r="I50" i="59"/>
  <c r="H50" i="59"/>
  <c r="N49" i="59"/>
  <c r="J49" i="59"/>
  <c r="I49" i="59"/>
  <c r="H49" i="59"/>
  <c r="N48" i="59"/>
  <c r="J48" i="59"/>
  <c r="I48" i="59"/>
  <c r="H48" i="59"/>
  <c r="N47" i="59"/>
  <c r="J47" i="59"/>
  <c r="I47" i="59"/>
  <c r="H47" i="59"/>
  <c r="N46" i="59"/>
  <c r="J46" i="59"/>
  <c r="I46" i="59"/>
  <c r="H46" i="59"/>
  <c r="N45" i="59"/>
  <c r="J45" i="59"/>
  <c r="I45" i="59"/>
  <c r="H45" i="59"/>
  <c r="N44" i="59"/>
  <c r="J44" i="59"/>
  <c r="I44" i="59"/>
  <c r="H44" i="59"/>
  <c r="G43" i="59"/>
  <c r="N43" i="59" s="1"/>
  <c r="N42" i="59"/>
  <c r="J42" i="59"/>
  <c r="I42" i="59"/>
  <c r="H42" i="59"/>
  <c r="N41" i="59"/>
  <c r="J41" i="59"/>
  <c r="I41" i="59"/>
  <c r="H41" i="59"/>
  <c r="N40" i="59"/>
  <c r="J40" i="59"/>
  <c r="I40" i="59"/>
  <c r="H40" i="59"/>
  <c r="N39" i="59"/>
  <c r="J39" i="59"/>
  <c r="I39" i="59"/>
  <c r="H39" i="59"/>
  <c r="N38" i="59"/>
  <c r="J38" i="59"/>
  <c r="I38" i="59"/>
  <c r="H38" i="59"/>
  <c r="N37" i="59"/>
  <c r="J37" i="59"/>
  <c r="J28" i="1" s="1"/>
  <c r="I37" i="59"/>
  <c r="H37" i="59"/>
  <c r="N36" i="59"/>
  <c r="G36" i="59"/>
  <c r="I36" i="59" s="1"/>
  <c r="N35" i="59"/>
  <c r="J35" i="59"/>
  <c r="I35" i="59"/>
  <c r="H35" i="59"/>
  <c r="N34" i="59"/>
  <c r="J34" i="59"/>
  <c r="J26" i="1" s="1"/>
  <c r="I34" i="59"/>
  <c r="H34" i="59"/>
  <c r="N33" i="59"/>
  <c r="J33" i="59"/>
  <c r="J25" i="1" s="1"/>
  <c r="I33" i="59"/>
  <c r="H33" i="59"/>
  <c r="N32" i="59"/>
  <c r="J32" i="59"/>
  <c r="I32" i="59"/>
  <c r="H32" i="59"/>
  <c r="N31" i="59"/>
  <c r="J31" i="59"/>
  <c r="I31" i="59"/>
  <c r="H31" i="59"/>
  <c r="N30" i="59"/>
  <c r="J30" i="59"/>
  <c r="I30" i="59"/>
  <c r="H30" i="59"/>
  <c r="N29" i="59"/>
  <c r="J29" i="59"/>
  <c r="I29" i="59"/>
  <c r="H29" i="59"/>
  <c r="N28" i="59"/>
  <c r="J28" i="59"/>
  <c r="I28" i="59"/>
  <c r="H28" i="59"/>
  <c r="N27" i="59"/>
  <c r="J27" i="59"/>
  <c r="J24" i="1" s="1"/>
  <c r="I27" i="59"/>
  <c r="H27" i="59"/>
  <c r="N26" i="59"/>
  <c r="J26" i="59"/>
  <c r="I26" i="59"/>
  <c r="H26" i="59"/>
  <c r="N25" i="59"/>
  <c r="J25" i="59"/>
  <c r="I25" i="59"/>
  <c r="H25" i="59"/>
  <c r="N24" i="59"/>
  <c r="J24" i="59"/>
  <c r="I24" i="59"/>
  <c r="H24" i="59"/>
  <c r="N23" i="59"/>
  <c r="J23" i="59"/>
  <c r="J23" i="1" s="1"/>
  <c r="I23" i="59"/>
  <c r="H23" i="59"/>
  <c r="N22" i="59"/>
  <c r="J22" i="59"/>
  <c r="I22" i="59"/>
  <c r="H22" i="59"/>
  <c r="N21" i="59"/>
  <c r="J21" i="59"/>
  <c r="I21" i="59"/>
  <c r="H21" i="59"/>
  <c r="N20" i="59"/>
  <c r="J20" i="59"/>
  <c r="I20" i="59"/>
  <c r="H20" i="59"/>
  <c r="N19" i="59"/>
  <c r="J19" i="59"/>
  <c r="I19" i="59"/>
  <c r="H19" i="59"/>
  <c r="N18" i="59"/>
  <c r="J18" i="59"/>
  <c r="I18" i="59"/>
  <c r="H18" i="59"/>
  <c r="N17" i="59"/>
  <c r="J17" i="59"/>
  <c r="I17" i="59"/>
  <c r="H17" i="59"/>
  <c r="N16" i="59"/>
  <c r="J16" i="59"/>
  <c r="J22" i="1" s="1"/>
  <c r="I16" i="59"/>
  <c r="H16" i="59"/>
  <c r="N15" i="59"/>
  <c r="J15" i="59"/>
  <c r="I15" i="59"/>
  <c r="H15" i="59"/>
  <c r="N14" i="59"/>
  <c r="J14" i="59"/>
  <c r="J21" i="1" s="1"/>
  <c r="I14" i="59"/>
  <c r="H14" i="59"/>
  <c r="I13" i="59"/>
  <c r="G13" i="59"/>
  <c r="N13" i="59" s="1"/>
  <c r="N12" i="59"/>
  <c r="J12" i="59"/>
  <c r="I12" i="59"/>
  <c r="H12" i="59"/>
  <c r="N11" i="59"/>
  <c r="J11" i="59"/>
  <c r="I11" i="59"/>
  <c r="H11" i="59"/>
  <c r="N10" i="59"/>
  <c r="J10" i="59"/>
  <c r="I10" i="59"/>
  <c r="H10" i="59"/>
  <c r="N9" i="59"/>
  <c r="J9" i="59"/>
  <c r="I9" i="59"/>
  <c r="H9" i="59"/>
  <c r="N8" i="59"/>
  <c r="J8" i="59"/>
  <c r="J19" i="1" s="1"/>
  <c r="I8" i="59"/>
  <c r="H8" i="59"/>
  <c r="N7" i="59"/>
  <c r="J7" i="59"/>
  <c r="J18" i="1" s="1"/>
  <c r="I7" i="59"/>
  <c r="H7" i="59"/>
  <c r="N6" i="59"/>
  <c r="J6" i="59"/>
  <c r="I6" i="59"/>
  <c r="H6" i="59"/>
  <c r="N5" i="59"/>
  <c r="J5" i="59"/>
  <c r="J17" i="1" s="1"/>
  <c r="I5" i="59"/>
  <c r="H5" i="59"/>
  <c r="E2" i="59"/>
  <c r="I36" i="1"/>
  <c r="I35" i="1"/>
  <c r="I31" i="1"/>
  <c r="I30" i="1"/>
  <c r="I25" i="1"/>
  <c r="I21" i="1"/>
  <c r="F2" i="58"/>
  <c r="N100" i="58"/>
  <c r="J100" i="58"/>
  <c r="I100" i="58"/>
  <c r="H100" i="58"/>
  <c r="N99" i="58"/>
  <c r="J99" i="58"/>
  <c r="I99" i="58"/>
  <c r="H99" i="58"/>
  <c r="N98" i="58"/>
  <c r="J98" i="58"/>
  <c r="I98" i="58"/>
  <c r="H98" i="58"/>
  <c r="N97" i="58"/>
  <c r="J97" i="58"/>
  <c r="I97" i="58"/>
  <c r="H97" i="58"/>
  <c r="N96" i="58"/>
  <c r="J96" i="58"/>
  <c r="I96" i="58"/>
  <c r="H96" i="58"/>
  <c r="N95" i="58"/>
  <c r="J95" i="58"/>
  <c r="I37" i="1" s="1"/>
  <c r="I95" i="58"/>
  <c r="H95" i="58"/>
  <c r="G94" i="58"/>
  <c r="N94" i="58" s="1"/>
  <c r="N93" i="58"/>
  <c r="J93" i="58"/>
  <c r="I93" i="58"/>
  <c r="H93" i="58"/>
  <c r="N92" i="58"/>
  <c r="J92" i="58"/>
  <c r="I92" i="58"/>
  <c r="H92" i="58"/>
  <c r="N91" i="58"/>
  <c r="J91" i="58"/>
  <c r="I91" i="58"/>
  <c r="H91" i="58"/>
  <c r="N90" i="58"/>
  <c r="J90" i="58"/>
  <c r="I90" i="58"/>
  <c r="H90" i="58"/>
  <c r="N89" i="58"/>
  <c r="J89" i="58"/>
  <c r="I89" i="58"/>
  <c r="H89" i="58"/>
  <c r="N88" i="58"/>
  <c r="J88" i="58"/>
  <c r="I88" i="58"/>
  <c r="H88" i="58"/>
  <c r="N87" i="58"/>
  <c r="G87" i="58"/>
  <c r="I87" i="58" s="1"/>
  <c r="N86" i="58"/>
  <c r="J86" i="58"/>
  <c r="I86" i="58"/>
  <c r="H86" i="58"/>
  <c r="N85" i="58"/>
  <c r="J85" i="58"/>
  <c r="I85" i="58"/>
  <c r="H85" i="58"/>
  <c r="N84" i="58"/>
  <c r="J84" i="58"/>
  <c r="I84" i="58"/>
  <c r="H84" i="58"/>
  <c r="N83" i="58"/>
  <c r="J83" i="58"/>
  <c r="I83" i="58"/>
  <c r="H83" i="58"/>
  <c r="N82" i="58"/>
  <c r="J82" i="58"/>
  <c r="I82" i="58"/>
  <c r="H82" i="58"/>
  <c r="N81" i="58"/>
  <c r="J81" i="58"/>
  <c r="I81" i="58"/>
  <c r="H81" i="58"/>
  <c r="G80" i="58"/>
  <c r="I80" i="58" s="1"/>
  <c r="N79" i="58"/>
  <c r="J79" i="58"/>
  <c r="I79" i="58"/>
  <c r="H79" i="58"/>
  <c r="N78" i="58"/>
  <c r="J78" i="58"/>
  <c r="I78" i="58"/>
  <c r="H78" i="58"/>
  <c r="N77" i="58"/>
  <c r="J77" i="58"/>
  <c r="I77" i="58"/>
  <c r="H77" i="58"/>
  <c r="N76" i="58"/>
  <c r="J76" i="58"/>
  <c r="I76" i="58"/>
  <c r="H76" i="58"/>
  <c r="N75" i="58"/>
  <c r="J75" i="58"/>
  <c r="I75" i="58"/>
  <c r="H75" i="58"/>
  <c r="N74" i="58"/>
  <c r="J74" i="58"/>
  <c r="I34" i="1" s="1"/>
  <c r="I74" i="58"/>
  <c r="H74" i="58"/>
  <c r="G73" i="58"/>
  <c r="N73" i="58" s="1"/>
  <c r="N72" i="58"/>
  <c r="J72" i="58"/>
  <c r="I72" i="58"/>
  <c r="H72" i="58"/>
  <c r="N71" i="58"/>
  <c r="J71" i="58"/>
  <c r="I71" i="58"/>
  <c r="H71" i="58"/>
  <c r="N70" i="58"/>
  <c r="J70" i="58"/>
  <c r="I70" i="58"/>
  <c r="H70" i="58"/>
  <c r="N69" i="58"/>
  <c r="J69" i="58"/>
  <c r="I69" i="58"/>
  <c r="H69" i="58"/>
  <c r="N68" i="58"/>
  <c r="J68" i="58"/>
  <c r="I68" i="58"/>
  <c r="H68" i="58"/>
  <c r="N67" i="58"/>
  <c r="J67" i="58"/>
  <c r="I33" i="1" s="1"/>
  <c r="I67" i="58"/>
  <c r="H67" i="58"/>
  <c r="G66" i="58"/>
  <c r="N66" i="58" s="1"/>
  <c r="N65" i="58"/>
  <c r="J65" i="58"/>
  <c r="I65" i="58"/>
  <c r="H65" i="58"/>
  <c r="N64" i="58"/>
  <c r="J64" i="58"/>
  <c r="I32" i="1" s="1"/>
  <c r="I64" i="58"/>
  <c r="H64" i="58"/>
  <c r="G63" i="58"/>
  <c r="I63" i="58" s="1"/>
  <c r="N62" i="58"/>
  <c r="J62" i="58"/>
  <c r="I62" i="58"/>
  <c r="H62" i="58"/>
  <c r="N61" i="58"/>
  <c r="J61" i="58"/>
  <c r="I61" i="58"/>
  <c r="H61" i="58"/>
  <c r="N60" i="58"/>
  <c r="J60" i="58"/>
  <c r="I60" i="58"/>
  <c r="H60" i="58"/>
  <c r="G59" i="58"/>
  <c r="N59" i="58" s="1"/>
  <c r="N58" i="58"/>
  <c r="J58" i="58"/>
  <c r="I58" i="58"/>
  <c r="H58" i="58"/>
  <c r="N57" i="58"/>
  <c r="J57" i="58"/>
  <c r="I57" i="58"/>
  <c r="H57" i="58"/>
  <c r="N56" i="58"/>
  <c r="J56" i="58"/>
  <c r="I56" i="58"/>
  <c r="H56" i="58"/>
  <c r="N55" i="58"/>
  <c r="J55" i="58"/>
  <c r="I55" i="58"/>
  <c r="H55" i="58"/>
  <c r="N54" i="58"/>
  <c r="J54" i="58"/>
  <c r="I54" i="58"/>
  <c r="H54" i="58"/>
  <c r="N53" i="58"/>
  <c r="J53" i="58"/>
  <c r="I53" i="58"/>
  <c r="H53" i="58"/>
  <c r="G52" i="58"/>
  <c r="N52" i="58" s="1"/>
  <c r="N51" i="58"/>
  <c r="J51" i="58"/>
  <c r="I51" i="58"/>
  <c r="H51" i="58"/>
  <c r="N50" i="58"/>
  <c r="J50" i="58"/>
  <c r="I50" i="58"/>
  <c r="H50" i="58"/>
  <c r="N49" i="58"/>
  <c r="J49" i="58"/>
  <c r="I49" i="58"/>
  <c r="H49" i="58"/>
  <c r="N48" i="58"/>
  <c r="J48" i="58"/>
  <c r="I48" i="58"/>
  <c r="H48" i="58"/>
  <c r="N47" i="58"/>
  <c r="J47" i="58"/>
  <c r="I47" i="58"/>
  <c r="H47" i="58"/>
  <c r="N46" i="58"/>
  <c r="J46" i="58"/>
  <c r="I46" i="58"/>
  <c r="H46" i="58"/>
  <c r="N45" i="58"/>
  <c r="J45" i="58"/>
  <c r="I45" i="58"/>
  <c r="H45" i="58"/>
  <c r="N44" i="58"/>
  <c r="J44" i="58"/>
  <c r="I29" i="1" s="1"/>
  <c r="I44" i="58"/>
  <c r="H44" i="58"/>
  <c r="G43" i="58"/>
  <c r="N43" i="58" s="1"/>
  <c r="N42" i="58"/>
  <c r="J42" i="58"/>
  <c r="I42" i="58"/>
  <c r="H42" i="58"/>
  <c r="N41" i="58"/>
  <c r="J41" i="58"/>
  <c r="I41" i="58"/>
  <c r="H41" i="58"/>
  <c r="N40" i="58"/>
  <c r="J40" i="58"/>
  <c r="I40" i="58"/>
  <c r="H40" i="58"/>
  <c r="N39" i="58"/>
  <c r="J39" i="58"/>
  <c r="I39" i="58"/>
  <c r="H39" i="58"/>
  <c r="N38" i="58"/>
  <c r="J38" i="58"/>
  <c r="I38" i="58"/>
  <c r="H38" i="58"/>
  <c r="N37" i="58"/>
  <c r="J37" i="58"/>
  <c r="I28" i="1" s="1"/>
  <c r="I37" i="58"/>
  <c r="H37" i="58"/>
  <c r="G36" i="58"/>
  <c r="I36" i="58" s="1"/>
  <c r="N35" i="58"/>
  <c r="J35" i="58"/>
  <c r="I35" i="58"/>
  <c r="H35" i="58"/>
  <c r="N34" i="58"/>
  <c r="J34" i="58"/>
  <c r="I26" i="1" s="1"/>
  <c r="I34" i="58"/>
  <c r="H34" i="58"/>
  <c r="N33" i="58"/>
  <c r="J33" i="58"/>
  <c r="I33" i="58"/>
  <c r="H33" i="58"/>
  <c r="N32" i="58"/>
  <c r="J32" i="58"/>
  <c r="I32" i="58"/>
  <c r="H32" i="58"/>
  <c r="N31" i="58"/>
  <c r="J31" i="58"/>
  <c r="I31" i="58"/>
  <c r="H31" i="58"/>
  <c r="N30" i="58"/>
  <c r="J30" i="58"/>
  <c r="I30" i="58"/>
  <c r="H30" i="58"/>
  <c r="N29" i="58"/>
  <c r="J29" i="58"/>
  <c r="I29" i="58"/>
  <c r="H29" i="58"/>
  <c r="N28" i="58"/>
  <c r="J28" i="58"/>
  <c r="I28" i="58"/>
  <c r="H28" i="58"/>
  <c r="N27" i="58"/>
  <c r="J27" i="58"/>
  <c r="I24" i="1" s="1"/>
  <c r="I27" i="58"/>
  <c r="H27" i="58"/>
  <c r="N26" i="58"/>
  <c r="J26" i="58"/>
  <c r="I26" i="58"/>
  <c r="H26" i="58"/>
  <c r="N25" i="58"/>
  <c r="J25" i="58"/>
  <c r="I25" i="58"/>
  <c r="H25" i="58"/>
  <c r="N24" i="58"/>
  <c r="J24" i="58"/>
  <c r="I24" i="58"/>
  <c r="H24" i="58"/>
  <c r="N23" i="58"/>
  <c r="J23" i="58"/>
  <c r="I23" i="1" s="1"/>
  <c r="I23" i="58"/>
  <c r="H23" i="58"/>
  <c r="N22" i="58"/>
  <c r="J22" i="58"/>
  <c r="I22" i="58"/>
  <c r="H22" i="58"/>
  <c r="N21" i="58"/>
  <c r="J21" i="58"/>
  <c r="I21" i="58"/>
  <c r="H21" i="58"/>
  <c r="N20" i="58"/>
  <c r="J20" i="58"/>
  <c r="I20" i="58"/>
  <c r="H20" i="58"/>
  <c r="N19" i="58"/>
  <c r="J19" i="58"/>
  <c r="I19" i="58"/>
  <c r="H19" i="58"/>
  <c r="N18" i="58"/>
  <c r="J18" i="58"/>
  <c r="I18" i="58"/>
  <c r="H18" i="58"/>
  <c r="N17" i="58"/>
  <c r="J17" i="58"/>
  <c r="I17" i="58"/>
  <c r="H17" i="58"/>
  <c r="N16" i="58"/>
  <c r="J16" i="58"/>
  <c r="I22" i="1" s="1"/>
  <c r="I16" i="58"/>
  <c r="H16" i="58"/>
  <c r="N15" i="58"/>
  <c r="J15" i="58"/>
  <c r="I15" i="58"/>
  <c r="H15" i="58"/>
  <c r="N14" i="58"/>
  <c r="J14" i="58"/>
  <c r="I14" i="58"/>
  <c r="H14" i="58"/>
  <c r="N13" i="58"/>
  <c r="I13" i="58"/>
  <c r="G13" i="58"/>
  <c r="N12" i="58"/>
  <c r="J12" i="58"/>
  <c r="I12" i="58"/>
  <c r="H12" i="58"/>
  <c r="N11" i="58"/>
  <c r="J11" i="58"/>
  <c r="I20" i="1" s="1"/>
  <c r="I11" i="58"/>
  <c r="H11" i="58"/>
  <c r="N10" i="58"/>
  <c r="J10" i="58"/>
  <c r="I10" i="58"/>
  <c r="H10" i="58"/>
  <c r="N9" i="58"/>
  <c r="J9" i="58"/>
  <c r="I9" i="58"/>
  <c r="H9" i="58"/>
  <c r="N8" i="58"/>
  <c r="J8" i="58"/>
  <c r="I19" i="1" s="1"/>
  <c r="I8" i="58"/>
  <c r="H8" i="58"/>
  <c r="N7" i="58"/>
  <c r="J7" i="58"/>
  <c r="I18" i="1" s="1"/>
  <c r="I7" i="58"/>
  <c r="H7" i="58"/>
  <c r="N6" i="58"/>
  <c r="J6" i="58"/>
  <c r="I6" i="58"/>
  <c r="H6" i="58"/>
  <c r="N5" i="58"/>
  <c r="J5" i="58"/>
  <c r="I5" i="58"/>
  <c r="H5" i="58"/>
  <c r="E2" i="58"/>
  <c r="N206" i="39"/>
  <c r="N205" i="39"/>
  <c r="N204" i="39"/>
  <c r="N203" i="39"/>
  <c r="N202" i="39"/>
  <c r="N201" i="39"/>
  <c r="N199" i="39"/>
  <c r="N198" i="39"/>
  <c r="N197" i="39"/>
  <c r="N195" i="39"/>
  <c r="N194" i="39"/>
  <c r="N193" i="39"/>
  <c r="N192" i="39"/>
  <c r="N190" i="39"/>
  <c r="N189" i="39"/>
  <c r="N187" i="39"/>
  <c r="N186" i="39"/>
  <c r="N185" i="39"/>
  <c r="N184" i="39"/>
  <c r="N181" i="39"/>
  <c r="N180" i="39"/>
  <c r="N179" i="39"/>
  <c r="N177" i="39"/>
  <c r="N176" i="39"/>
  <c r="N175" i="39"/>
  <c r="N174" i="39"/>
  <c r="N173" i="39"/>
  <c r="N172" i="39"/>
  <c r="N170" i="39"/>
  <c r="N169" i="39"/>
  <c r="N168" i="39"/>
  <c r="N166" i="39"/>
  <c r="N165" i="39"/>
  <c r="N164" i="39"/>
  <c r="N163" i="39"/>
  <c r="N161" i="39"/>
  <c r="N160" i="39"/>
  <c r="N159" i="39"/>
  <c r="N158" i="39"/>
  <c r="N157" i="39"/>
  <c r="N156" i="39"/>
  <c r="N154" i="39"/>
  <c r="N153" i="39"/>
  <c r="N152" i="39"/>
  <c r="N151" i="39"/>
  <c r="N150" i="39"/>
  <c r="N149" i="39"/>
  <c r="N148" i="39"/>
  <c r="N147" i="39"/>
  <c r="N146" i="39"/>
  <c r="N145" i="39"/>
  <c r="N144" i="39"/>
  <c r="N143" i="39"/>
  <c r="N142" i="39"/>
  <c r="N141" i="39"/>
  <c r="N140" i="39"/>
  <c r="N138" i="39"/>
  <c r="N137" i="39"/>
  <c r="N136" i="39"/>
  <c r="N135" i="39"/>
  <c r="N133" i="39"/>
  <c r="N132" i="39"/>
  <c r="N130" i="39"/>
  <c r="N129" i="39"/>
  <c r="N128" i="39"/>
  <c r="N126" i="39"/>
  <c r="N125" i="39"/>
  <c r="N124" i="39"/>
  <c r="N122" i="39"/>
  <c r="N121" i="39"/>
  <c r="N119" i="39"/>
  <c r="N118" i="39"/>
  <c r="N117" i="39"/>
  <c r="N116" i="39"/>
  <c r="N115" i="39"/>
  <c r="N114" i="39"/>
  <c r="N113" i="39"/>
  <c r="N112" i="39"/>
  <c r="N111" i="39"/>
  <c r="N110" i="39"/>
  <c r="N108" i="39"/>
  <c r="N107" i="39"/>
  <c r="N106" i="39"/>
  <c r="N105" i="39"/>
  <c r="N104" i="39"/>
  <c r="N103" i="39"/>
  <c r="N102" i="39"/>
  <c r="N101" i="39"/>
  <c r="N100" i="39"/>
  <c r="N99" i="39"/>
  <c r="N98" i="39"/>
  <c r="N96" i="39"/>
  <c r="N95" i="39"/>
  <c r="N94" i="39"/>
  <c r="N93" i="39"/>
  <c r="N91" i="39"/>
  <c r="N90" i="39"/>
  <c r="N89" i="39"/>
  <c r="N87" i="39"/>
  <c r="N86" i="39"/>
  <c r="N85" i="39"/>
  <c r="N83" i="39"/>
  <c r="N82" i="39"/>
  <c r="N81" i="39"/>
  <c r="N80" i="39"/>
  <c r="N79" i="39"/>
  <c r="N77" i="39"/>
  <c r="N76" i="39"/>
  <c r="N75" i="39"/>
  <c r="N74" i="39"/>
  <c r="N73" i="39"/>
  <c r="N72" i="39"/>
  <c r="N71" i="39"/>
  <c r="N70" i="39"/>
  <c r="N69" i="39"/>
  <c r="N68" i="39"/>
  <c r="N67" i="39"/>
  <c r="N66" i="39"/>
  <c r="N65" i="39"/>
  <c r="N63" i="39"/>
  <c r="N62" i="39"/>
  <c r="N61" i="39"/>
  <c r="N59" i="39"/>
  <c r="N58" i="39"/>
  <c r="N57" i="39"/>
  <c r="N56" i="39"/>
  <c r="N55" i="39"/>
  <c r="N54" i="39"/>
  <c r="N53" i="39"/>
  <c r="N51" i="39"/>
  <c r="N50" i="39"/>
  <c r="N49" i="39"/>
  <c r="N47" i="39"/>
  <c r="N46" i="39"/>
  <c r="N44" i="39"/>
  <c r="N43" i="39"/>
  <c r="N42" i="39"/>
  <c r="N41" i="39"/>
  <c r="N40" i="39"/>
  <c r="N38" i="39"/>
  <c r="N37" i="39"/>
  <c r="N36" i="39"/>
  <c r="N35" i="39"/>
  <c r="N34" i="39"/>
  <c r="N32" i="39"/>
  <c r="N31" i="39"/>
  <c r="N30" i="39"/>
  <c r="N29" i="39"/>
  <c r="N28" i="39"/>
  <c r="N27" i="39"/>
  <c r="N26" i="39"/>
  <c r="N25" i="39"/>
  <c r="N23" i="39"/>
  <c r="N22" i="39"/>
  <c r="N20" i="39"/>
  <c r="N18" i="39"/>
  <c r="N17" i="39"/>
  <c r="N16" i="39"/>
  <c r="N15" i="39"/>
  <c r="N14" i="39"/>
  <c r="N13" i="39"/>
  <c r="N12" i="39"/>
  <c r="N11" i="39"/>
  <c r="N10" i="39"/>
  <c r="N9" i="39"/>
  <c r="N8" i="39"/>
  <c r="N7" i="39"/>
  <c r="N6" i="39"/>
  <c r="N36" i="58" l="1"/>
  <c r="I59" i="58"/>
  <c r="N80" i="58"/>
  <c r="N80" i="60"/>
  <c r="I80" i="60"/>
  <c r="N13" i="61"/>
  <c r="I13" i="61"/>
  <c r="N80" i="63"/>
  <c r="I80" i="63"/>
  <c r="N59" i="64"/>
  <c r="I59" i="64"/>
  <c r="I43" i="65"/>
  <c r="N43" i="65"/>
  <c r="J12" i="1"/>
  <c r="I63" i="62"/>
  <c r="N63" i="62"/>
  <c r="I63" i="63"/>
  <c r="N63" i="63"/>
  <c r="N43" i="66"/>
  <c r="I43" i="66"/>
  <c r="N63" i="58"/>
  <c r="I87" i="59"/>
  <c r="N87" i="59"/>
  <c r="K17" i="1"/>
  <c r="K12" i="1"/>
  <c r="I36" i="60"/>
  <c r="N36" i="60"/>
  <c r="N12" i="1"/>
  <c r="N66" i="64"/>
  <c r="I66" i="64"/>
  <c r="N66" i="66"/>
  <c r="I66" i="66"/>
  <c r="T12" i="1"/>
  <c r="L12" i="1"/>
  <c r="O12" i="1"/>
  <c r="P12" i="1"/>
  <c r="Q12" i="1"/>
  <c r="I66" i="67"/>
  <c r="R12" i="1"/>
  <c r="I36" i="68"/>
  <c r="I63" i="68"/>
  <c r="S12" i="1"/>
  <c r="I43" i="69"/>
  <c r="N87" i="69"/>
  <c r="N63" i="70"/>
  <c r="I80" i="70"/>
  <c r="N63" i="59"/>
  <c r="I80" i="59"/>
  <c r="I59" i="60"/>
  <c r="I66" i="60"/>
  <c r="N87" i="61"/>
  <c r="N36" i="62"/>
  <c r="I80" i="62"/>
  <c r="I13" i="63"/>
  <c r="I59" i="63"/>
  <c r="I13" i="64"/>
  <c r="I43" i="64"/>
  <c r="N87" i="64"/>
  <c r="I36" i="65"/>
  <c r="N87" i="65"/>
  <c r="N87" i="66"/>
  <c r="N36" i="67"/>
  <c r="N87" i="67"/>
  <c r="U12" i="1"/>
  <c r="N63" i="65"/>
  <c r="N36" i="66"/>
  <c r="N63" i="66"/>
  <c r="N63" i="67"/>
  <c r="N94" i="68"/>
  <c r="I80" i="69"/>
  <c r="I17" i="1"/>
  <c r="I12" i="1"/>
  <c r="I52" i="70"/>
  <c r="I73" i="70"/>
  <c r="I43" i="70"/>
  <c r="I66" i="70"/>
  <c r="I94" i="70"/>
  <c r="I52" i="69"/>
  <c r="I73" i="69"/>
  <c r="I94" i="69"/>
  <c r="I59" i="68"/>
  <c r="I80" i="68"/>
  <c r="N13" i="68"/>
  <c r="I52" i="68"/>
  <c r="I73" i="68"/>
  <c r="I52" i="67"/>
  <c r="I73" i="67"/>
  <c r="I94" i="67"/>
  <c r="I52" i="66"/>
  <c r="I73" i="66"/>
  <c r="I94" i="66"/>
  <c r="I52" i="65"/>
  <c r="I73" i="65"/>
  <c r="I66" i="65"/>
  <c r="I94" i="65"/>
  <c r="I52" i="64"/>
  <c r="I73" i="64"/>
  <c r="I94" i="64"/>
  <c r="I52" i="63"/>
  <c r="I73" i="63"/>
  <c r="I66" i="63"/>
  <c r="I94" i="63"/>
  <c r="I52" i="62"/>
  <c r="I73" i="62"/>
  <c r="I94" i="62"/>
  <c r="I52" i="61"/>
  <c r="I73" i="61"/>
  <c r="I43" i="61"/>
  <c r="I66" i="61"/>
  <c r="I94" i="61"/>
  <c r="I52" i="60"/>
  <c r="I73" i="60"/>
  <c r="I94" i="60"/>
  <c r="I52" i="59"/>
  <c r="I73" i="59"/>
  <c r="I43" i="59"/>
  <c r="I66" i="59"/>
  <c r="I94" i="59"/>
  <c r="I52" i="58"/>
  <c r="I73" i="58"/>
  <c r="I43" i="58"/>
  <c r="I66" i="58"/>
  <c r="I94" i="58"/>
  <c r="J170" i="39"/>
  <c r="I170" i="39"/>
  <c r="H170" i="39"/>
  <c r="J169" i="39"/>
  <c r="I169" i="39"/>
  <c r="H169" i="39"/>
  <c r="J168" i="39"/>
  <c r="I168" i="39"/>
  <c r="H168" i="39"/>
  <c r="G167" i="39"/>
  <c r="I167" i="39" s="1"/>
  <c r="J187" i="39"/>
  <c r="I187" i="39"/>
  <c r="H187" i="39"/>
  <c r="J186" i="39"/>
  <c r="I186" i="39"/>
  <c r="H186" i="39"/>
  <c r="J185" i="39"/>
  <c r="I185" i="39"/>
  <c r="H185" i="39"/>
  <c r="J184" i="39"/>
  <c r="I184" i="39"/>
  <c r="H184" i="39"/>
  <c r="J182" i="39"/>
  <c r="I182" i="39"/>
  <c r="H182" i="39"/>
  <c r="J181" i="39"/>
  <c r="I181" i="39"/>
  <c r="H181" i="39"/>
  <c r="J180" i="39"/>
  <c r="I180" i="39"/>
  <c r="H180" i="39"/>
  <c r="J179" i="39"/>
  <c r="I179" i="39"/>
  <c r="H179" i="39"/>
  <c r="G178" i="39"/>
  <c r="J190" i="39"/>
  <c r="I190" i="39"/>
  <c r="H190" i="39"/>
  <c r="J189" i="39"/>
  <c r="I189" i="39"/>
  <c r="H189" i="39"/>
  <c r="G188" i="39"/>
  <c r="I188" i="39" s="1"/>
  <c r="J199" i="39"/>
  <c r="I199" i="39"/>
  <c r="H199" i="39"/>
  <c r="J198" i="39"/>
  <c r="I198" i="39"/>
  <c r="H198" i="39"/>
  <c r="J197" i="39"/>
  <c r="I197" i="39"/>
  <c r="H197" i="39"/>
  <c r="G196" i="39"/>
  <c r="I196" i="39" s="1"/>
  <c r="J177" i="39"/>
  <c r="I177" i="39"/>
  <c r="H177" i="39"/>
  <c r="J176" i="39"/>
  <c r="I176" i="39"/>
  <c r="H176" i="39"/>
  <c r="J175" i="39"/>
  <c r="I175" i="39"/>
  <c r="H175" i="39"/>
  <c r="J174" i="39"/>
  <c r="I174" i="39"/>
  <c r="H174" i="39"/>
  <c r="J173" i="39"/>
  <c r="I173" i="39"/>
  <c r="H173" i="39"/>
  <c r="J172" i="39"/>
  <c r="I172" i="39"/>
  <c r="H172" i="39"/>
  <c r="G171" i="39"/>
  <c r="I171" i="39" s="1"/>
  <c r="I178" i="39" l="1"/>
  <c r="H25" i="56"/>
  <c r="I25" i="56"/>
  <c r="J25" i="56"/>
  <c r="K25" i="56"/>
  <c r="L25" i="56"/>
  <c r="M25" i="56"/>
  <c r="N25" i="56"/>
  <c r="O25" i="56"/>
  <c r="P25" i="56"/>
  <c r="Q25" i="56"/>
  <c r="R25" i="56"/>
  <c r="S25" i="56"/>
  <c r="T25" i="56"/>
  <c r="U25" i="56"/>
  <c r="I29" i="57"/>
  <c r="J29" i="57"/>
  <c r="K29" i="57"/>
  <c r="M29" i="57"/>
  <c r="M29" i="56"/>
  <c r="O29" i="57"/>
  <c r="P29" i="56"/>
  <c r="R29" i="57"/>
  <c r="S29" i="57"/>
  <c r="U29" i="57"/>
  <c r="U29" i="56"/>
  <c r="H22" i="56"/>
  <c r="J22" i="56"/>
  <c r="K22" i="56"/>
  <c r="L22" i="56"/>
  <c r="M22" i="56"/>
  <c r="N22" i="56"/>
  <c r="O22" i="56"/>
  <c r="P22" i="56"/>
  <c r="Q22" i="56"/>
  <c r="R22" i="56"/>
  <c r="S22" i="56"/>
  <c r="T22" i="56"/>
  <c r="U22" i="56"/>
  <c r="W37" i="57"/>
  <c r="W36" i="57"/>
  <c r="W35" i="57"/>
  <c r="W34" i="57"/>
  <c r="W33" i="57"/>
  <c r="W32" i="57"/>
  <c r="W31" i="57"/>
  <c r="W30" i="57"/>
  <c r="W29" i="57"/>
  <c r="Q29" i="57"/>
  <c r="W28" i="57"/>
  <c r="W26" i="57"/>
  <c r="W25" i="57"/>
  <c r="W24" i="57"/>
  <c r="W23" i="57"/>
  <c r="W22" i="57"/>
  <c r="W21" i="57"/>
  <c r="W20" i="57"/>
  <c r="W19" i="57"/>
  <c r="W18" i="57"/>
  <c r="O11" i="57"/>
  <c r="K11" i="57"/>
  <c r="W17" i="57"/>
  <c r="M11" i="57"/>
  <c r="I11" i="57"/>
  <c r="V15" i="57"/>
  <c r="U15" i="57"/>
  <c r="T15" i="57"/>
  <c r="S15" i="57"/>
  <c r="R15" i="57"/>
  <c r="Q15" i="57"/>
  <c r="P15" i="57"/>
  <c r="O15" i="57"/>
  <c r="N15" i="57"/>
  <c r="M15" i="57"/>
  <c r="L15" i="57"/>
  <c r="K15" i="57"/>
  <c r="J15" i="57"/>
  <c r="I15" i="57"/>
  <c r="H15" i="57"/>
  <c r="G15" i="57"/>
  <c r="F15" i="57"/>
  <c r="P11" i="57"/>
  <c r="N11" i="57"/>
  <c r="L11" i="57"/>
  <c r="J11" i="57"/>
  <c r="H11" i="57"/>
  <c r="E8" i="57"/>
  <c r="E7" i="57"/>
  <c r="E6" i="57"/>
  <c r="E5" i="57"/>
  <c r="B10" i="57" s="1"/>
  <c r="V37" i="56"/>
  <c r="V36" i="56"/>
  <c r="V35" i="56"/>
  <c r="V34" i="56"/>
  <c r="V33" i="56"/>
  <c r="V32" i="56"/>
  <c r="V31" i="56"/>
  <c r="V30" i="56"/>
  <c r="V29" i="56"/>
  <c r="T29" i="56"/>
  <c r="H29" i="56"/>
  <c r="V28" i="56"/>
  <c r="V26" i="56"/>
  <c r="V25" i="56"/>
  <c r="V24" i="56"/>
  <c r="V23" i="56"/>
  <c r="V22" i="56"/>
  <c r="I22" i="56"/>
  <c r="V21" i="56"/>
  <c r="V20" i="56"/>
  <c r="V19" i="56"/>
  <c r="V18" i="56"/>
  <c r="V17" i="56"/>
  <c r="U15" i="56"/>
  <c r="T15" i="56"/>
  <c r="S15" i="56"/>
  <c r="R15" i="56"/>
  <c r="Q15" i="56"/>
  <c r="P15" i="56"/>
  <c r="O15" i="56"/>
  <c r="N15" i="56"/>
  <c r="M15" i="56"/>
  <c r="L15" i="56"/>
  <c r="K15" i="56"/>
  <c r="J15" i="56"/>
  <c r="I15" i="56"/>
  <c r="H15" i="56"/>
  <c r="G15" i="56"/>
  <c r="F15" i="56"/>
  <c r="E8" i="56"/>
  <c r="E7" i="56"/>
  <c r="E6" i="56"/>
  <c r="E5" i="56"/>
  <c r="B10" i="56" s="1"/>
  <c r="L29" i="56" l="1"/>
  <c r="N29" i="57"/>
  <c r="Q29" i="56"/>
  <c r="I29" i="56"/>
  <c r="V29" i="57"/>
  <c r="T29" i="57"/>
  <c r="S29" i="56"/>
  <c r="O29" i="56"/>
  <c r="P29" i="57"/>
  <c r="L29" i="57"/>
  <c r="K29" i="56"/>
  <c r="J29" i="56"/>
  <c r="N29" i="56"/>
  <c r="R29" i="56"/>
  <c r="H37" i="56" l="1"/>
  <c r="I37" i="57"/>
  <c r="L37" i="56"/>
  <c r="M37" i="57"/>
  <c r="P37" i="56"/>
  <c r="Q37" i="57"/>
  <c r="T37" i="56"/>
  <c r="U37" i="57"/>
  <c r="J37" i="57"/>
  <c r="I37" i="56"/>
  <c r="N37" i="57"/>
  <c r="M37" i="56"/>
  <c r="R37" i="57"/>
  <c r="Q37" i="56"/>
  <c r="V37" i="57"/>
  <c r="U37" i="56"/>
  <c r="K37" i="57"/>
  <c r="J37" i="56"/>
  <c r="O37" i="57"/>
  <c r="N37" i="56"/>
  <c r="S37" i="57"/>
  <c r="R37" i="56"/>
  <c r="L37" i="57"/>
  <c r="K37" i="56"/>
  <c r="P37" i="57"/>
  <c r="O37" i="56"/>
  <c r="T37" i="57"/>
  <c r="S37" i="56"/>
  <c r="G200" i="39"/>
  <c r="I200" i="39" s="1"/>
  <c r="J206" i="39"/>
  <c r="I206" i="39"/>
  <c r="H206" i="39"/>
  <c r="J205" i="39"/>
  <c r="I205" i="39"/>
  <c r="H205" i="39"/>
  <c r="J204" i="39"/>
  <c r="I204" i="39"/>
  <c r="H204" i="39"/>
  <c r="J203" i="39"/>
  <c r="I203" i="39"/>
  <c r="H203" i="39"/>
  <c r="J202" i="39"/>
  <c r="I202" i="39"/>
  <c r="H202" i="39"/>
  <c r="J201" i="39"/>
  <c r="I201" i="39"/>
  <c r="H201" i="39"/>
  <c r="G191" i="39"/>
  <c r="I191" i="39" s="1"/>
  <c r="J195" i="39"/>
  <c r="I195" i="39"/>
  <c r="H195" i="39"/>
  <c r="J194" i="39"/>
  <c r="I194" i="39"/>
  <c r="H194" i="39"/>
  <c r="J193" i="39"/>
  <c r="I193" i="39"/>
  <c r="H193" i="39"/>
  <c r="J192" i="39"/>
  <c r="I192" i="39"/>
  <c r="H192" i="39"/>
  <c r="J161" i="39"/>
  <c r="I161" i="39"/>
  <c r="H161" i="39"/>
  <c r="J160" i="39"/>
  <c r="I160" i="39"/>
  <c r="H160" i="39"/>
  <c r="J159" i="39"/>
  <c r="I159" i="39"/>
  <c r="H159" i="39"/>
  <c r="J166" i="39"/>
  <c r="I166" i="39"/>
  <c r="H166" i="39"/>
  <c r="J165" i="39"/>
  <c r="I165" i="39"/>
  <c r="H165" i="39"/>
  <c r="J164" i="39"/>
  <c r="I164" i="39"/>
  <c r="H164" i="39"/>
  <c r="J163" i="39"/>
  <c r="I163" i="39"/>
  <c r="H163" i="39"/>
  <c r="G162" i="39"/>
  <c r="I162" i="39" s="1"/>
  <c r="G155" i="39"/>
  <c r="I155" i="39" s="1"/>
  <c r="J158" i="39"/>
  <c r="I158" i="39"/>
  <c r="H158" i="39"/>
  <c r="J157" i="39"/>
  <c r="I157" i="39"/>
  <c r="H157" i="39"/>
  <c r="J156" i="39"/>
  <c r="I156" i="39"/>
  <c r="H156" i="39"/>
  <c r="G38" i="1" l="1"/>
  <c r="E38" i="1" s="1"/>
  <c r="G39" i="1"/>
  <c r="J87" i="39"/>
  <c r="I87" i="39"/>
  <c r="H87" i="39"/>
  <c r="J86" i="39"/>
  <c r="I86" i="39"/>
  <c r="H86" i="39"/>
  <c r="J85" i="39"/>
  <c r="I85" i="39"/>
  <c r="H85" i="39"/>
  <c r="G84" i="39"/>
  <c r="I84" i="39" s="1"/>
  <c r="G88" i="39"/>
  <c r="I88" i="39" s="1"/>
  <c r="H89" i="39"/>
  <c r="I89" i="39"/>
  <c r="J89" i="39"/>
  <c r="H90" i="39"/>
  <c r="I90" i="39"/>
  <c r="J90" i="39"/>
  <c r="H91" i="39"/>
  <c r="I91" i="39"/>
  <c r="J91" i="39"/>
  <c r="G21" i="39"/>
  <c r="I21" i="39" s="1"/>
  <c r="J22" i="39"/>
  <c r="I22" i="39"/>
  <c r="H22" i="39"/>
  <c r="J23" i="39"/>
  <c r="I23" i="39"/>
  <c r="H23" i="39"/>
  <c r="G19" i="39"/>
  <c r="J20" i="39"/>
  <c r="I20" i="39"/>
  <c r="H20" i="39"/>
  <c r="G38" i="57" l="1"/>
  <c r="G38" i="56"/>
  <c r="E39" i="1"/>
  <c r="G39" i="57"/>
  <c r="G39" i="56"/>
  <c r="E38" i="56"/>
  <c r="E38" i="57"/>
  <c r="G139" i="39"/>
  <c r="N139" i="39" s="1"/>
  <c r="J154" i="39"/>
  <c r="I154" i="39"/>
  <c r="H154" i="39"/>
  <c r="J153" i="39"/>
  <c r="I153" i="39"/>
  <c r="H153" i="39"/>
  <c r="J152" i="39"/>
  <c r="I152" i="39"/>
  <c r="H152" i="39"/>
  <c r="J151" i="39"/>
  <c r="I151" i="39"/>
  <c r="H151" i="39"/>
  <c r="J150" i="39"/>
  <c r="I150" i="39"/>
  <c r="H150" i="39"/>
  <c r="J149" i="39"/>
  <c r="I149" i="39"/>
  <c r="H149" i="39"/>
  <c r="J148" i="39"/>
  <c r="I148" i="39"/>
  <c r="H148" i="39"/>
  <c r="J147" i="39"/>
  <c r="I147" i="39"/>
  <c r="H147" i="39"/>
  <c r="J146" i="39"/>
  <c r="I146" i="39"/>
  <c r="H146" i="39"/>
  <c r="J145" i="39"/>
  <c r="I145" i="39"/>
  <c r="H145" i="39"/>
  <c r="J144" i="39"/>
  <c r="I144" i="39"/>
  <c r="H144" i="39"/>
  <c r="J143" i="39"/>
  <c r="I143" i="39"/>
  <c r="H143" i="39"/>
  <c r="E39" i="57" l="1"/>
  <c r="E39" i="56"/>
  <c r="BU99" i="38"/>
  <c r="BT99" i="38"/>
  <c r="BU98" i="38"/>
  <c r="BT98" i="38"/>
  <c r="BU97" i="38"/>
  <c r="BT97" i="38"/>
  <c r="BU96" i="38"/>
  <c r="BT96" i="38"/>
  <c r="BU95" i="38"/>
  <c r="BT95" i="38"/>
  <c r="BU94" i="38"/>
  <c r="BT94" i="38"/>
  <c r="BU93" i="38"/>
  <c r="BT93" i="38"/>
  <c r="N100" i="15"/>
  <c r="J100" i="15"/>
  <c r="I100" i="15"/>
  <c r="H100" i="15"/>
  <c r="N99" i="15"/>
  <c r="J99" i="15"/>
  <c r="I99" i="15"/>
  <c r="H99" i="15"/>
  <c r="N98" i="15"/>
  <c r="J98" i="15"/>
  <c r="I98" i="15"/>
  <c r="H98" i="15"/>
  <c r="N97" i="15"/>
  <c r="J97" i="15"/>
  <c r="I97" i="15"/>
  <c r="H97" i="15"/>
  <c r="N96" i="15"/>
  <c r="J96" i="15"/>
  <c r="I96" i="15"/>
  <c r="H96" i="15"/>
  <c r="N95" i="15"/>
  <c r="J95" i="15"/>
  <c r="H37" i="1" s="1"/>
  <c r="I95" i="15"/>
  <c r="H95" i="15"/>
  <c r="G94" i="15"/>
  <c r="I94" i="15" s="1"/>
  <c r="H37" i="57" l="1"/>
  <c r="G37" i="56"/>
  <c r="N94" i="15"/>
  <c r="G87" i="15"/>
  <c r="N87" i="15" s="1"/>
  <c r="G80" i="15"/>
  <c r="N80" i="15" s="1"/>
  <c r="G73" i="15"/>
  <c r="N73" i="15" s="1"/>
  <c r="G66" i="15"/>
  <c r="N66" i="15" s="1"/>
  <c r="G63" i="15"/>
  <c r="N63" i="15" s="1"/>
  <c r="G59" i="15"/>
  <c r="N59" i="15" s="1"/>
  <c r="G52" i="15"/>
  <c r="I52" i="15" s="1"/>
  <c r="G43" i="15"/>
  <c r="I43" i="15" s="1"/>
  <c r="G36" i="15"/>
  <c r="I36" i="15" s="1"/>
  <c r="G13" i="15"/>
  <c r="I13" i="15" s="1"/>
  <c r="I139" i="39"/>
  <c r="I87" i="15" l="1"/>
  <c r="I80" i="15"/>
  <c r="I73" i="15"/>
  <c r="I66" i="15"/>
  <c r="I63" i="15"/>
  <c r="I59" i="15"/>
  <c r="G134" i="39"/>
  <c r="I134" i="39" s="1"/>
  <c r="G131" i="39"/>
  <c r="I131" i="39" s="1"/>
  <c r="G127" i="39"/>
  <c r="G123" i="39"/>
  <c r="I123" i="39" s="1"/>
  <c r="G120" i="39"/>
  <c r="I120" i="39" s="1"/>
  <c r="G109" i="39"/>
  <c r="I109" i="39" s="1"/>
  <c r="G97" i="39"/>
  <c r="I97" i="39" s="1"/>
  <c r="G92" i="39"/>
  <c r="I92" i="39" s="1"/>
  <c r="G78" i="39"/>
  <c r="I78" i="39" s="1"/>
  <c r="G64" i="39"/>
  <c r="I64" i="39" s="1"/>
  <c r="G60" i="39"/>
  <c r="I60" i="39" s="1"/>
  <c r="G52" i="39"/>
  <c r="I52" i="39" s="1"/>
  <c r="G48" i="39"/>
  <c r="I48" i="39" s="1"/>
  <c r="G45" i="39"/>
  <c r="I45" i="39" s="1"/>
  <c r="G39" i="39"/>
  <c r="I39" i="39" s="1"/>
  <c r="G33" i="39"/>
  <c r="I33" i="39" s="1"/>
  <c r="G24" i="39"/>
  <c r="G5" i="39"/>
  <c r="I5" i="39" s="1"/>
  <c r="I127" i="39" l="1"/>
  <c r="N127" i="39"/>
  <c r="I24" i="39"/>
  <c r="I19" i="39"/>
  <c r="BT26" i="55" l="1"/>
  <c r="BT25" i="55"/>
  <c r="BT24" i="55"/>
  <c r="BT23" i="55"/>
  <c r="BT22" i="55"/>
  <c r="BT21" i="55"/>
  <c r="BT20" i="55"/>
  <c r="BT19" i="55"/>
  <c r="BT18" i="55"/>
  <c r="BT17" i="55"/>
  <c r="BT16" i="55"/>
  <c r="BT15" i="55"/>
  <c r="BT14" i="55"/>
  <c r="BT13" i="55"/>
  <c r="BT12" i="55"/>
  <c r="BT11" i="55"/>
  <c r="BT10" i="55"/>
  <c r="BT9" i="55"/>
  <c r="BT8" i="55"/>
  <c r="BT7" i="55"/>
  <c r="BT6" i="55"/>
  <c r="BT5" i="55"/>
  <c r="BT4" i="55"/>
  <c r="J135" i="39" l="1"/>
  <c r="I135" i="39"/>
  <c r="H135" i="39"/>
  <c r="J136" i="39"/>
  <c r="I136" i="39"/>
  <c r="H136" i="39"/>
  <c r="J137" i="39"/>
  <c r="I137" i="39"/>
  <c r="H137" i="39"/>
  <c r="J138" i="39"/>
  <c r="I138" i="39"/>
  <c r="H138" i="39"/>
  <c r="J133" i="39"/>
  <c r="I133" i="39"/>
  <c r="H133" i="39"/>
  <c r="J132" i="39"/>
  <c r="I132" i="39"/>
  <c r="H132" i="39"/>
  <c r="J130" i="39"/>
  <c r="I130" i="39"/>
  <c r="H130" i="39"/>
  <c r="J129" i="39"/>
  <c r="I129" i="39"/>
  <c r="H129" i="39"/>
  <c r="J128" i="39"/>
  <c r="I128" i="39"/>
  <c r="H128" i="39"/>
  <c r="J125" i="39"/>
  <c r="I125" i="39"/>
  <c r="H125" i="39"/>
  <c r="J126" i="39"/>
  <c r="I126" i="39"/>
  <c r="H126" i="39"/>
  <c r="J124" i="39"/>
  <c r="I124" i="39"/>
  <c r="H124" i="39"/>
  <c r="J121" i="39"/>
  <c r="I121" i="39"/>
  <c r="H121" i="39"/>
  <c r="J122" i="39"/>
  <c r="I122" i="39"/>
  <c r="H122" i="39"/>
  <c r="J119" i="39"/>
  <c r="I119" i="39"/>
  <c r="H119" i="39"/>
  <c r="J118" i="39"/>
  <c r="I118" i="39"/>
  <c r="H118" i="39"/>
  <c r="J117" i="39"/>
  <c r="I117" i="39"/>
  <c r="H117" i="39"/>
  <c r="J116" i="39"/>
  <c r="I116" i="39"/>
  <c r="H116" i="39"/>
  <c r="J115" i="39"/>
  <c r="I115" i="39"/>
  <c r="H115" i="39"/>
  <c r="J114" i="39"/>
  <c r="I114" i="39"/>
  <c r="H114" i="39"/>
  <c r="J113" i="39"/>
  <c r="I113" i="39"/>
  <c r="H113" i="39"/>
  <c r="J112" i="39"/>
  <c r="I112" i="39"/>
  <c r="H112" i="39"/>
  <c r="J110" i="39"/>
  <c r="I110" i="39"/>
  <c r="H110" i="39"/>
  <c r="J111" i="39"/>
  <c r="I111" i="39"/>
  <c r="H111" i="39"/>
  <c r="J108" i="39"/>
  <c r="I108" i="39"/>
  <c r="H108" i="39"/>
  <c r="J107" i="39"/>
  <c r="I107" i="39"/>
  <c r="H107" i="39"/>
  <c r="J106" i="39"/>
  <c r="I106" i="39"/>
  <c r="H106" i="39"/>
  <c r="J105" i="39"/>
  <c r="I105" i="39"/>
  <c r="H105" i="39"/>
  <c r="J104" i="39"/>
  <c r="I104" i="39"/>
  <c r="H104" i="39"/>
  <c r="J103" i="39"/>
  <c r="I103" i="39"/>
  <c r="H103" i="39"/>
  <c r="J102" i="39"/>
  <c r="I102" i="39"/>
  <c r="H102" i="39"/>
  <c r="J101" i="39"/>
  <c r="I101" i="39"/>
  <c r="H101" i="39"/>
  <c r="J100" i="39"/>
  <c r="I100" i="39"/>
  <c r="H100" i="39"/>
  <c r="J99" i="39"/>
  <c r="I99" i="39"/>
  <c r="H99" i="39"/>
  <c r="J98" i="39"/>
  <c r="I98" i="39"/>
  <c r="H98" i="39"/>
  <c r="J93" i="39"/>
  <c r="I93" i="39"/>
  <c r="H93" i="39"/>
  <c r="J94" i="39"/>
  <c r="I94" i="39"/>
  <c r="H94" i="39"/>
  <c r="J95" i="39"/>
  <c r="I95" i="39"/>
  <c r="H95" i="39"/>
  <c r="J96" i="39"/>
  <c r="I96" i="39"/>
  <c r="H96" i="39"/>
  <c r="J79" i="39"/>
  <c r="I79" i="39"/>
  <c r="H79" i="39"/>
  <c r="J80" i="39"/>
  <c r="I80" i="39"/>
  <c r="H80" i="39"/>
  <c r="J81" i="39"/>
  <c r="I81" i="39"/>
  <c r="H81" i="39"/>
  <c r="J82" i="39"/>
  <c r="I82" i="39"/>
  <c r="H82" i="39"/>
  <c r="J83" i="39"/>
  <c r="I83" i="39"/>
  <c r="H83" i="39"/>
  <c r="J77" i="39"/>
  <c r="I77" i="39"/>
  <c r="H77" i="39"/>
  <c r="J76" i="39"/>
  <c r="I76" i="39"/>
  <c r="H76" i="39"/>
  <c r="J75" i="39"/>
  <c r="I75" i="39"/>
  <c r="H75" i="39"/>
  <c r="J74" i="39"/>
  <c r="I74" i="39"/>
  <c r="H74" i="39"/>
  <c r="J73" i="39"/>
  <c r="I73" i="39"/>
  <c r="H73" i="39"/>
  <c r="J72" i="39"/>
  <c r="I72" i="39"/>
  <c r="H72" i="39"/>
  <c r="J71" i="39"/>
  <c r="I71" i="39"/>
  <c r="H71" i="39"/>
  <c r="J70" i="39"/>
  <c r="I70" i="39"/>
  <c r="H70" i="39"/>
  <c r="J69" i="39"/>
  <c r="I69" i="39"/>
  <c r="H69" i="39"/>
  <c r="J68" i="39"/>
  <c r="I68" i="39"/>
  <c r="H68" i="39"/>
  <c r="J67" i="39"/>
  <c r="I67" i="39"/>
  <c r="H67" i="39"/>
  <c r="J65" i="39"/>
  <c r="I65" i="39"/>
  <c r="H65" i="39"/>
  <c r="J66" i="39"/>
  <c r="I66" i="39"/>
  <c r="H66" i="39"/>
  <c r="J62" i="39"/>
  <c r="I62" i="39"/>
  <c r="H62" i="39"/>
  <c r="J63" i="39"/>
  <c r="I63" i="39"/>
  <c r="H63" i="39"/>
  <c r="J61" i="39"/>
  <c r="I61" i="39"/>
  <c r="H61" i="39"/>
  <c r="J59" i="39"/>
  <c r="I59" i="39"/>
  <c r="H59" i="39"/>
  <c r="J58" i="39"/>
  <c r="I58" i="39"/>
  <c r="H58" i="39"/>
  <c r="J57" i="39"/>
  <c r="I57" i="39"/>
  <c r="H57" i="39"/>
  <c r="J56" i="39"/>
  <c r="I56" i="39"/>
  <c r="H56" i="39"/>
  <c r="J55" i="39"/>
  <c r="I55" i="39"/>
  <c r="H55" i="39"/>
  <c r="J54" i="39"/>
  <c r="I54" i="39"/>
  <c r="H54" i="39"/>
  <c r="J53" i="39"/>
  <c r="I53" i="39"/>
  <c r="H53" i="39"/>
  <c r="J51" i="39"/>
  <c r="I51" i="39"/>
  <c r="H51" i="39"/>
  <c r="J50" i="39"/>
  <c r="I50" i="39"/>
  <c r="H50" i="39"/>
  <c r="J49" i="39"/>
  <c r="I49" i="39"/>
  <c r="H49" i="39"/>
  <c r="J47" i="39"/>
  <c r="I47" i="39"/>
  <c r="H47" i="39"/>
  <c r="J46" i="39"/>
  <c r="I46" i="39"/>
  <c r="H46" i="39"/>
  <c r="J44" i="39"/>
  <c r="I44" i="39"/>
  <c r="H44" i="39"/>
  <c r="J43" i="39"/>
  <c r="I43" i="39"/>
  <c r="H43" i="39"/>
  <c r="J42" i="39"/>
  <c r="I42" i="39"/>
  <c r="H42" i="39"/>
  <c r="J41" i="39"/>
  <c r="I41" i="39"/>
  <c r="H41" i="39"/>
  <c r="J40" i="39"/>
  <c r="I40" i="39"/>
  <c r="H40" i="39"/>
  <c r="J38" i="39"/>
  <c r="I38" i="39"/>
  <c r="H38" i="39"/>
  <c r="J37" i="39"/>
  <c r="I37" i="39"/>
  <c r="H37" i="39"/>
  <c r="J36" i="39"/>
  <c r="I36" i="39"/>
  <c r="H36" i="39"/>
  <c r="J35" i="39"/>
  <c r="I35" i="39"/>
  <c r="H35" i="39"/>
  <c r="J34" i="39"/>
  <c r="I34" i="39"/>
  <c r="H34" i="39"/>
  <c r="J32" i="39"/>
  <c r="I32" i="39"/>
  <c r="H32" i="39"/>
  <c r="J31" i="39"/>
  <c r="I31" i="39"/>
  <c r="H31" i="39"/>
  <c r="J30" i="39"/>
  <c r="I30" i="39"/>
  <c r="H30" i="39"/>
  <c r="J29" i="39"/>
  <c r="I29" i="39"/>
  <c r="H29" i="39"/>
  <c r="J28" i="39"/>
  <c r="I28" i="39"/>
  <c r="H28" i="39"/>
  <c r="J27" i="39"/>
  <c r="I27" i="39"/>
  <c r="H27" i="39"/>
  <c r="J26" i="39"/>
  <c r="I26" i="39"/>
  <c r="H26" i="39"/>
  <c r="J25" i="39"/>
  <c r="I25" i="39"/>
  <c r="H25" i="39"/>
  <c r="J18" i="39"/>
  <c r="I18" i="39"/>
  <c r="H18" i="39"/>
  <c r="J17" i="39"/>
  <c r="I17" i="39"/>
  <c r="H17" i="39"/>
  <c r="J16" i="39"/>
  <c r="I16" i="39"/>
  <c r="H16" i="39"/>
  <c r="J15" i="39"/>
  <c r="I15" i="39"/>
  <c r="H15" i="39"/>
  <c r="J14" i="39"/>
  <c r="I14" i="39"/>
  <c r="H14" i="39"/>
  <c r="J13" i="39"/>
  <c r="I13" i="39"/>
  <c r="H13" i="39"/>
  <c r="J12" i="39"/>
  <c r="I12" i="39"/>
  <c r="H12" i="39"/>
  <c r="J11" i="39"/>
  <c r="I11" i="39"/>
  <c r="H11" i="39"/>
  <c r="J10" i="39"/>
  <c r="I10" i="39"/>
  <c r="H10" i="39"/>
  <c r="J9" i="39"/>
  <c r="I9" i="39"/>
  <c r="H9" i="39"/>
  <c r="J8" i="39"/>
  <c r="I8" i="39"/>
  <c r="H8" i="39"/>
  <c r="J7" i="39"/>
  <c r="I7" i="39"/>
  <c r="H7" i="39"/>
  <c r="J6" i="39"/>
  <c r="I6" i="39"/>
  <c r="H6" i="39"/>
  <c r="BU26" i="40"/>
  <c r="BT26" i="40"/>
  <c r="BU25" i="40"/>
  <c r="BT25" i="40"/>
  <c r="BU24" i="40"/>
  <c r="BT24" i="40"/>
  <c r="BU23" i="40"/>
  <c r="BT23" i="40"/>
  <c r="J142" i="39"/>
  <c r="I142" i="39"/>
  <c r="H142" i="39"/>
  <c r="J141" i="39"/>
  <c r="I141" i="39"/>
  <c r="H141" i="39"/>
  <c r="J140" i="39"/>
  <c r="I140" i="39"/>
  <c r="H140" i="39"/>
  <c r="G12" i="1" l="1"/>
  <c r="G29" i="1"/>
  <c r="I5" i="15"/>
  <c r="G29" i="57" l="1"/>
  <c r="G27" i="1"/>
  <c r="G25" i="1"/>
  <c r="G22" i="1"/>
  <c r="N93" i="15"/>
  <c r="N92" i="15"/>
  <c r="N91" i="15"/>
  <c r="N90" i="15"/>
  <c r="N89" i="15"/>
  <c r="N88" i="15"/>
  <c r="N86" i="15"/>
  <c r="N85" i="15"/>
  <c r="N84" i="15"/>
  <c r="N83" i="15"/>
  <c r="N82" i="15"/>
  <c r="N81" i="15"/>
  <c r="N79" i="15"/>
  <c r="N78" i="15"/>
  <c r="N77" i="15"/>
  <c r="N76" i="15"/>
  <c r="N75" i="15"/>
  <c r="N74" i="15"/>
  <c r="N72" i="15"/>
  <c r="N71" i="15"/>
  <c r="N70" i="15"/>
  <c r="N69" i="15"/>
  <c r="N68" i="15"/>
  <c r="N67" i="15"/>
  <c r="N65" i="15"/>
  <c r="N64" i="15"/>
  <c r="N62" i="15"/>
  <c r="N61" i="15"/>
  <c r="N60"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12" i="15"/>
  <c r="N11" i="15"/>
  <c r="N10" i="15"/>
  <c r="N9" i="15"/>
  <c r="N8" i="15"/>
  <c r="N7" i="15"/>
  <c r="N6" i="15"/>
  <c r="G27" i="57" l="1"/>
  <c r="G22" i="57"/>
  <c r="G25" i="57"/>
  <c r="BU92" i="38"/>
  <c r="BT92" i="38"/>
  <c r="BU91" i="38"/>
  <c r="BT91" i="38"/>
  <c r="BU90" i="38"/>
  <c r="BT90" i="38"/>
  <c r="BU89" i="38"/>
  <c r="BT89" i="38"/>
  <c r="BU88" i="38"/>
  <c r="BT88" i="38"/>
  <c r="BU87" i="38"/>
  <c r="BT87" i="38"/>
  <c r="BU86" i="38"/>
  <c r="BT86" i="38"/>
  <c r="BU85" i="38"/>
  <c r="BT85" i="38"/>
  <c r="BU84" i="38"/>
  <c r="BT84" i="38"/>
  <c r="BU83" i="38"/>
  <c r="BT83" i="38"/>
  <c r="BU82" i="38"/>
  <c r="BT82" i="38"/>
  <c r="BU81" i="38"/>
  <c r="BT81" i="38"/>
  <c r="BU80" i="38"/>
  <c r="BT80" i="38"/>
  <c r="BU79" i="38"/>
  <c r="BT79" i="38"/>
  <c r="BU78" i="38"/>
  <c r="BT78" i="38"/>
  <c r="BU77" i="38"/>
  <c r="BT77" i="38"/>
  <c r="BU76" i="38"/>
  <c r="BT76" i="38"/>
  <c r="BU75" i="38"/>
  <c r="BT75" i="38"/>
  <c r="BU74" i="38"/>
  <c r="BT74" i="38"/>
  <c r="BU73" i="38"/>
  <c r="BT73" i="38"/>
  <c r="BU72" i="38"/>
  <c r="BT72" i="38"/>
  <c r="BU71" i="38"/>
  <c r="BT71" i="38"/>
  <c r="BU70" i="38"/>
  <c r="BT70" i="38"/>
  <c r="BU69" i="38"/>
  <c r="BT69" i="38"/>
  <c r="BU68" i="38"/>
  <c r="BT68" i="38"/>
  <c r="BU67" i="38"/>
  <c r="BT67" i="38"/>
  <c r="BU66" i="38"/>
  <c r="BT66" i="38"/>
  <c r="BU65" i="38"/>
  <c r="BT65" i="38"/>
  <c r="BU64" i="38"/>
  <c r="BT64" i="38"/>
  <c r="BU63" i="38"/>
  <c r="BT63" i="38"/>
  <c r="BU62" i="38"/>
  <c r="BT62" i="38"/>
  <c r="BU61" i="38"/>
  <c r="BT61" i="38"/>
  <c r="BU60" i="38"/>
  <c r="BT60" i="38"/>
  <c r="BU59" i="38"/>
  <c r="BT59" i="38"/>
  <c r="BU58" i="38"/>
  <c r="BT58" i="38"/>
  <c r="BU57" i="38"/>
  <c r="BT57" i="38"/>
  <c r="BU56" i="38"/>
  <c r="BT56" i="38"/>
  <c r="BU55" i="38"/>
  <c r="BT55" i="38"/>
  <c r="BU54" i="38"/>
  <c r="BT54" i="38"/>
  <c r="BU53" i="38"/>
  <c r="BT53" i="38"/>
  <c r="BU52" i="38"/>
  <c r="BT52" i="38"/>
  <c r="BU51" i="38"/>
  <c r="BT51" i="38"/>
  <c r="BU50" i="38"/>
  <c r="BT50" i="38"/>
  <c r="BU49" i="38"/>
  <c r="BT49" i="38"/>
  <c r="BU48" i="38"/>
  <c r="BT48" i="38"/>
  <c r="BU47" i="38"/>
  <c r="BT47" i="38"/>
  <c r="BU46" i="38"/>
  <c r="BT46" i="38"/>
  <c r="BU45" i="38"/>
  <c r="BT45" i="38"/>
  <c r="BU44" i="38"/>
  <c r="BT44" i="38"/>
  <c r="BU43" i="38"/>
  <c r="BT43" i="38"/>
  <c r="BU42" i="38"/>
  <c r="BT42" i="38"/>
  <c r="BU41" i="38"/>
  <c r="BT41" i="38"/>
  <c r="BU40" i="38"/>
  <c r="BT40" i="38"/>
  <c r="BU39" i="38"/>
  <c r="BT39" i="38"/>
  <c r="BU38" i="38"/>
  <c r="BT38" i="38"/>
  <c r="BU37" i="38"/>
  <c r="BT37" i="38"/>
  <c r="BU36" i="38"/>
  <c r="BT36" i="38"/>
  <c r="BU35" i="38"/>
  <c r="BT35" i="38"/>
  <c r="K26" i="57" l="1"/>
  <c r="J26" i="56"/>
  <c r="S26" i="57"/>
  <c r="R26" i="56"/>
  <c r="L26" i="57"/>
  <c r="K26" i="56"/>
  <c r="O26" i="56"/>
  <c r="P26" i="57"/>
  <c r="S26" i="56"/>
  <c r="T26" i="57"/>
  <c r="I26" i="57"/>
  <c r="H26" i="56"/>
  <c r="Q26" i="57"/>
  <c r="P26" i="56"/>
  <c r="U26" i="57"/>
  <c r="T26" i="56"/>
  <c r="O26" i="57"/>
  <c r="N26" i="56"/>
  <c r="M26" i="57"/>
  <c r="L26" i="56"/>
  <c r="J26" i="57"/>
  <c r="I26" i="56"/>
  <c r="N26" i="57"/>
  <c r="M26" i="56"/>
  <c r="R26" i="57"/>
  <c r="Q26" i="56"/>
  <c r="V26" i="57"/>
  <c r="U26" i="56"/>
  <c r="J26" i="15"/>
  <c r="I26" i="15"/>
  <c r="H26" i="15"/>
  <c r="J25" i="15"/>
  <c r="I25" i="15"/>
  <c r="H25" i="15"/>
  <c r="J24" i="15"/>
  <c r="I24" i="15"/>
  <c r="H24" i="15"/>
  <c r="J23" i="15"/>
  <c r="I23" i="15"/>
  <c r="H23" i="15"/>
  <c r="J86" i="15"/>
  <c r="I86" i="15"/>
  <c r="H86" i="15"/>
  <c r="J85" i="15"/>
  <c r="I85" i="15"/>
  <c r="H85" i="15"/>
  <c r="J84" i="15"/>
  <c r="I84" i="15"/>
  <c r="H84" i="15"/>
  <c r="J83" i="15"/>
  <c r="I83" i="15"/>
  <c r="H83" i="15"/>
  <c r="J82" i="15"/>
  <c r="I82" i="15"/>
  <c r="H82" i="15"/>
  <c r="J81" i="15"/>
  <c r="H35" i="1" s="1"/>
  <c r="I81" i="15"/>
  <c r="H81" i="15"/>
  <c r="H21" i="56"/>
  <c r="I21" i="56"/>
  <c r="J21" i="56"/>
  <c r="K21" i="56"/>
  <c r="L21" i="56"/>
  <c r="M21" i="56"/>
  <c r="N21" i="56"/>
  <c r="O21" i="56"/>
  <c r="P21" i="56"/>
  <c r="Q21" i="56"/>
  <c r="R21" i="56"/>
  <c r="S21" i="56"/>
  <c r="T21" i="56"/>
  <c r="U21" i="56"/>
  <c r="J93" i="15"/>
  <c r="I93" i="15"/>
  <c r="H93" i="15"/>
  <c r="J92" i="15"/>
  <c r="I92" i="15"/>
  <c r="H92" i="15"/>
  <c r="J91" i="15"/>
  <c r="I91" i="15"/>
  <c r="H91" i="15"/>
  <c r="J90" i="15"/>
  <c r="I90" i="15"/>
  <c r="H90" i="15"/>
  <c r="J89" i="15"/>
  <c r="I89" i="15"/>
  <c r="H89" i="15"/>
  <c r="J88" i="15"/>
  <c r="H36" i="1" s="1"/>
  <c r="I88" i="15"/>
  <c r="H88" i="15"/>
  <c r="J79" i="15"/>
  <c r="I79" i="15"/>
  <c r="H79" i="15"/>
  <c r="J78" i="15"/>
  <c r="I78" i="15"/>
  <c r="H78" i="15"/>
  <c r="J77" i="15"/>
  <c r="I77" i="15"/>
  <c r="H77" i="15"/>
  <c r="J76" i="15"/>
  <c r="I76" i="15"/>
  <c r="H76" i="15"/>
  <c r="J75" i="15"/>
  <c r="I75" i="15"/>
  <c r="H75" i="15"/>
  <c r="J74" i="15"/>
  <c r="I74" i="15"/>
  <c r="H74" i="15"/>
  <c r="J72" i="15"/>
  <c r="I72" i="15"/>
  <c r="H72" i="15"/>
  <c r="J71" i="15"/>
  <c r="I71" i="15"/>
  <c r="H71" i="15"/>
  <c r="J70" i="15"/>
  <c r="I70" i="15"/>
  <c r="H70" i="15"/>
  <c r="J69" i="15"/>
  <c r="I69" i="15"/>
  <c r="H69" i="15"/>
  <c r="J68" i="15"/>
  <c r="I68" i="15"/>
  <c r="H68" i="15"/>
  <c r="J67" i="15"/>
  <c r="H33" i="1" s="1"/>
  <c r="I67" i="15"/>
  <c r="H67" i="15"/>
  <c r="J65" i="15"/>
  <c r="I65" i="15"/>
  <c r="H65" i="15"/>
  <c r="J64" i="15"/>
  <c r="H32" i="1" s="1"/>
  <c r="I64" i="15"/>
  <c r="H64" i="15"/>
  <c r="J62" i="15"/>
  <c r="I62" i="15"/>
  <c r="H62" i="15"/>
  <c r="J61" i="15"/>
  <c r="I61" i="15"/>
  <c r="H61" i="15"/>
  <c r="J60" i="15"/>
  <c r="I60" i="15"/>
  <c r="H60" i="15"/>
  <c r="J58" i="15"/>
  <c r="I58" i="15"/>
  <c r="H58" i="15"/>
  <c r="J57" i="15"/>
  <c r="I57" i="15"/>
  <c r="H57" i="15"/>
  <c r="J56" i="15"/>
  <c r="I56" i="15"/>
  <c r="H56" i="15"/>
  <c r="J55" i="15"/>
  <c r="I55" i="15"/>
  <c r="H55" i="15"/>
  <c r="J54" i="15"/>
  <c r="I54" i="15"/>
  <c r="H54" i="15"/>
  <c r="J53" i="15"/>
  <c r="I53" i="15"/>
  <c r="H53" i="15"/>
  <c r="J51" i="15"/>
  <c r="I51" i="15"/>
  <c r="H51" i="15"/>
  <c r="J50" i="15"/>
  <c r="I50" i="15"/>
  <c r="H50" i="15"/>
  <c r="J49" i="15"/>
  <c r="I49" i="15"/>
  <c r="H49" i="15"/>
  <c r="J48" i="15"/>
  <c r="I48" i="15"/>
  <c r="H48" i="15"/>
  <c r="J47" i="15"/>
  <c r="I47" i="15"/>
  <c r="H47" i="15"/>
  <c r="J46" i="15"/>
  <c r="I46" i="15"/>
  <c r="H46" i="15"/>
  <c r="J45" i="15"/>
  <c r="I45" i="15"/>
  <c r="H45" i="15"/>
  <c r="J44" i="15"/>
  <c r="I44" i="15"/>
  <c r="H44" i="15"/>
  <c r="J42" i="15"/>
  <c r="I42" i="15"/>
  <c r="H42" i="15"/>
  <c r="J41" i="15"/>
  <c r="I41" i="15"/>
  <c r="H41" i="15"/>
  <c r="J40" i="15"/>
  <c r="I40" i="15"/>
  <c r="H40" i="15"/>
  <c r="J39" i="15"/>
  <c r="I39" i="15"/>
  <c r="H39" i="15"/>
  <c r="J38" i="15"/>
  <c r="I38" i="15"/>
  <c r="H38" i="15"/>
  <c r="J37" i="15"/>
  <c r="I37" i="15"/>
  <c r="H37" i="15"/>
  <c r="H28" i="1" l="1"/>
  <c r="H31" i="1"/>
  <c r="H34" i="1"/>
  <c r="H23" i="1"/>
  <c r="H29" i="1"/>
  <c r="H30" i="1"/>
  <c r="J30" i="56"/>
  <c r="K30" i="57"/>
  <c r="R30" i="56"/>
  <c r="S30" i="57"/>
  <c r="Q32" i="57"/>
  <c r="P32" i="56"/>
  <c r="O33" i="57"/>
  <c r="N33" i="56"/>
  <c r="I34" i="57"/>
  <c r="H34" i="56"/>
  <c r="U34" i="57"/>
  <c r="T34" i="56"/>
  <c r="I36" i="57"/>
  <c r="H36" i="56"/>
  <c r="Q36" i="57"/>
  <c r="P36" i="56"/>
  <c r="R31" i="56"/>
  <c r="S31" i="57"/>
  <c r="L30" i="57"/>
  <c r="K30" i="56"/>
  <c r="P30" i="57"/>
  <c r="O30" i="56"/>
  <c r="T30" i="57"/>
  <c r="S30" i="56"/>
  <c r="J32" i="57"/>
  <c r="I32" i="56"/>
  <c r="N32" i="57"/>
  <c r="M32" i="56"/>
  <c r="R32" i="57"/>
  <c r="Q32" i="56"/>
  <c r="V32" i="57"/>
  <c r="U32" i="56"/>
  <c r="L33" i="57"/>
  <c r="K33" i="56"/>
  <c r="P33" i="57"/>
  <c r="O33" i="56"/>
  <c r="T33" i="57"/>
  <c r="S33" i="56"/>
  <c r="I34" i="56"/>
  <c r="J34" i="57"/>
  <c r="M34" i="56"/>
  <c r="N34" i="57"/>
  <c r="Q34" i="56"/>
  <c r="R34" i="57"/>
  <c r="U34" i="56"/>
  <c r="V34" i="57"/>
  <c r="K35" i="56"/>
  <c r="L35" i="57"/>
  <c r="P35" i="57"/>
  <c r="O35" i="56"/>
  <c r="S35" i="56"/>
  <c r="T35" i="57"/>
  <c r="J36" i="57"/>
  <c r="I36" i="56"/>
  <c r="N36" i="57"/>
  <c r="M36" i="56"/>
  <c r="R36" i="57"/>
  <c r="Q36" i="56"/>
  <c r="V36" i="57"/>
  <c r="U36" i="56"/>
  <c r="K31" i="56"/>
  <c r="L31" i="57"/>
  <c r="P31" i="57"/>
  <c r="O31" i="56"/>
  <c r="S31" i="56"/>
  <c r="T31" i="57"/>
  <c r="O30" i="57"/>
  <c r="N30" i="56"/>
  <c r="I32" i="57"/>
  <c r="H32" i="56"/>
  <c r="T32" i="56"/>
  <c r="U32" i="57"/>
  <c r="S33" i="57"/>
  <c r="R33" i="56"/>
  <c r="Q34" i="57"/>
  <c r="P34" i="56"/>
  <c r="N35" i="56"/>
  <c r="O35" i="57"/>
  <c r="L36" i="56"/>
  <c r="M36" i="57"/>
  <c r="J31" i="56"/>
  <c r="K31" i="57"/>
  <c r="I30" i="57"/>
  <c r="H30" i="56"/>
  <c r="Q30" i="57"/>
  <c r="P30" i="56"/>
  <c r="U30" i="57"/>
  <c r="T30" i="56"/>
  <c r="K32" i="57"/>
  <c r="J32" i="56"/>
  <c r="O32" i="57"/>
  <c r="N32" i="56"/>
  <c r="S32" i="57"/>
  <c r="R32" i="56"/>
  <c r="H33" i="56"/>
  <c r="I33" i="57"/>
  <c r="L33" i="56"/>
  <c r="M33" i="57"/>
  <c r="P33" i="56"/>
  <c r="Q33" i="57"/>
  <c r="T33" i="56"/>
  <c r="U33" i="57"/>
  <c r="J34" i="56"/>
  <c r="K34" i="57"/>
  <c r="O34" i="57"/>
  <c r="N34" i="56"/>
  <c r="R34" i="56"/>
  <c r="S34" i="57"/>
  <c r="I35" i="57"/>
  <c r="H35" i="56"/>
  <c r="M35" i="57"/>
  <c r="L35" i="56"/>
  <c r="Q35" i="57"/>
  <c r="P35" i="56"/>
  <c r="U35" i="57"/>
  <c r="T35" i="56"/>
  <c r="K36" i="57"/>
  <c r="J36" i="56"/>
  <c r="O36" i="57"/>
  <c r="N36" i="56"/>
  <c r="S36" i="57"/>
  <c r="R36" i="56"/>
  <c r="I31" i="57"/>
  <c r="H31" i="56"/>
  <c r="M31" i="57"/>
  <c r="L31" i="56"/>
  <c r="Q31" i="57"/>
  <c r="P31" i="56"/>
  <c r="U31" i="57"/>
  <c r="T31" i="56"/>
  <c r="L32" i="56"/>
  <c r="M32" i="57"/>
  <c r="K33" i="57"/>
  <c r="J33" i="56"/>
  <c r="M34" i="57"/>
  <c r="L34" i="56"/>
  <c r="J35" i="56"/>
  <c r="K35" i="57"/>
  <c r="R35" i="56"/>
  <c r="S35" i="57"/>
  <c r="T36" i="56"/>
  <c r="U36" i="57"/>
  <c r="N31" i="56"/>
  <c r="O31" i="57"/>
  <c r="M30" i="57"/>
  <c r="L30" i="56"/>
  <c r="I30" i="56"/>
  <c r="J30" i="57"/>
  <c r="M30" i="56"/>
  <c r="N30" i="57"/>
  <c r="Q30" i="56"/>
  <c r="R30" i="57"/>
  <c r="U30" i="56"/>
  <c r="V30" i="57"/>
  <c r="K32" i="56"/>
  <c r="L32" i="57"/>
  <c r="O32" i="56"/>
  <c r="P32" i="57"/>
  <c r="S32" i="56"/>
  <c r="T32" i="57"/>
  <c r="J33" i="57"/>
  <c r="I33" i="56"/>
  <c r="N33" i="57"/>
  <c r="M33" i="56"/>
  <c r="R33" i="57"/>
  <c r="Q33" i="56"/>
  <c r="V33" i="57"/>
  <c r="U33" i="56"/>
  <c r="L34" i="57"/>
  <c r="K34" i="56"/>
  <c r="P34" i="57"/>
  <c r="O34" i="56"/>
  <c r="T34" i="57"/>
  <c r="S34" i="56"/>
  <c r="J35" i="57"/>
  <c r="I35" i="56"/>
  <c r="N35" i="57"/>
  <c r="M35" i="56"/>
  <c r="R35" i="57"/>
  <c r="Q35" i="56"/>
  <c r="V35" i="57"/>
  <c r="U35" i="56"/>
  <c r="K36" i="56"/>
  <c r="L36" i="57"/>
  <c r="O36" i="56"/>
  <c r="P36" i="57"/>
  <c r="S36" i="56"/>
  <c r="T36" i="57"/>
  <c r="J31" i="57"/>
  <c r="I31" i="56"/>
  <c r="N31" i="57"/>
  <c r="M31" i="56"/>
  <c r="R31" i="57"/>
  <c r="Q31" i="56"/>
  <c r="V31" i="57"/>
  <c r="U31" i="56"/>
  <c r="G34" i="56"/>
  <c r="H34" i="57"/>
  <c r="E34" i="1"/>
  <c r="E37" i="1"/>
  <c r="I35" i="15"/>
  <c r="I34" i="15"/>
  <c r="I33" i="15"/>
  <c r="I32" i="15"/>
  <c r="I31" i="15"/>
  <c r="I30" i="15"/>
  <c r="I29" i="15"/>
  <c r="I28" i="15"/>
  <c r="I27" i="15"/>
  <c r="I22" i="15"/>
  <c r="I21" i="15"/>
  <c r="I20" i="15"/>
  <c r="I19" i="15"/>
  <c r="I18" i="15"/>
  <c r="I17" i="15"/>
  <c r="I16" i="15"/>
  <c r="I15" i="15"/>
  <c r="I14" i="15"/>
  <c r="I12" i="15"/>
  <c r="I11" i="15"/>
  <c r="I10" i="15"/>
  <c r="I9" i="15"/>
  <c r="I8" i="15"/>
  <c r="I7" i="15"/>
  <c r="I6" i="15"/>
  <c r="I17" i="2"/>
  <c r="I16" i="2"/>
  <c r="I15" i="2"/>
  <c r="I14" i="2"/>
  <c r="I13" i="2"/>
  <c r="I12" i="2"/>
  <c r="I11" i="2"/>
  <c r="I10" i="2"/>
  <c r="I9" i="2"/>
  <c r="I8" i="2"/>
  <c r="I7" i="2"/>
  <c r="I6" i="2"/>
  <c r="I5" i="2"/>
  <c r="H28" i="57" l="1"/>
  <c r="G28" i="56"/>
  <c r="G30" i="56"/>
  <c r="H30" i="57"/>
  <c r="E34" i="56"/>
  <c r="E34" i="57"/>
  <c r="E32" i="1"/>
  <c r="H32" i="57"/>
  <c r="G32" i="56"/>
  <c r="H36" i="57"/>
  <c r="G36" i="56"/>
  <c r="E31" i="1"/>
  <c r="G31" i="56"/>
  <c r="H31" i="57"/>
  <c r="E37" i="57"/>
  <c r="E37" i="56"/>
  <c r="H23" i="57"/>
  <c r="G23" i="56"/>
  <c r="E35" i="1"/>
  <c r="H35" i="57"/>
  <c r="G35" i="56"/>
  <c r="H29" i="57"/>
  <c r="G29" i="56"/>
  <c r="E33" i="1"/>
  <c r="G33" i="56"/>
  <c r="H33" i="57"/>
  <c r="E2" i="39"/>
  <c r="E2" i="2"/>
  <c r="U20" i="56"/>
  <c r="U19" i="56"/>
  <c r="U18" i="56"/>
  <c r="U17" i="56"/>
  <c r="T20" i="56"/>
  <c r="T19" i="56"/>
  <c r="T18" i="56"/>
  <c r="T17" i="56"/>
  <c r="S20" i="56"/>
  <c r="S19" i="56"/>
  <c r="S18" i="56"/>
  <c r="S17" i="56"/>
  <c r="R20" i="56"/>
  <c r="R19" i="56"/>
  <c r="R18" i="56"/>
  <c r="R17" i="56"/>
  <c r="Q20" i="56"/>
  <c r="Q19" i="56"/>
  <c r="Q18" i="56"/>
  <c r="T24" i="56" l="1"/>
  <c r="U24" i="57"/>
  <c r="V24" i="57"/>
  <c r="U24" i="56"/>
  <c r="R23" i="57"/>
  <c r="Q23" i="56"/>
  <c r="Q28" i="56"/>
  <c r="R28" i="57"/>
  <c r="S23" i="57"/>
  <c r="R23" i="56"/>
  <c r="Q12" i="56"/>
  <c r="R12" i="57"/>
  <c r="S28" i="57"/>
  <c r="R28" i="56"/>
  <c r="S23" i="56"/>
  <c r="T23" i="57"/>
  <c r="T28" i="57"/>
  <c r="S28" i="56"/>
  <c r="U23" i="57"/>
  <c r="T23" i="56"/>
  <c r="R24" i="57"/>
  <c r="Q24" i="56"/>
  <c r="S24" i="57"/>
  <c r="R24" i="56"/>
  <c r="T24" i="57"/>
  <c r="S24" i="56"/>
  <c r="T28" i="56"/>
  <c r="U28" i="57"/>
  <c r="V23" i="57"/>
  <c r="U23" i="56"/>
  <c r="V28" i="57"/>
  <c r="U28" i="56"/>
  <c r="E31" i="56"/>
  <c r="E31" i="57"/>
  <c r="E32" i="57"/>
  <c r="E32" i="56"/>
  <c r="E33" i="57"/>
  <c r="E33" i="56"/>
  <c r="E35" i="56"/>
  <c r="E35" i="57"/>
  <c r="Q17" i="56"/>
  <c r="P20" i="56"/>
  <c r="P19" i="56"/>
  <c r="P18" i="56"/>
  <c r="P17" i="56"/>
  <c r="O20" i="56"/>
  <c r="O18" i="56"/>
  <c r="N20" i="56"/>
  <c r="N19" i="56"/>
  <c r="N18" i="56"/>
  <c r="M20" i="56"/>
  <c r="M19" i="56"/>
  <c r="M18" i="56"/>
  <c r="M17" i="56"/>
  <c r="L20" i="56"/>
  <c r="L18" i="56"/>
  <c r="K20" i="56"/>
  <c r="K19" i="56"/>
  <c r="K18" i="56"/>
  <c r="K17" i="56"/>
  <c r="J20" i="56"/>
  <c r="J19" i="56"/>
  <c r="J18" i="56"/>
  <c r="I20" i="56"/>
  <c r="I19" i="56"/>
  <c r="I18" i="56"/>
  <c r="H20" i="56"/>
  <c r="H19" i="56"/>
  <c r="H18" i="56"/>
  <c r="H17" i="56"/>
  <c r="S12" i="57" l="1"/>
  <c r="R12" i="56"/>
  <c r="H11" i="56"/>
  <c r="H28" i="56"/>
  <c r="I28" i="57"/>
  <c r="J24" i="57"/>
  <c r="I24" i="56"/>
  <c r="K23" i="57"/>
  <c r="J23" i="56"/>
  <c r="K23" i="56"/>
  <c r="L23" i="57"/>
  <c r="N23" i="57"/>
  <c r="M23" i="56"/>
  <c r="T12" i="57"/>
  <c r="S12" i="56"/>
  <c r="E23" i="1"/>
  <c r="E23" i="57" s="1"/>
  <c r="I23" i="57"/>
  <c r="H23" i="56"/>
  <c r="J23" i="57"/>
  <c r="I23" i="56"/>
  <c r="K28" i="57"/>
  <c r="J28" i="56"/>
  <c r="K11" i="56"/>
  <c r="L28" i="57"/>
  <c r="K28" i="56"/>
  <c r="M11" i="56"/>
  <c r="N28" i="57"/>
  <c r="M28" i="56"/>
  <c r="O12" i="57"/>
  <c r="N12" i="56"/>
  <c r="N23" i="56"/>
  <c r="O23" i="57"/>
  <c r="O28" i="57"/>
  <c r="N28" i="56"/>
  <c r="O23" i="56"/>
  <c r="P23" i="57"/>
  <c r="Q23" i="57"/>
  <c r="P23" i="56"/>
  <c r="T12" i="56"/>
  <c r="U12" i="57"/>
  <c r="I12" i="56"/>
  <c r="J12" i="57"/>
  <c r="J28" i="57"/>
  <c r="I28" i="56"/>
  <c r="Q24" i="57"/>
  <c r="P24" i="56"/>
  <c r="H24" i="56"/>
  <c r="I24" i="57"/>
  <c r="K12" i="57"/>
  <c r="J12" i="56"/>
  <c r="K24" i="57"/>
  <c r="J24" i="56"/>
  <c r="L24" i="57"/>
  <c r="K24" i="56"/>
  <c r="M23" i="57"/>
  <c r="L23" i="56"/>
  <c r="L24" i="56"/>
  <c r="M24" i="57"/>
  <c r="N24" i="57"/>
  <c r="M24" i="56"/>
  <c r="O24" i="57"/>
  <c r="N24" i="56"/>
  <c r="P11" i="56"/>
  <c r="P28" i="56"/>
  <c r="Q28" i="57"/>
  <c r="U12" i="56"/>
  <c r="V12" i="57"/>
  <c r="E29" i="1"/>
  <c r="N17" i="56"/>
  <c r="N11" i="56" s="1"/>
  <c r="L19" i="56"/>
  <c r="J17" i="56"/>
  <c r="J11" i="56" s="1"/>
  <c r="I17" i="56"/>
  <c r="I11" i="56" s="1"/>
  <c r="O19" i="56"/>
  <c r="O17" i="56"/>
  <c r="L17" i="56"/>
  <c r="H9" i="16"/>
  <c r="BU22" i="40"/>
  <c r="BT22" i="40"/>
  <c r="BU21" i="40"/>
  <c r="BT21" i="40"/>
  <c r="BU20" i="40"/>
  <c r="BT20" i="40"/>
  <c r="BU19" i="40"/>
  <c r="BT19" i="40"/>
  <c r="BU18" i="40"/>
  <c r="BT18" i="40"/>
  <c r="BU17" i="40"/>
  <c r="BT17" i="40"/>
  <c r="BU16" i="40"/>
  <c r="BT16" i="40"/>
  <c r="BU15" i="40"/>
  <c r="BT15" i="40"/>
  <c r="BU14" i="40"/>
  <c r="BT14" i="40"/>
  <c r="BU13" i="40"/>
  <c r="BT13" i="40"/>
  <c r="BU12" i="40"/>
  <c r="BT12" i="40"/>
  <c r="BU11" i="40"/>
  <c r="BT11" i="40"/>
  <c r="BU10" i="40"/>
  <c r="BT10" i="40"/>
  <c r="BU9" i="40"/>
  <c r="BT9" i="40"/>
  <c r="BU8" i="40"/>
  <c r="BT8" i="40"/>
  <c r="BU7" i="40"/>
  <c r="BT7" i="40"/>
  <c r="BU6" i="40"/>
  <c r="BT6" i="40"/>
  <c r="BU5" i="40"/>
  <c r="BT5" i="40"/>
  <c r="BU4" i="40"/>
  <c r="BT4" i="40"/>
  <c r="F2" i="39"/>
  <c r="L11" i="56" l="1"/>
  <c r="E23" i="56"/>
  <c r="O11" i="56"/>
  <c r="I12" i="57"/>
  <c r="H12" i="56"/>
  <c r="Q12" i="57"/>
  <c r="P12" i="56"/>
  <c r="P24" i="57"/>
  <c r="O24" i="56"/>
  <c r="L28" i="56"/>
  <c r="M28" i="57"/>
  <c r="P12" i="57"/>
  <c r="O12" i="56"/>
  <c r="L12" i="57"/>
  <c r="K12" i="56"/>
  <c r="L12" i="56"/>
  <c r="M12" i="57"/>
  <c r="P28" i="57"/>
  <c r="O28" i="56"/>
  <c r="M12" i="56"/>
  <c r="N12" i="57"/>
  <c r="E29" i="56"/>
  <c r="E29" i="57"/>
  <c r="E27" i="1"/>
  <c r="E28" i="1"/>
  <c r="N5" i="15"/>
  <c r="E28" i="57" l="1"/>
  <c r="E28" i="56"/>
  <c r="E27" i="57"/>
  <c r="E27" i="56"/>
  <c r="G12" i="57"/>
  <c r="N16" i="2"/>
  <c r="N15" i="2"/>
  <c r="N14" i="2"/>
  <c r="N13" i="2"/>
  <c r="N12" i="2"/>
  <c r="BU13" i="38" l="1"/>
  <c r="BT13" i="38"/>
  <c r="BU6" i="38"/>
  <c r="BT6" i="38"/>
  <c r="BU6" i="37"/>
  <c r="N7" i="2" s="1"/>
  <c r="BT6" i="37"/>
  <c r="J15" i="15"/>
  <c r="H15" i="15"/>
  <c r="J14" i="15"/>
  <c r="H21" i="1" s="1"/>
  <c r="H14" i="15"/>
  <c r="J7" i="2"/>
  <c r="H7" i="2"/>
  <c r="G21" i="56" l="1"/>
  <c r="BU16" i="37"/>
  <c r="N17" i="2" s="1"/>
  <c r="BU15" i="37"/>
  <c r="BU14" i="37"/>
  <c r="BU13" i="37"/>
  <c r="BU12" i="37"/>
  <c r="BU11" i="37"/>
  <c r="BU10" i="37"/>
  <c r="N11" i="2" s="1"/>
  <c r="BU9" i="37"/>
  <c r="N10" i="2" s="1"/>
  <c r="BU8" i="37"/>
  <c r="N9" i="2" s="1"/>
  <c r="BU7" i="37"/>
  <c r="N8" i="2" s="1"/>
  <c r="BU5" i="37"/>
  <c r="N6" i="2" s="1"/>
  <c r="BU4" i="37"/>
  <c r="N5" i="2" s="1"/>
  <c r="BU34" i="38"/>
  <c r="BU33" i="38"/>
  <c r="BU32" i="38"/>
  <c r="BU31" i="38"/>
  <c r="BU30" i="38"/>
  <c r="BU29" i="38"/>
  <c r="BU28" i="38"/>
  <c r="BU27" i="38"/>
  <c r="BU26" i="38"/>
  <c r="BU25" i="38"/>
  <c r="BU24" i="38"/>
  <c r="BU23" i="38"/>
  <c r="BU22" i="38"/>
  <c r="BU21" i="38"/>
  <c r="BU20" i="38"/>
  <c r="BU19" i="38"/>
  <c r="BU18" i="38"/>
  <c r="BU17" i="38"/>
  <c r="BU16" i="38"/>
  <c r="BU15" i="38"/>
  <c r="BU14" i="38"/>
  <c r="BU12" i="38"/>
  <c r="BU11" i="38"/>
  <c r="BU10" i="38"/>
  <c r="BU9" i="38"/>
  <c r="BU8" i="38"/>
  <c r="BU7" i="38"/>
  <c r="BU5" i="38"/>
  <c r="BU4" i="38"/>
  <c r="BT34" i="38" l="1"/>
  <c r="BT33" i="38"/>
  <c r="BT32" i="38"/>
  <c r="BT31" i="38"/>
  <c r="BT30" i="38"/>
  <c r="BT29" i="38"/>
  <c r="BT28" i="38"/>
  <c r="BT27" i="38"/>
  <c r="BT26" i="38"/>
  <c r="BT25" i="38"/>
  <c r="BT24" i="38"/>
  <c r="BT23" i="38"/>
  <c r="BT22" i="38"/>
  <c r="BT21" i="38"/>
  <c r="BT20" i="38"/>
  <c r="BT19" i="38"/>
  <c r="BT18" i="38"/>
  <c r="BT12" i="38" l="1"/>
  <c r="J12" i="15"/>
  <c r="H12" i="15"/>
  <c r="BT17" i="38"/>
  <c r="BT16" i="38"/>
  <c r="BT15" i="38"/>
  <c r="BT14" i="38"/>
  <c r="BT11" i="38"/>
  <c r="BT10" i="38"/>
  <c r="BT9" i="38"/>
  <c r="BT8" i="38"/>
  <c r="BT7" i="38"/>
  <c r="BT5" i="38"/>
  <c r="BT4" i="38"/>
  <c r="BT16" i="37" l="1"/>
  <c r="BT15" i="37"/>
  <c r="BT14" i="37"/>
  <c r="BT13" i="37"/>
  <c r="BT12" i="37"/>
  <c r="BT11" i="37"/>
  <c r="BT10" i="37"/>
  <c r="BT9" i="37"/>
  <c r="BT8" i="37"/>
  <c r="BT7" i="37"/>
  <c r="BT5" i="37"/>
  <c r="BT4" i="37"/>
  <c r="F2" i="15" l="1"/>
  <c r="F2" i="2"/>
  <c r="H29" i="16"/>
  <c r="H28" i="16"/>
  <c r="H27" i="16"/>
  <c r="H26" i="16"/>
  <c r="H25" i="16"/>
  <c r="H24" i="16"/>
  <c r="H23" i="16"/>
  <c r="H22" i="16"/>
  <c r="H21" i="16"/>
  <c r="H20" i="16"/>
  <c r="H19" i="16"/>
  <c r="H18" i="16"/>
  <c r="H17" i="16"/>
  <c r="H16" i="16"/>
  <c r="H15" i="16"/>
  <c r="H14" i="16"/>
  <c r="H13" i="16"/>
  <c r="H12" i="16"/>
  <c r="H11" i="16"/>
  <c r="H8" i="16"/>
  <c r="H10" i="16"/>
  <c r="B10" i="1" l="1"/>
  <c r="E2" i="15" l="1"/>
  <c r="I11" i="1" l="1"/>
  <c r="K11" i="1"/>
  <c r="M11" i="1"/>
  <c r="N11" i="1"/>
  <c r="O11" i="1"/>
  <c r="H11" i="1"/>
  <c r="H35" i="15"/>
  <c r="H34" i="15"/>
  <c r="H33" i="15"/>
  <c r="H32" i="15"/>
  <c r="H31" i="15"/>
  <c r="H30" i="15"/>
  <c r="H29" i="15"/>
  <c r="H28" i="15"/>
  <c r="H27" i="15"/>
  <c r="H22" i="15"/>
  <c r="H21" i="15"/>
  <c r="H20" i="15"/>
  <c r="H19" i="15"/>
  <c r="H18" i="15"/>
  <c r="H17" i="15"/>
  <c r="H16" i="15"/>
  <c r="H11" i="15"/>
  <c r="H10" i="15"/>
  <c r="H9" i="15"/>
  <c r="H8" i="15"/>
  <c r="H7" i="15"/>
  <c r="H6" i="15"/>
  <c r="H5" i="15"/>
  <c r="H17" i="2"/>
  <c r="H16" i="2"/>
  <c r="H15" i="2"/>
  <c r="H14" i="2"/>
  <c r="H13" i="2"/>
  <c r="H12" i="2"/>
  <c r="H11" i="2"/>
  <c r="H10" i="2"/>
  <c r="H9" i="2"/>
  <c r="H8" i="2"/>
  <c r="H6" i="2"/>
  <c r="H5" i="2"/>
  <c r="P11" i="1" l="1"/>
  <c r="L11" i="1"/>
  <c r="J11" i="1"/>
  <c r="J35" i="15"/>
  <c r="J34" i="15"/>
  <c r="J33" i="15"/>
  <c r="H25" i="1" s="1"/>
  <c r="J32" i="15"/>
  <c r="J31" i="15"/>
  <c r="J30" i="15"/>
  <c r="J29" i="15"/>
  <c r="J28" i="15"/>
  <c r="J27" i="15"/>
  <c r="H24" i="1" s="1"/>
  <c r="J22" i="15"/>
  <c r="J21" i="15"/>
  <c r="J20" i="15"/>
  <c r="J19" i="15"/>
  <c r="J18" i="15"/>
  <c r="J17" i="15"/>
  <c r="J16" i="15"/>
  <c r="J11" i="15"/>
  <c r="J10" i="15"/>
  <c r="J9" i="15"/>
  <c r="J8" i="15"/>
  <c r="J7" i="15"/>
  <c r="J6" i="15"/>
  <c r="J5" i="15"/>
  <c r="J17" i="2"/>
  <c r="J16" i="2"/>
  <c r="J15" i="2"/>
  <c r="J14" i="2"/>
  <c r="J13" i="2"/>
  <c r="J12" i="2"/>
  <c r="J11" i="2"/>
  <c r="J10" i="2"/>
  <c r="J9" i="2"/>
  <c r="J8" i="2"/>
  <c r="J6" i="2"/>
  <c r="J5" i="2"/>
  <c r="H19" i="1" l="1"/>
  <c r="H22" i="1"/>
  <c r="H20" i="1"/>
  <c r="G20" i="56" s="1"/>
  <c r="H26" i="1"/>
  <c r="H18" i="1"/>
  <c r="G18" i="56" s="1"/>
  <c r="H12" i="1"/>
  <c r="H17" i="1"/>
  <c r="G17" i="56" s="1"/>
  <c r="E25" i="1"/>
  <c r="E25" i="56" s="1"/>
  <c r="G25" i="56"/>
  <c r="F12" i="1"/>
  <c r="F21" i="1"/>
  <c r="E36" i="1"/>
  <c r="E30" i="1"/>
  <c r="F18" i="1"/>
  <c r="F20" i="1"/>
  <c r="F19" i="1"/>
  <c r="G19" i="56"/>
  <c r="F17" i="1"/>
  <c r="F19" i="57" l="1"/>
  <c r="F19" i="56"/>
  <c r="F17" i="57"/>
  <c r="F17" i="56"/>
  <c r="E21" i="1"/>
  <c r="E21" i="57" s="1"/>
  <c r="F21" i="57"/>
  <c r="F21" i="56"/>
  <c r="E18" i="1"/>
  <c r="E18" i="56" s="1"/>
  <c r="F18" i="57"/>
  <c r="F18" i="56"/>
  <c r="F12" i="57"/>
  <c r="F12" i="56"/>
  <c r="E20" i="1"/>
  <c r="E20" i="57" s="1"/>
  <c r="F20" i="57"/>
  <c r="F20" i="56"/>
  <c r="E25" i="57"/>
  <c r="E30" i="56"/>
  <c r="E30" i="57"/>
  <c r="G12" i="56"/>
  <c r="H12" i="57"/>
  <c r="E26" i="1"/>
  <c r="H26" i="57"/>
  <c r="G26" i="56"/>
  <c r="E36" i="57"/>
  <c r="E36" i="56"/>
  <c r="E22" i="1"/>
  <c r="E22" i="57" s="1"/>
  <c r="G22" i="56"/>
  <c r="E24" i="1"/>
  <c r="H24" i="57"/>
  <c r="G24" i="56"/>
  <c r="E10" i="1"/>
  <c r="E17" i="1"/>
  <c r="E19" i="1"/>
  <c r="E2" i="14"/>
  <c r="E20" i="56" l="1"/>
  <c r="E21" i="56"/>
  <c r="E18" i="57"/>
  <c r="E22" i="56"/>
  <c r="E17" i="56"/>
  <c r="E17" i="57"/>
  <c r="E24" i="57"/>
  <c r="E24" i="56"/>
  <c r="E19" i="57"/>
  <c r="E19" i="56"/>
  <c r="E26" i="57"/>
  <c r="E26" i="56"/>
  <c r="E10" i="56"/>
  <c r="E10" i="57"/>
  <c r="E16" i="1"/>
  <c r="E16" i="57" l="1"/>
  <c r="E16" i="56"/>
</calcChain>
</file>

<file path=xl/comments1.xml><?xml version="1.0" encoding="utf-8"?>
<comments xmlns="http://schemas.openxmlformats.org/spreadsheetml/2006/main">
  <authors>
    <author>Walters, Neil</author>
  </authors>
  <commentList>
    <comment ref="C3" authorId="0" shapeId="0">
      <text>
        <r>
          <rPr>
            <sz val="8"/>
            <color indexed="81"/>
            <rFont val="Tahoma"/>
            <family val="2"/>
          </rPr>
          <t>Green signifies 20k Clause mapping.</t>
        </r>
      </text>
    </comment>
  </commentList>
</comments>
</file>

<file path=xl/comments2.xml><?xml version="1.0" encoding="utf-8"?>
<comments xmlns="http://schemas.openxmlformats.org/spreadsheetml/2006/main">
  <authors>
    <author>Walters, Neil</author>
  </authors>
  <commentList>
    <comment ref="C3" authorId="0" shapeId="0">
      <text>
        <r>
          <rPr>
            <sz val="8"/>
            <color indexed="81"/>
            <rFont val="Tahoma"/>
            <family val="2"/>
          </rPr>
          <t>Green signifies 20k Clause mapping.</t>
        </r>
      </text>
    </comment>
  </commentList>
</comments>
</file>

<file path=xl/comments3.xml><?xml version="1.0" encoding="utf-8"?>
<comments xmlns="http://schemas.openxmlformats.org/spreadsheetml/2006/main">
  <authors>
    <author>Walters, Neil</author>
  </authors>
  <commentList>
    <comment ref="C3" authorId="0" shapeId="0">
      <text>
        <r>
          <rPr>
            <sz val="8"/>
            <color indexed="81"/>
            <rFont val="Tahoma"/>
            <family val="2"/>
          </rPr>
          <t>Green signifies 20k Clause mapping.</t>
        </r>
      </text>
    </comment>
  </commentList>
</comments>
</file>

<file path=xl/comments4.xml><?xml version="1.0" encoding="utf-8"?>
<comments xmlns="http://schemas.openxmlformats.org/spreadsheetml/2006/main">
  <authors>
    <author>Walters, Neil</author>
  </authors>
  <commentList>
    <comment ref="C3" authorId="0" shapeId="0">
      <text>
        <r>
          <rPr>
            <sz val="8"/>
            <color indexed="81"/>
            <rFont val="Tahoma"/>
            <family val="2"/>
          </rPr>
          <t>Green signifies 20k Clause mapping.</t>
        </r>
      </text>
    </comment>
  </commentList>
</comments>
</file>

<file path=xl/comments5.xml><?xml version="1.0" encoding="utf-8"?>
<comments xmlns="http://schemas.openxmlformats.org/spreadsheetml/2006/main">
  <authors>
    <author>Walters, Neil</author>
  </authors>
  <commentList>
    <comment ref="J3" authorId="0" shapeId="0">
      <text>
        <r>
          <rPr>
            <sz val="9"/>
            <color indexed="81"/>
            <rFont val="Tahoma"/>
            <family val="2"/>
          </rPr>
          <t>Evidence can be a hyperlink to a suitable document, embed a document  (Insert --&gt; Object --&gt; Display as Icon --&gt; …), an explanation etc.</t>
        </r>
      </text>
    </comment>
  </commentList>
</comments>
</file>

<file path=xl/sharedStrings.xml><?xml version="1.0" encoding="utf-8"?>
<sst xmlns="http://schemas.openxmlformats.org/spreadsheetml/2006/main" count="9534" uniqueCount="1284">
  <si>
    <t>Criteria</t>
  </si>
  <si>
    <t>Score</t>
  </si>
  <si>
    <t>Action</t>
  </si>
  <si>
    <t>Updates &amp; Reasons for Delay</t>
  </si>
  <si>
    <t>Administrative information</t>
  </si>
  <si>
    <t>Areas:</t>
  </si>
  <si>
    <t xml:space="preserve">Date: </t>
  </si>
  <si>
    <t>Date</t>
  </si>
  <si>
    <t>Version</t>
  </si>
  <si>
    <t>Author</t>
  </si>
  <si>
    <t>Description</t>
  </si>
  <si>
    <t>Distribution</t>
  </si>
  <si>
    <t>Document Version</t>
  </si>
  <si>
    <t>Name and title</t>
  </si>
  <si>
    <t>Signature</t>
  </si>
  <si>
    <t xml:space="preserve">
</t>
  </si>
  <si>
    <t xml:space="preserve">SEC2 </t>
  </si>
  <si>
    <r>
      <rPr>
        <b/>
        <sz val="10"/>
        <rFont val="Arial"/>
        <family val="2"/>
      </rPr>
      <t>Customer Confidential</t>
    </r>
    <r>
      <rPr>
        <sz val="10"/>
        <rFont val="Arial"/>
        <family val="2"/>
      </rPr>
      <t xml:space="preserve">
Information used within a functional group or community within Capgemini. Information for which general "need-to-know" rules should be applied. Information which is subjected to legislative, regulatory or contractual requirements for privacy.</t>
    </r>
  </si>
  <si>
    <t xml:space="preserve"> </t>
  </si>
  <si>
    <t>Area</t>
  </si>
  <si>
    <t>Name</t>
  </si>
  <si>
    <t>Title</t>
  </si>
  <si>
    <t>The visible spectrum of light:</t>
  </si>
  <si>
    <t>Index Levels:</t>
  </si>
  <si>
    <t>Instructions for Self-Assessment</t>
  </si>
  <si>
    <t>Instructions for Audit</t>
  </si>
  <si>
    <t>3. Auditor to verify Evidence and Scoring.</t>
  </si>
  <si>
    <t>Action Owner</t>
  </si>
  <si>
    <t>Status</t>
  </si>
  <si>
    <t>5. Follow-up Meeting(s) to be scheduled and Audit information to be updated until all actions closed.</t>
  </si>
  <si>
    <t xml:space="preserve">Overview </t>
  </si>
  <si>
    <t>#</t>
  </si>
  <si>
    <t>Self-Assessor own comments (optional)</t>
  </si>
  <si>
    <t>Optimizing</t>
  </si>
  <si>
    <t>Help</t>
  </si>
  <si>
    <t>GAMS Audit Record ID:</t>
  </si>
  <si>
    <t>GAMS
Finding ID</t>
  </si>
  <si>
    <t>GAMS
Action ID</t>
  </si>
  <si>
    <t>The benefit of this tool is to provide a consistent way to objectively assess the maturity of a client Account and provide internal comparison, benchmarking and identifying opportunities for improvement.</t>
  </si>
  <si>
    <t>Information Classification</t>
  </si>
  <si>
    <t>Original Action Due Date / Latest Agreed Action Due Date</t>
  </si>
  <si>
    <t>Action Completed Date</t>
  </si>
  <si>
    <t>Document Review Cycle</t>
  </si>
  <si>
    <t>Annually</t>
  </si>
  <si>
    <t>Ownership</t>
  </si>
  <si>
    <t>Owner</t>
  </si>
  <si>
    <t>Function, Role, Title</t>
  </si>
  <si>
    <t>Version History</t>
  </si>
  <si>
    <t>Approvers</t>
  </si>
  <si>
    <t>Standard</t>
  </si>
  <si>
    <t>9001:2015</t>
  </si>
  <si>
    <t>Clause #</t>
  </si>
  <si>
    <t>Clause Description</t>
  </si>
  <si>
    <t>Applicability
Y / N</t>
  </si>
  <si>
    <t>Context of the organization</t>
  </si>
  <si>
    <t>Understanding the organization and its context</t>
  </si>
  <si>
    <t>Understanding the needs and expectations of interested parties</t>
  </si>
  <si>
    <t>Determining the scope of the quality management system</t>
  </si>
  <si>
    <t>Due to their effect or potential effect on the organization’s ability to consistently provide products and services that meet customer and applicable statutory and regulatory requirements, the organization shall determine:
a) the interested parties that are relevant to the quality management system;
b) the requirements of these interested parties that are relevant to the quality management system. 
The organization shall monitor and review information about these interested parties and their relevant requirements.</t>
  </si>
  <si>
    <t>Quality management system and its processes</t>
  </si>
  <si>
    <t>The organization shall establish, implement, maintain and continually improve a quality management system, including the processes needed and their interactions, in accordance with the requirements of this International Standard.</t>
  </si>
  <si>
    <t>The organization shall determine the processes needed for the quality management system and their application throughout the organization, and shall:
a) determine the inputs required and the outputs expected from these processes;
b) determine the sequence and interaction of these processes;
c) determine and apply the criteria and methods (including monitoring, measurements and related performance indicators) needed to ensure the effective operation and control of these processes;
d) determine the resources needed for these processes and ensure their availability;
e) assign the responsibilities and authorities for these processes;
f) address the risks and opportunities as determined in accordance with the requirements of 6.1;
g) evaluate these processes and implement any changes needed to ensure that these processes achieve their intended results;
h) improve the processes and the quality management system.</t>
  </si>
  <si>
    <t>To the extent necessary, the organization shall:</t>
  </si>
  <si>
    <t>a) maintain documented information to support the operation of its processes; 
b) retain documented information to have confidence that the processes are being carried out as planned.</t>
  </si>
  <si>
    <t>Leadership</t>
  </si>
  <si>
    <t>Leadership and commitment</t>
  </si>
  <si>
    <t>General</t>
  </si>
  <si>
    <t>Top management shall demonstrate leadership and commitment with respect to customer focus by
ensuring that:
a) customer and applicable statutory and regulatory requirements are determined, understood and consistently met;
b) the risks and opportunities that can affect conformity of products and services and the ability to enhance customer satisfaction are determined and addressed;
c) the focus on enhancing customer satisfaction is maintained.</t>
  </si>
  <si>
    <t>Customer focus</t>
  </si>
  <si>
    <t>Policy</t>
  </si>
  <si>
    <t>Establishing the quality policy</t>
  </si>
  <si>
    <t>Top management shall establish, implement and maintain a quality policy that:
a) is appropriate to the purpose and context of the organization and supports its strategic direction;
b) provides a framework for setting quality objectives;
c) includes a commitment to satisfy applicable requirements;
d) includes a commitment to continual improvement of the quality management system.</t>
  </si>
  <si>
    <t>Communicating the quality policy</t>
  </si>
  <si>
    <t>The quality policy shall:
a) be available and be maintained as documented information;
b) be communicated, understood and applied within the organization;
c) be available to relevant interested parties, as appropriate.</t>
  </si>
  <si>
    <t>Organizational roles, responsibilities and authorities</t>
  </si>
  <si>
    <t>Top management shall ensure that the responsibilities and authorities for relevant roles are assigned, communicated and understood within the organization.
Top management shall assign the responsibility and authority for:
a) ensuring that the quality management system conforms to the requirements of this International Standard;
b) ensuring that the processes are delivering their intended outputs;
c) reporting on the performance of the quality management system and on opportunities for improvement (see 10.1), in particular to top management;
d) ensuring the promotion of customer focus throughout the organization;
e) ensuring that the integrity of the quality management system is maintained when changes to the quality management system are planned and implemented.</t>
  </si>
  <si>
    <t>Planning</t>
  </si>
  <si>
    <t>Actions to address risks and opportunities</t>
  </si>
  <si>
    <t>The organization shall plan:</t>
  </si>
  <si>
    <t>Quality objectives and planning to achieve them</t>
  </si>
  <si>
    <t>The organization shall establish quality objectives at relevant functions, levels and processes needed for the quality management system.
The quality objectives shall:
a) be consistent with the quality policy;
b) be measurable;
c) take into account applicable requirements;
d) be relevant to conformity of products and services and to enhancement of customer satisfaction;
e) be monitored;
f) be communicated;
g) be updated as appropriate.
The organization shall maintain documented information on the quality objectives.</t>
  </si>
  <si>
    <t>The organization shall establish quality objectives at relevant functions, levels and processes needed for the quality management system.</t>
  </si>
  <si>
    <t>When planning how to achieve its quality objectives, the organization shall determine:</t>
  </si>
  <si>
    <t>a) what will be done;
b) what resources will be required;
c) who will be responsible;
d) when it will be completed;
e) how the results will be evaluated.</t>
  </si>
  <si>
    <t>Planning of changes</t>
  </si>
  <si>
    <t>Support</t>
  </si>
  <si>
    <t>Resources</t>
  </si>
  <si>
    <t>The organization shall determine and provide the resources needed for the establishment, implementation, maintenance and continual improvement of the quality management system.
The organization shall consider:
a) the capabilities of, and constraints on, existing internal resources;
b) what needs to be obtained from external providers.</t>
  </si>
  <si>
    <t>People</t>
  </si>
  <si>
    <t>The organization shall determine and provide the persons necessary for the effective implementation of its quality management system and for the operation and control of its processes.</t>
  </si>
  <si>
    <t>Infrastructure</t>
  </si>
  <si>
    <t>Environment for the operation of processes</t>
  </si>
  <si>
    <t>Monitoring and measuring resources</t>
  </si>
  <si>
    <t>The organization shall determine and provide the resources needed to ensure valid and reliable results when monitoring or measuring is used to verify the conformity of products and services to requirements.
The organization shall ensure that the resources provided:
a) are suitable for the specific type of monitoring and measurement activities being undertaken;
b) are maintained to ensure their continuing fitness for their purpose.
The organization shall retain appropriate documented information as evidence of fitness for purpose of the monitoring and measurement resources.</t>
  </si>
  <si>
    <t>Measurement traceability</t>
  </si>
  <si>
    <t>When measurement traceability is a requirement, or is considered by the organization to be an essential part of providing confidence in the validity of measurement results, measuring equipment shall be:
a) calibrated or verified, or both, at specified intervals, or prior to use, against measurement standards traceable to international or national measurement standards; when no such standards exist, the basis used for calibration or verification shall be retained as documented information;
b) identified in order to determine their status;
c) safeguarded from adjustments, damage or deterioration that would invalidate the calibration status and subsequent measurement results.
The organization shall determine if the validity of previous measurement results has been adversely affected when measuring equipment is found to be unfit for its intended purpose, and shall take appropriate action as necessary.</t>
  </si>
  <si>
    <t>Organizational knowledge</t>
  </si>
  <si>
    <t>Competence</t>
  </si>
  <si>
    <t>Awareness</t>
  </si>
  <si>
    <t>The organization shall ensure that persons doing work under the organization’s control are aware of:
a) the quality policy;
b) relevant quality objectives;
c) their contribution to the effectiveness of the quality management system, including the benefits of improved performance;
d) the implications of not conforming with the quality management system requirements.</t>
  </si>
  <si>
    <t>The organization shall determine the internal and external communications relevant to the quality management system, including:
a) on what it will communicate;
b) when to communicate;
c) with whom to communicate;
d) how to communicate;
e) who communicates.</t>
  </si>
  <si>
    <t>Communication</t>
  </si>
  <si>
    <t>Documented Information</t>
  </si>
  <si>
    <t>Creating and updating</t>
  </si>
  <si>
    <t>When creating and updating documented information, the organization shall ensure appropriate:
a) identification and description (e.g. a title, date, author, or reference number);
b) format (e.g. language, software version, graphics) and media (e.g. paper, electronic);
c) review and approval for suitability and adequacy.</t>
  </si>
  <si>
    <t>Control of documented information</t>
  </si>
  <si>
    <t>Documented information required by the quality management system and by this International Standard shall be controlled to ensure:</t>
  </si>
  <si>
    <t>a) it is available and suitable for use, where and when it is needed;
b) it is adequately protected (e.g. from loss of confidentiality, improper use, or loss of integrity).</t>
  </si>
  <si>
    <t>For the control of documented information, the organization shall address the following activities, as applicable:</t>
  </si>
  <si>
    <t>Operation</t>
  </si>
  <si>
    <t>Operational planning and control</t>
  </si>
  <si>
    <t>Requirements for products and services</t>
  </si>
  <si>
    <t>Customer communication</t>
  </si>
  <si>
    <t>Communication with customers shall include:
a) providing information relating to products and services;
b) handling enquiries, contracts or orders, including changes;
c) obtaining customer feedback relating to products and services, including customer complaints;
d) handling or controlling customer property;
e) establishing specific requirements for contingency actions, when relevant.</t>
  </si>
  <si>
    <t>Determining the requirements for products and services</t>
  </si>
  <si>
    <t>When determining the requirements for the products and services to be offered to customers, the organization shall ensure that:
a) the requirements for the products and services are defined, including:
     1) any applicable statutory and regulatory requirements;
     2) those considered necessary by the organization;
b) the organization can meet the claims for the products and services it offers.</t>
  </si>
  <si>
    <t>Review of the requirements for products and services</t>
  </si>
  <si>
    <t>The organization shall ensure that it has the ability to meet the requirements for products and services to be offered to customers. The organization shall conduct a review before ommitting to supply products and services to a customer, to include:</t>
  </si>
  <si>
    <t>The organization shall retain documented information, as applicable:</t>
  </si>
  <si>
    <t>a) on the results of the review;
b) on any new requirements for the products and services.</t>
  </si>
  <si>
    <t>Changes to requirements for products and services</t>
  </si>
  <si>
    <t>The organization shall ensure that relevant documented information is amended, and that relevant persons are made aware of the changed requirements, when the requirements for products and services are changed.</t>
  </si>
  <si>
    <t>Design and development of products and services</t>
  </si>
  <si>
    <t>The organization shall establish, implement and maintain a design and development process that is appropriate to ensure the subsequent provision of products and services.</t>
  </si>
  <si>
    <t>Design and development planning</t>
  </si>
  <si>
    <t>In determining the stages and controls for design and development, the organization shall consider:
a) the nature, duration and complexity of the design and development activities;
b) the required process stages, including applicable design and development reviews;
c) the required design and development verification and validation activities;
d) the responsibilities and authorities involved in the design and development process;
e) the internal and external resource needs for the design and development of products and services;
f) the need to control interfaces between persons involved in the design and development process;
g) the need for involvement of customers and users in the design and development process;
h) the requirements for subsequent provision of products and services;
i) the level of control expected for the design and development process by customers and other relevant interested parties;
j) the documented information needed to demonstrate that design and development requirements have been met.</t>
  </si>
  <si>
    <t>Design and development inputs</t>
  </si>
  <si>
    <t>The organization shall determine the requirements essential for the specific types of products and services to be designed and developed. The organization shall consider:
a) functional and performance requirements;
b) information derived from previous similar design and development activities;
c) statutory and regulatory requirements;
d) standards or codes of practice that the organization has committed to implement;
e) potential consequences of failure due to the nature of the products and services.
Inputs shall be adequate for design and development purposes, complete and unambiguous.
Conflicting design and development inputs shall be resolved.
The organization shall retain documented information on design and development inputs.</t>
  </si>
  <si>
    <t>Design and development controls</t>
  </si>
  <si>
    <t>Design and development outputs</t>
  </si>
  <si>
    <t>The organization shall ensure that design and development outputs:
a) meet the input requirements;
b) are adequate for the subsequent processes for the provision of products and services;
c) include or reference monitoring and measuring requirements, as appropriate, and acceptance criteria;
d) specify the characteristics of the products and services that are essential for their intended purpose and their safe and proper provision.
The organization shall retain documented information on design and development outputs.</t>
  </si>
  <si>
    <t>Design and development changes</t>
  </si>
  <si>
    <t>The organization shall identify, review and control changes made during, or subsequent to, the design
and development of products and services, to the extent necessary to ensure that there is no adverse impact on conformity to requirements.
The organization shall retain documented information on:
a) design and development changes;
b) the results of reviews;
c) the authorization of the changes;
d) the actions taken to prevent adverse impacts.</t>
  </si>
  <si>
    <t>Control of externally provided processes, products and services</t>
  </si>
  <si>
    <t>Type and extent of control</t>
  </si>
  <si>
    <t>The organization shall ensure that externally provided processes, products and services do not adversely affect the organization’s ability to consistently deliver conforming products and services to its customers.
The organization shall:
a) ensure that externally provided processes remain within the control of its quality management system;
b) define both the controls that it intends to apply to an external provider and those it intends to apply to the resulting output;
c) take into consideration:
1) the potential impact of the externally provided processes, products and services on the organization’s ability to consistently meet customer and applicable statutory and regulatory
requirements;
2) the effectiveness of the controls applied by the external provider;
d) determine the verification, or other activities, necessary to ensure that the externally provided processes, products and services meet requirements.</t>
  </si>
  <si>
    <t>Information for external providers</t>
  </si>
  <si>
    <t>The organization shall ensure the adequacy of requirements prior to their communication to the external provider.
The organization shall communicate to external providers its requirements for:
a) the processes, products and services to be provided;
b) the approval of:
1) products and services;
2) methods, processes and equipment;
3) the release of products and services;
c) competence, including any required qualification of persons;
d) the external providers’ interactions with the organization;
e) control and monitoring of the external providers’ performance to be applied by the organization;
f) verification or validation activities that the organization, or its customer, intends to perform at the external providers’ premises.</t>
  </si>
  <si>
    <t>Production and service provision</t>
  </si>
  <si>
    <t>The organization shall implement production and service provision under controlled conditions.
Controlled conditions shall include, as applicable:
a) the availability of documented information that defines:
1) the characteristics of the products to be produced, the services to be provided, or the activities to be performed;
2) the results to be achieved;
b) the availability and use of suitable monitoring and measuring resources;
c) the implementation of monitoring and measurement activities at appropriate stages to verify that criteria for control of processes or outputs, and acceptance criteria for products and services, have been met;
d) the use of suitable infrastructure and environment for the operation of processes;
e) the appointment of competent persons, including any required qualification;
f) the validation, and periodic revalidation, of the ability to achieve planned results of the processes for production and service provision, where the resulting output cannot be verified by subsequent monitoring or measurement;
g) the implementation of actions to prevent human error;
h) the implementation of release, delivery and post-delivery activities.</t>
  </si>
  <si>
    <t>Control of production and service provision</t>
  </si>
  <si>
    <t>Identification and traceability</t>
  </si>
  <si>
    <t>The organization shall use suitable means to identify outputs when it is necessary to ensure the conformity of products and services.
The organization shall identify the status of outputs with respect to monitoring and measurement requirements throughout production and service provision.
The organization shall control the unique identification of the outputs when traceability is a requirement, and shall retain the documented information necessary to enable traceability.</t>
  </si>
  <si>
    <t>Property belonging to customers or external providers</t>
  </si>
  <si>
    <t>Preservation</t>
  </si>
  <si>
    <t>Post-delivery activities</t>
  </si>
  <si>
    <t>Control of changes</t>
  </si>
  <si>
    <t>The organization shall review and control changes for production or service provision, to the extent necessary to ensure continuing conformity with requirements.
The organization shall retain documented information describing the results of the review of changes, the person(s) authorizing the change, and any necessary actions arising from the review.</t>
  </si>
  <si>
    <t>Release of products and services</t>
  </si>
  <si>
    <t>The organization shall implement planned arrangements, at appropriate stages, to verify that the
product and service requirements have been met.
The release of products and services to the customer shall not proceed until the planned arrangements have been satisfactorily completed, unless otherwise approved by a relevant authority and, as applicable, by the customer.
The organization shall retain documented information on the release of products and services. The documented information shall include:
a) evidence of conformity with the acceptance criteria;
b) traceability to the person(s) authorizing the release.</t>
  </si>
  <si>
    <t>Control of nonconforming outputs</t>
  </si>
  <si>
    <t>The organization shall ensure that outputs that do not conform to their requirements are identified and controlled to prevent their unintended use or delivery.</t>
  </si>
  <si>
    <t>The organization shall take appropriate action based on the nature of the nonconformity and its effect on the conformity of products and services. This shall also apply to nonconforming products and services detected after delivery of products, during or after the provision of services.
The organization shall deal with nonconforming outputs in one or more of the following ways:
a) correction;
b) segregation, containment, return or suspension of provision of products and services;
c) informing the customer;
d) obtaining authorization for acceptance under concession.
Conformity to the requirements shall be verified when nonconforming outputs are corrected.</t>
  </si>
  <si>
    <t>The organization shall retain documented information that:</t>
  </si>
  <si>
    <t>a) describes the nonconformity;
b) describes the actions taken;
c) describes any concessions obtained;
d) identifies the authority deciding the action in respect of the nonconformity.</t>
  </si>
  <si>
    <t>Performance evaluation</t>
  </si>
  <si>
    <t>Monitoring, measurement, analysis and evaluation</t>
  </si>
  <si>
    <t>The organization shall determine:
a) what needs to be monitored and measured;
b) the methods for monitoring, measurement, analysis and evaluation needed to ensure valid results;
c) when the monitoring and measuring shall be performed;
d) when the results from monitoring and measurement shall be analysed and evaluated.
The organization shall evaluate the performance and the effectiveness of the quality management system.
The organization shall retain appropriate documented information as evidence of the results.</t>
  </si>
  <si>
    <t>Customer satisfaction</t>
  </si>
  <si>
    <t>Analysis and evaluation</t>
  </si>
  <si>
    <t>Internal Audit</t>
  </si>
  <si>
    <t>The organization shall conduct internal audits at planned intervals to provide information on whether the quality management system:</t>
  </si>
  <si>
    <t>a) conforms to:
       1) the organization’s own requirements for its quality management system;
       2) the requirements of this International Standard;
b) is effectively implemented and maintained.</t>
  </si>
  <si>
    <t>The organization shall:</t>
  </si>
  <si>
    <t>a) plan, establish, implement and maintain an audit programme(s) including the frequency, methods, responsibilities, planning requirements and reporting, which shall take into consideration the importance of the processes concerned, changes affecting the organization, and the results of previous audits;
b) define the audit criteria and scope for each audit;
c) select auditors and conduct audits to ensure objectivity and the impartiality of the audit process;
d) ensure that the results of the audits are reported to relevant management;
e) take appropriate correction and corrective actions without undue delay;
f) retain documented information as evidence of the implementation of the audit programme and the audit results.</t>
  </si>
  <si>
    <t>Management review</t>
  </si>
  <si>
    <t>Top management shall review the organization’s quality management system, at planned intervals, to ensure its continuing suitability, adequacy, effectiveness and alignment with the strategic direction of the organization.</t>
  </si>
  <si>
    <t>Management review inputs</t>
  </si>
  <si>
    <t>The management review shall be planned and carried out taking into consideration:
a) the status of actions from previous management reviews;
b) changes in external and internal issues that are relevant to the quality management system;
c) information on the performance and effectiveness of the quality management system, including trends in:
     1) customer satisfaction and feedback from relevant interested parties;
     2) the extent to which quality objectives have been met;
     3) process performance and conformity of products and services;
     4) nonconformities and corrective actions;
     5) monitoring and measurement results;
     6) audit results;
     7) the performance of external providers;
d) the adequacy of resources;
e) the effectiveness of actions taken to address risks and opportunities (see 6.1);
f) opportunities for improvement.</t>
  </si>
  <si>
    <t>Management review outputs</t>
  </si>
  <si>
    <t>The outputs of the management review shall include decisions and actions related to:
a) opportunities for improvement;
b) any need for changes to the quality management system;
c) resource needs.
The organization shall retain documented information as evidence of the results of management reviews.</t>
  </si>
  <si>
    <t>Improvement</t>
  </si>
  <si>
    <t>Nonconformity and corrective action</t>
  </si>
  <si>
    <t>When a nonconformity occurs, including any arising from complaints, the organization shall:</t>
  </si>
  <si>
    <t>10.2.1</t>
  </si>
  <si>
    <t>a) react to the nonconformity and, as applicable:
1) take action to control and correct it;
2) deal with the consequences;
b) evaluate the need for action to eliminate the cause(s) of the nonconformity, in order that it does not recur or occur elsewhere, by:
      1) reviewing and analysing the nonconformity;
      2) determining the causes of the nonconformity;
      3) determining if similar nonconformities exist, or could potentially occur;
c) implement any action needed;
d) review the effectiveness of any corrective action taken;
e) update risks and opportunities determined during planning, if necessary;
f) make changes to the quality management system, if necessary.
Corrective actions shall be appropriate to the effects of the nonconformities encountered.</t>
  </si>
  <si>
    <t>The organization shall retain documented information as evidence of:</t>
  </si>
  <si>
    <t>a) the nature of the nonconformities and any subsequent actions taken;
b) the results of any corrective action.</t>
  </si>
  <si>
    <t>Continual improvement</t>
  </si>
  <si>
    <t>The organization shall continually improve the suitability, adequacy and effectiveness of the quality management system.
The organization shall consider the results of analysis and evaluation, and the outputs from management review, to determine if there are needs or opportunities that shall be addressed as part of continual improvement.</t>
  </si>
  <si>
    <t>a) give assurance that the quality management system can achieve its intended result(s);
b) enhance desirable effects;
c) prevent, or reduce, undesired effects;
d) achieve improvement.</t>
  </si>
  <si>
    <t>Clause</t>
  </si>
  <si>
    <t>20000-1:2011</t>
  </si>
  <si>
    <t>Service management system general requirements</t>
  </si>
  <si>
    <t>Management responsibility</t>
  </si>
  <si>
    <t>Management commitment</t>
  </si>
  <si>
    <t>Top management shall provide evidence of its commitment to planning, establishing, implementing, operating,
monitoring, reviewing, maintaining, and improving the SMS and the services by:
a) establishing and communicating the scope, policy and objectives for service management;
b) ensuring that the service management plan is created, implemented and maintained in order to adhere to the policy, achieve the objectives for service management and fulfil the service requirements;
c) communicating the importance of fulfilling service requirements;
d) communicating the importance of fulfilling statutory and regulatory requirements and contractual obligations;
e) ensuring the provision of resources;
f) conducting management reviews at planned intervals;
g) ensuring that risks to services are assessed and managed.</t>
  </si>
  <si>
    <t>Service management policy</t>
  </si>
  <si>
    <t>Authority, responsibility and communication</t>
  </si>
  <si>
    <t>Top management shall ensure that:
a) service management authorities and responsibilities are defined and maintained;
b) documented procedures for communication are established and implemented.</t>
  </si>
  <si>
    <t>Management representative</t>
  </si>
  <si>
    <t>Top management shall appoint a member of the service provider's management who, irrespective of other responsibilities, has the authorities and responsibilities that include:
a) ensuring that activities are performed to identify, document and fulfil service requirements;
b) assigning authorities and responsibilities for ensuring that service management processes are designed,
implemented and improved in accordance with the policy and objectives for service management;
c) ensuring that service management processes are integrated with the other components of the SMS;
d) ensuring that assets, including licences, used to deliver services are managed according to statutory and regulatory requirements and contractual obligations;
e) reporting to top management on the performance and opportunities for improvement to the SMS and the services.</t>
  </si>
  <si>
    <t>Governance of processes operated by other parties</t>
  </si>
  <si>
    <t>For the processes in Clauses 5 to 9, the service provider shall identify all processes, or parts of processes, which are operated by other parties. Other parties can be an internal group, a customer or a supplier. The service provider shall demonstrate governance of processes operated by other parties by:
a) demonstrating accountability for the processes and authority to require adherence to the processes;
b) controlling the definition of the processes, and interfaces to other processes;
c) determining process performance and compliance with process requirements;
d) controlling the planning and prioritizing of process improvements.
When a supplier is operating parts of the processes, the service provider shall manage the supplier through the supplier management process. When an internal group or a customer is operating parts of the processes, the service provider shall manage the internal group or the customer through the service level management process.</t>
  </si>
  <si>
    <t>Documentation management</t>
  </si>
  <si>
    <t>Establish and maintain documents</t>
  </si>
  <si>
    <t>Control of documents</t>
  </si>
  <si>
    <t>Control of records</t>
  </si>
  <si>
    <t>Records shall be kept to demonstrate conformity to requirements and the effective operation of the SMS. A documented procedure shall be established to define the controls needed for the identification, storage, protection, retrieval, retention and disposal of records. Records shall be legible, readily identifiable and retrievable.</t>
  </si>
  <si>
    <t>Resource Management</t>
  </si>
  <si>
    <t>Provision of resources</t>
  </si>
  <si>
    <t>The service provider shall determine and provide the human, technical, information and financial resources needed to:
a) establish, implement and maintain the SMS and the services, and continually improve their effectiveness;
b) enhance customer satisfaction by delivering services that fulfil service requirements.</t>
  </si>
  <si>
    <t>Human Resources</t>
  </si>
  <si>
    <t>The service provider's personnel performing work affecting conformity to service requirements shall be competent on the basis of appropriate education, training, skills and experience. The service provider shall:
a) determine the necessary competence for personnel;
b) where applicable, provide training or take other actions to achieve the necessary competence;
c) evaluate the effectiveness of actions taken;
d) ensure that its personnel are aware of how they contribute to the achievement of service management objectives and the fulfilment of service requirements;
e) maintain appropriate records of education, training, skills and experience.</t>
  </si>
  <si>
    <t>Establish and improve the SMS</t>
  </si>
  <si>
    <t>Define scope</t>
  </si>
  <si>
    <t>The service provider shall define and include the scope of the SMS in the service management plan. The scope shall be defined by the name of the organizational unit providing the services, and the services to be delivered.
The service provider shall also take into consideration other factors affecting the services to be delivered including:
a) geographical location(s) from which the service provider delivers the services;
b) the customer and their location(s);
c) technology used to provide the services.</t>
  </si>
  <si>
    <t>Plan the SMS (Plan)</t>
  </si>
  <si>
    <t>The service provider shall create, implement and maintain a service management plan. Planning shall take into consideration the service management policy, service requirements and requirements in this part of ISO/IEC 20000. The service management plan shall contain or include a reference to at least the following:
a) service management objectives that are to be achieved by the service provider;
b) service requirements;
c) known limitations which can impact the SMS;
d) policies, standards, statutory and regulatory requirements and contractual obligations;
e) framework of authorities, responsibilities and process roles;
f) authorities and responsibilities for plans, service management processes and services;
g) human, technical, information and financial resources necessary to achieve the service management objectives;
h) approach to be taken for working with other parties involved in the design and transition of new or 
i) approach to be taken for the interfaces between service management processes and their integration with the other components of the SMS;
j) approach to be taken for the management of risks and the criteria for accepting risks;
k) technology used to support the SMS;
l) how the effectiveness of the SMS and the services will be measured, audited, reported and improved. 
Plans created for specific processes shall be aligned with the service management plan. The service management plan and plans created for specific processes shall be reviewed at planned intervals and, if applicable, updated.</t>
  </si>
  <si>
    <t>Implement and operate the SMS (Do)</t>
  </si>
  <si>
    <t>The service provider shall implement and operate the SMS for the design, transition, delivery and improvement of services according to the service management plan, through activities including at least:
a) allocation and management of funds and budgets;
b) assignment of authorities, responsibilities and process roles;
c) management of human, technical and information resources;
d) identification, assessment and management of risks to the services;
e) management of service management processes;
f) monitoring and reporting on performance of service management activities.</t>
  </si>
  <si>
    <t>Monitor and review the SMS (Check)</t>
  </si>
  <si>
    <t>The service provider shall use suitable methods for monitoring and measuring the SMS and the services. These methods shall include internal audits and management reviews.
The objectives of all internal audits and management reviews shall be documented. The internal audits and management reviews shall demonstrate the ability of the SMS and the services to achieve service management objectives and fulfil service requirements. Nonconformities shall be identified against the requirements in this part of ISO/IEC 20000, the SMS requirements identified by the service provider or the service requirements.
The results of internal audits and management reviews, including nonconformities, concerns and actions identified, shall be recorded. The results and actions shall be communicated to interested parties.</t>
  </si>
  <si>
    <t>Internal audit</t>
  </si>
  <si>
    <t>Top management shall review the SMS and the services at planned intervals to ensure their continued suitability and effectiveness. This review shall include assessing opportunities for improvement and the need for changes to the SMS, including the policy and objectives for service management. The input to management reviews shall include at least information on:
a) customer feedback;
b) service and process performance and conformity;
c) current and forecast human, technical, information and financial resource levels;
d) current and forecast human and technical capabilities;
e) risks;
f) results and follow-up actions from audits;
g) results and follow-up actions from previous management reviews;
h) status of preventive and corrective actions;
i) changes that could affect the SMS and the services;
j) opportunities for improvement.
Records of management reviews shall be maintained.
The records from the management review shall include at least decisions and actions related to resources, improvement of the effectiveness of the SMS and improvement of the services.</t>
  </si>
  <si>
    <t>Maintain and improve the SMS (Act)</t>
  </si>
  <si>
    <t>There shall be a policy on continual improvement of the SMS and the services. The policy shall include evaluation criteria for the opportunities for improvement.
There shall be a documented procedure including the authorities and responsibilities for identifying, documenting, evaluating, approving, prioritizing, managing, measuring and reporting of improvements. Opportunities for improvement, including corrective and preventive actions, shall be documented.
The cause of identified nonconformities shall be corrected. Corrective actions shall be taken to eliminate the cause of identified nonconformities in order to prevent recurrence. Preventive actions shall be taken in order to eliminate the cause of potential nonconformities in order to prevent occurrence.</t>
  </si>
  <si>
    <t>Management of Improvements</t>
  </si>
  <si>
    <t>Opportunities for improvement shall be prioritized. The service provider shall use the evaluation criteria in the policy on continual improvement, when making decisions on opportunities for improvement. Approved improvements shall be planned. 
The service provider shall manage improvement activities that include at least:
a) setting targets for improvements in one or more of quality, value, capability, cost, productivity, resource utilization and risk reduction;
b) ensuring that approved improvements are implemented;
c) revising the service management policies, plans, processes and procedures, where necessary;
d) measuring implemented improvements against the targets set and where targets are not achieved, taking necessary actions;
e) reporting on implemented improvements.</t>
  </si>
  <si>
    <t>Design and transition of new or changed services</t>
  </si>
  <si>
    <t>Plan new or changed services</t>
  </si>
  <si>
    <t>The service provider shall identify the service requirements for the new or changed services. New or changed services shall be planned to fulfil the service requirements. Planning for the new or changed services shall be agreed with the customer and interested parties.
As input to planning, the service provider shall take into consideration the potential financial, organizational, and technical impact of delivering the new or changed services. The service provider shall also take into consideration the potential impact of the new or changed services on the SMS.
Planning for the new or changed services shall contain or include a reference to at least the following:
a) authorities and responsibilities for design, development and transition activities;
b) activities to be performed by the service provider and other parties including activities across interfaces from the service provider to other parties;
c) communication to interested parties;
d) human, technical, information and financial resources;
e) timescales for planned activities;
f) identification, assessment and management of risks;
g) dependencies on other services;
h) testing required for the new or changed services;
i) service acceptance criteria;
j) expected outcomes from delivering the new or changed services, expressed in measurable terms.
For services that are to be removed, the service provider shall plan for the removal of the service(s). Planning shall include the date(s) for the removal, archiving, disposal or transfer of data, documentation and service components. The service components can include infrastructure and applications with associated licences.
The service provider shall identify other parties who will contribute to the provision of service components for the new or changed services. The service provider shall evaluate their ability to fulfil the service requirements. The results of the evaluation shall be recorded and necessary actions taken.</t>
  </si>
  <si>
    <t>Design and development of new or changed services</t>
  </si>
  <si>
    <t>The new or changed services shall be designed and documented to include at least:
a) authorities and responsibilities for delivery of the new or changed services;
b) activities to be performed by the service provider, customer and other parties for delivery of the new or changed services;
c) new or changed human resource requirements, including requirements for appropriate education, training, skills and experience;
d) financial resource requirements for delivery of the new or changed services;
e) new or changed technology to support the delivery of the new or changed services;
f) new or changed plans and policies as required by this part of ISO/IEC 20000;
g) new or changed contracts and other documented agreements to align with changes in service requirements;
h) changes to the SMS;
i) new or changed SLAs;
j) updates to the catalogue of services;
k) procedures, measures and information to be used for the delivery of the new or changed services.
The service provider shall ensure that the design enables the new or changed services to fulfil the service requirements.
The new or changed services shall be developed in accordance with the documented design.</t>
  </si>
  <si>
    <t>Transition of new or changed services</t>
  </si>
  <si>
    <t>The new or changed services shall be tested to verify that they fulfil the service requirements and documented design. The new or changed services shall be verified against service acceptance criteria agreed in advance by the service provider and interested parties. If the service acceptance criteria are not met, the service provider and interested parties shall make a decision on necessary actions and deployment.
The release and deployment management process shall be used to deploy approved new or changed services into the live environment.
Following the completion of the transition activities, the service provider shall report to interested parties on the outcomes achieved against the expected outcomes.</t>
  </si>
  <si>
    <t>Service delivery processes</t>
  </si>
  <si>
    <t>Service level management</t>
  </si>
  <si>
    <t>The service provider shall agree the services to be delivered with the customer.
The service provider shall agree a catalogue of services with the customer. The catalogue of services shall include the dependencies between services and service components.
For each service delivered, one or more SLAs shall be agreed with the customer. When creating SLAs, the service provider shall take into consideration the service requirements. SLAs shall include agreed service targets, workload characteristics and exceptions.
The service provider shall review services and SLAs with the customer at planned intervals.
Changes to the documented service requirements, catalogue of services, SLAs and other documented agreements shall be controlled by the change management process. The catalogue of services shall be maintained following changes to services and SLAs to ensure that they are aligned.
The service provider shall monitor trends and performance against service targets at planned intervals.
Results shall be recorded and reviewed to identify the causes of nonconformities and opportunities for improvement.
For service components provided by an internal group or the customer, the service provider shall develop, agree, review and maintain a documented agreement to define the activities and interfaces between the two parties. The service provider shall monitor performance of the internal group or the customer against agreed service targets and other  agreed commitments, at planned intervals. Results shall be recorded and reviewed to identify the causes of nonconformities and opportunities for improvement.</t>
  </si>
  <si>
    <t>Service Reporting</t>
  </si>
  <si>
    <t>The description of each service report, including its identity, purpose, audience, frequency and details of the data source(s), shall be documented and agreed by the service provider and interested parties.
Service reports shall be produced for services using information from the delivery of services and the SMS activities, including the service management processes. Service reporting shall include at least:
a) performance against service targets;
b) relevant information about significant events including at least major incidents, deployment of new or changed services and the service continuity plan being invoked;
c) workload characteristics including volumes and periodic changes in workload;
d) detected nonconformities against the requirements in this part of ISO/IEC 20000, the SMS requirements or the service requirements and their identified causes;
e) trend information;
f) customer satisfaction measurements, service complaints and results of the analysis of satisfaction measurements and complaints.
The service provider shall make decisions and take actions based on the findings in service reports. The agreed actions shall be communicated to interested parties.</t>
  </si>
  <si>
    <t>Service continuity and availability management</t>
  </si>
  <si>
    <t>Service continuity and availability requirements</t>
  </si>
  <si>
    <t>The service provider shall assess and document the risks to service continuity and availability of services. The service provider shall identify and agree with the customer and interested parties service continuity and availability requirements. The agreed requirements shall take into consideration applicable business plans, service requirements, SLAs and risks.
The agreed service continuity and availability requirements shall include at least:
a) access rights to the services;
b) service response times;
c) end to end availability of services.</t>
  </si>
  <si>
    <t>Service continuity and availability plans</t>
  </si>
  <si>
    <t>Service continuity and availability monitoring and testing</t>
  </si>
  <si>
    <t>Availability of services shall be monitored, the results recorded and compared with agreed targets. Unplanned non-availability shall be investigated and necessary actions taken.
Service continuity plans shall be tested against the service continuity requirements. Availability plans shall be tested against the availability requirements. Service continuity and availability plans shall be re-tested after major changes to the service environment in which the service provider operates.
The results of the tests shall be recorded. Reviews shall be conducted after each test and after the service continuity plan has been invoked. Where deficiencies are found, the service provider shall take necessary actions and report on the actions taken.</t>
  </si>
  <si>
    <t>Budgeting and accounting for services</t>
  </si>
  <si>
    <t>Capacity Management</t>
  </si>
  <si>
    <t>The service provider shall identify and agree capacity and performance requirements with the customer and interested parties.
The service provider shall create, implement and maintain a capacity plan taking into consideration human, technical, information and financial resources. Changes to the capacity plan shall be controlled by the change management process. The capacity plan shall include at least:
a) current and forecast demand for services;
b) expected impact of agreed requirements for availability, service continuity and service levels;
c) time-scales, thresholds and costs for upgrades to service capacity;
d) potential impact of statutory, regulatory, contractual or organizational changes;
e) potential impact of new technologies and new techniques;
f) procedures to enable predictive analysis, or reference to them.
The service provider shall monitor capacity usage, analyse capacity data and tune performance. The service provider shall provide sufficient capacity to fulfil agreed capacity and performance requirements.</t>
  </si>
  <si>
    <t>Information security management</t>
  </si>
  <si>
    <t>Information security policy</t>
  </si>
  <si>
    <t>Management with appropriate authority shall approve an information security policy taking into consideration the service requirements, statutory and regulatory requirements and contractual obligations. Management shall:
a) communicate the information security policy and the importance of conforming to the policy to appropriate personnel within the service provider, customer and suppliers;
b) ensure that information security management objectives are established;
c) define the approach to be taken for the management of information security risks and the criteria for accepting risks;
d) ensure that information security risk assessments are conducted at planned intervals;
e) ensure that internal information security audits are conducted;
f) ensure that audit results are reviewed to identify opportunities for improvement.</t>
  </si>
  <si>
    <t>Information security controls</t>
  </si>
  <si>
    <t>The service provider shall implement and operate physical, administrative and technical information security controls in order to:
a) preserve confidentiality, integrity and accessibility of information assets;
b) fulfil the requirements of the information security policy;
c) achieve information security management objectives;
d) manage risks related to information security.
These information security controls shall be documented and shall describe the risks to which the controls relate, their operation and maintenance.
The service provider shall review the effectiveness of information security controls. The service provider shall take necessary actions and report on the actions taken.
The service provider shall identify external organizations that have a need to access, use or manage the service provider's information or services. The service provider shall document, agree and implement information security controls with these external organizations.</t>
  </si>
  <si>
    <t>Information security changes and incidents</t>
  </si>
  <si>
    <t>Requests for change shall be assessed to identify:
a) new or changed information security risks;
b) potential impact on the existing information security policy and controls.
Information security incidents shall be managed using the incident management procedures, with a priority appropriate to the information security risks. The service provider shall analyse the types, volumes and impacts of information security incidents. Information security incidents shall be reported and reviewed to identify opportunities for improvement.</t>
  </si>
  <si>
    <t>Relationship processes</t>
  </si>
  <si>
    <t>Business relationship management</t>
  </si>
  <si>
    <t>The service provider shall identify and document the customers, users and interested parties of the services.
For each customer, the service provider shall have a designated individual who is responsible for managing
the customer relationship and customer satisfaction.
The service provider shall establish a communication mechanism with the customer. The communication mechanism shall promote understanding of the business environment in which the services operate and requirements for new or changed services. This information shall enable the service provider to respond to these requirements.
The service provider shall review the performance of the services at planned intervals, with the customer.
Changes to the documented service requirements shall be controlled by the change management process.
Changes to the SLAs shall be co-ordinated with the service level management process.
The definition of a service complaint shall be agreed with the customer. There shall be a documented procedure to manage service complaints from the customer. The service provider shall record, investigate, act upon, report and close service complaints. Where a service complaint is not resolved through the normal channels, escalation shall be provided to the customer.
The service provider shall measure customer satisfaction at planned intervals based on a representative sample of the customers and users of the services. The results shall be analysed and reviewed to identify opportunities for improvement.</t>
  </si>
  <si>
    <t>Supplier Management</t>
  </si>
  <si>
    <t>Resolution processes</t>
  </si>
  <si>
    <t>Incident and service request management</t>
  </si>
  <si>
    <t>There shall be a documented procedure for all incidents to define:
a) recording;
b) allocation of priority;
c) classification;
d) updating of records;
e) escalation;
f) resolution;
g) closure.
There shall be a documented procedure for managing the fulfilment of service requests from recording to closure. Incidents and service requests shall be managed according to the procedures.
When prioritizing incidents and service requests, the service provider shall take into consideration the impact
and urgency of the incident or service request.
The service provider shall ensure that personnel involved in the incident and service request management process can access and use relevant information. The relevant information shall include service request
management procedures, known errors, problem resolutions and the CMDB. Information about the success or failure of releases and future release dates, from the release and deployment management process, shall be used by the incident and service request  management process.
The service provider shall keep the customer informed of the progress of their reported incident or service request. If service targets cannot be met, the service provider shall inform the customer and interested parties and escalate according to the procedure.
The service provider shall document and agree with the customer the definition of a major incident. Major incidents shall be classified and managed according to a documented procedure. Top management shall be informed of major incidents. Top management shall ensure that a designated individual responsible for managing the major incident is appointed. After the agreed service has been restored, major incidents shall be reviewed to identify opportunities for improvement.</t>
  </si>
  <si>
    <t>Problem management</t>
  </si>
  <si>
    <t>There shall be a documented procedure to identify problems and minimize or avoid the impact of incidents and problems. The procedure for problems shall define:
a) identification;
b) recording;
c) allocation of priority;
d) classification;
e) updating of records;
f) escalation;
g) resolution;
h) closure.
Problems shall be managed according to the procedure.
The service provider shall analyse data and trends on incidents and problems to identify root causes and their potential preventive action.
Problems requiring changes to a CI shall be resolved by raising a request for change.
Where the root cause has been identified, but the problem has not been permanently resolved, the service provider shall identify actions to reduce or eliminate the impact of the problem on the services. Known errors shall be recorded.
The effectiveness of problem resolution shall be monitored, reviewed and reported.
Up-to-date information on known errors and problem resolutions shall be provided to the incident and service request management process.</t>
  </si>
  <si>
    <t>Control Processes</t>
  </si>
  <si>
    <t>Configuration management</t>
  </si>
  <si>
    <t>Change Management</t>
  </si>
  <si>
    <t>A change management policy shall be established that defines:
a) CIs which are under the control of change management;
b) criteria to determine changes with potential to have a major impact on services or the customer.
Removal of a service shall be classified as a change to a service with the potential to have a major impact.
Transfer of a service from the service provider to the customer or a different party shall be classified as a change with potential to have a major impact.
There shall be a documented procedure to record, classify, assess and approve requests for change.
The service provider shall document and agree with the customer the definition of an emergency change.
There shall be a documented procedure for managing emergency changes.
All changes to a service or service component shall be raised using a request for change. Requests for change shall have a defined scope.
All requests for change shall be recorded and classified. Requests for change classified as having the potential to have a major impact on the services or the customer shall be managed using the design and transition of new or changed services process. All other requests for change to CIs defined in the change management policy shall be managed using the change management process.
Requests for change shall be assessed using information from the change management process and other processes.
The service provider and interested parties shall make decisions on the acceptance of requests for change.
Decision-making shall take into consideration the risks, the potential impacts to services and the customer, service requirements, business benefits, technical feasibility and financial impact.
Approved changes shall be developed and tested.
A schedule of change containing details of the approved changes and their proposed deployment dates shall be established and communicated to interested parties. The schedule of change shall be used as the basis for planning the deployment of releases.
The activities required to reverse or remedy an unsuccessful change shall be planned and, where possible, tested. The change shall be reversed or remedied if unsuccessful. Unsuccessful changes shall be investigated and agreed actions taken.
The CMDB records shall be updated following the successful deployment of changes.
The service provider shall review changes for effectiveness and take actions agreed with interested parties.
Requests for change shall be analysed at planned intervals to detect trends. The results and conclusions drawn from the analysis shall be recorded and reviewed to identify opportunities for improvement.</t>
  </si>
  <si>
    <t>Release and deployment management</t>
  </si>
  <si>
    <t>The service provider shall establish and agree with the customer a release policy stating the frequency and type of releases.
The service provider shall plan with the customer and interested parties the deployment of new or changed services and service components into the live environment. Planning shall be coordinated with the change management process and include references to the related requests for change, known errors and problems which are being closed through the release. Planning shall include the dates for deployment of each release, deliverables and methods of deployment.
The service provider shall document and agree with the customer the definition of an emergency release.
Emergency releases shall be managed according to a documented procedure that interfaces to the emergency change procedure.
Releases shall be built and tested prior to deployment. A controlled acceptance test environment shall be used for the building and testing of releases.
Acceptance criteria for the release shall be agreed with the customer and interested parties. The release shall be verified against the agreed acceptance criteria and approved before deployment. If the acceptance criteria are not met, the service provider shall make a decision on necessary actions and deployment with interested parties.
The release shall be deployed into the live environment so that the integrity of hardware, software and other service components is maintained during deployment of the release.
The activities required to reverse or remedy an unsuccessful deployment of a release shall be planned and, where possible, tested. The deployment of the release shall be reversed or remedied if unsuccessful.
Unsuccessful releases shall be investigated and agreed actions taken.
The success or failure of releases shall be monitored and analysed. Measurements shall include incidents related to a release in the period following deployment of a release. Analysis shall include assessment of the impact of the release on the customer. The results and conclusions drawn from the analysis shall be recorded and reviewed to identify opportunities for improvement.
Information about the success or failure of releases and future release dates shall be provided to the change management process, and incident and service request management process.
Information shall be provided to the change management process to support the assessment of the impact of requests for change on releases and plans for deployment.</t>
  </si>
  <si>
    <t>The service provider shall conduct internal audits, at planned intervals, to determine whether the SMS and the services:
a) fulfil the requirements in this part of ISO/IEC 20000;
b) fulfil the service requirements and the SMS requirements identified by the service provider;
c) are effectively implemented and maintained.
There shall be a documented procedure including the authorities and responsibilities for planning and conducting audits, reporting results and maintaining audit records.
An audit programme shall be planned. This shall take into consideration the status and importance of the processes and areas to be audited, as well as the results of previous audits. The audit criteria, scope, frequency and methods shall be documented.
The selection of auditors and conduct of audits shall ensure objectivity and impartiality of the audit. Auditors shall not audit their own work.
Nonconformities shall be communicated, prioritized and responsibility allocated for actions. The management responsible for the area being audited shall ensure that any corrections and corrective actions are taken without undue delay to eliminate nonconformities and their causes. Follow-up activities shall include the verification of the actions taken and the reporting of results.</t>
  </si>
  <si>
    <t>04.1.1</t>
  </si>
  <si>
    <t>04</t>
  </si>
  <si>
    <t>04.1</t>
  </si>
  <si>
    <t>04.1.2</t>
  </si>
  <si>
    <t>Top management shall ensure that the service management policy:
a) is appropriate to the purpose of the service provider;
b) includes a commitment to fulfil service requirements;
c) includes a commitment to continually improve the effectiveness of the SMS and the services through the policy on continual improvement in Clause 04.5.5.1;
d) provides a framework for establishing and reviewing service management objectives;
e) is communicated and understood by the service provider's personnel;
f) is reviewed for continuing suitability.</t>
  </si>
  <si>
    <t>04.1.3</t>
  </si>
  <si>
    <t>04.1.4</t>
  </si>
  <si>
    <t>04.3.1</t>
  </si>
  <si>
    <t>04.3.2</t>
  </si>
  <si>
    <t>Documents required by the SMS shall be controlled. Records are a special type of document and shall be controlled according to the requirements given in Clause 04.3.3. A documented procedure, including the authorities and responsibilities, shall be established to define the controls needed to:
a) create and approve documents prior to issue;
b) communicate to interested parties about new or changed documents;
c) review and maintain documents as necessary;
d) ensure that changes and the current revision status of documents are identified;
e) ensure that relevant versions of applicable documents are available at points of use;
f) ensure that documents are readily identifiable and legible;
g) ensure that documents of external origin are identified and their distribution controlled;
h) prevent the unintended use of obsolete documents and apply suitable identification to them if they are retained.</t>
  </si>
  <si>
    <t>04.3.3</t>
  </si>
  <si>
    <t>04.5.1</t>
  </si>
  <si>
    <t>04.5.2</t>
  </si>
  <si>
    <t>04.5.3</t>
  </si>
  <si>
    <t>04.5.4</t>
  </si>
  <si>
    <t>04.5.5</t>
  </si>
  <si>
    <t>04.5.5.1</t>
  </si>
  <si>
    <t>04.5.5.2</t>
  </si>
  <si>
    <t>The organization shall determine the boundaries and applicability of the quality management system to establish its scope.
When determining this scope, the organization shall consider:
a) the external and internal issues referred to in 04.1;
b) the requirements of relevant interested parties referred to in 04.2;
c) the products and services of the organization.
The organization shall apply all the requirements of this International Standard if they are applicable within the determined scope of its quality management system. 
The scope of the organization’s quality management system shall be available and be maintained as documented information. The scope shall state the types of products and services covered, and provide justification for any requirement of this International Standard that the organization determines is not applicable to the scope of its quality management system. 
Conformity to this International Standard may only be claimed if the requirements determined as not being applicable do not affect the organization’s ability or responsibility to ensure the conformity of its products and services and the enhancement of customer satisfaction.</t>
  </si>
  <si>
    <t>When planning for the quality management system, the organization shall consider the issues referred to in 04.1 and the requirements referred to in 04.2 and determine the risks and opportunities that need to be addressed to:</t>
  </si>
  <si>
    <t>a) actions to address these risks and opportunities;
b) how to:
1) integrate and implement the actions into its quality management system processes (see 04.4);
2) evaluate the effectiveness of these actions.
Actions taken to address risks and opportunities shall be proportionate to the potential impact on the conformity of products and services.
NOTE 1 Options to address risks can include avoiding risk, taking risk in order to pursue an opportunity, eliminating the risk source, changing the likelihood or consequences, sharing the risk, or retaining risk by informed decision.
NOTE 2 Opportunities can lead to the adoption of new practices, launching new products, opening new markets, addressing new customers, building partnerships, using new technology and other desirable and viable possibilities to address the organization’s or its customers’ needs.</t>
  </si>
  <si>
    <t>When the organization determines the need for changes to the quality management system, the changes shall be carried out in a planned manner (see 04.4).
The organization shall consider:
a) the purpose of the changes and their potential consequences;
b) the integrity of the quality management system;
c) the availability of resources;
d) the allocation or reallocation of responsibilities and authorities.</t>
  </si>
  <si>
    <t>The organization shall plan, implement and control the processes (see 04.4) needed to meet the requirements for the provision of products and services, and to implement the actions determined in Clause 6, by:
a) determining the requirements for the products and services;
b) establishing criteria for:
1) the processes;
2) the acceptance of products and services;
c) determining the resources needed to achieve conformity to the product and service requirements;
d) implementing control of the processes in accordance with the criteria;
e) determining, maintaining and retaining documented information to the extent necessary:
1) to have confidence that the processes have been carried out as planned;
2) to demonstrate the conformity of products and services to their requirements.
The output of this planning shall be suitable for the organization’s operations.
The organization shall control planned changes and review the consequences of unintended changes, taking action to mitigate any adverse effects, as necessary.
The organization shall ensure that outsourced processes are controlled (see 8.4).</t>
  </si>
  <si>
    <t>04.2</t>
  </si>
  <si>
    <t>04.3</t>
  </si>
  <si>
    <t>04.4</t>
  </si>
  <si>
    <t>04.5</t>
  </si>
  <si>
    <t>04.4.1</t>
  </si>
  <si>
    <t>04.4.2</t>
  </si>
  <si>
    <t>04.5.4.2</t>
  </si>
  <si>
    <t>04.5.4.3</t>
  </si>
  <si>
    <t>04.5.4.1</t>
  </si>
  <si>
    <t>05</t>
  </si>
  <si>
    <t>05.1</t>
  </si>
  <si>
    <t>05.2</t>
  </si>
  <si>
    <t>05.3</t>
  </si>
  <si>
    <t>05.4</t>
  </si>
  <si>
    <t>06</t>
  </si>
  <si>
    <t>06.1</t>
  </si>
  <si>
    <t>06.2</t>
  </si>
  <si>
    <t>06.3</t>
  </si>
  <si>
    <t>06.4</t>
  </si>
  <si>
    <t>06.5</t>
  </si>
  <si>
    <t>06.6</t>
  </si>
  <si>
    <t>07</t>
  </si>
  <si>
    <t>07.1</t>
  </si>
  <si>
    <t>07.2</t>
  </si>
  <si>
    <t>07.3</t>
  </si>
  <si>
    <t>07.4</t>
  </si>
  <si>
    <t>07.5</t>
  </si>
  <si>
    <t>08</t>
  </si>
  <si>
    <t>08.1</t>
  </si>
  <si>
    <t>08.2</t>
  </si>
  <si>
    <t>08.3</t>
  </si>
  <si>
    <t>08.4</t>
  </si>
  <si>
    <t>08.5</t>
  </si>
  <si>
    <t>08.6</t>
  </si>
  <si>
    <t>08.7</t>
  </si>
  <si>
    <t>09</t>
  </si>
  <si>
    <t>09.1</t>
  </si>
  <si>
    <t>09.2</t>
  </si>
  <si>
    <t>09.3</t>
  </si>
  <si>
    <t>10</t>
  </si>
  <si>
    <t>10.1</t>
  </si>
  <si>
    <t>10.2</t>
  </si>
  <si>
    <t>10.3</t>
  </si>
  <si>
    <t>10.2.2</t>
  </si>
  <si>
    <t>05.1.1</t>
  </si>
  <si>
    <t>05.1.2</t>
  </si>
  <si>
    <t>05.2.1</t>
  </si>
  <si>
    <t>05.2.2</t>
  </si>
  <si>
    <t>06.1.1</t>
  </si>
  <si>
    <t>06.1.2</t>
  </si>
  <si>
    <t>06.2.1</t>
  </si>
  <si>
    <t>06.2.2</t>
  </si>
  <si>
    <t>06.3.1</t>
  </si>
  <si>
    <t>06.3.2</t>
  </si>
  <si>
    <t>06.3.3</t>
  </si>
  <si>
    <t>06.6.1</t>
  </si>
  <si>
    <t>06.6.3</t>
  </si>
  <si>
    <t>06.6.2</t>
  </si>
  <si>
    <t>07.1.1</t>
  </si>
  <si>
    <t>07.1.2</t>
  </si>
  <si>
    <t>07.1.3</t>
  </si>
  <si>
    <t>07.1.4</t>
  </si>
  <si>
    <t>07.1.5</t>
  </si>
  <si>
    <t>07.1.5.1</t>
  </si>
  <si>
    <t>07.1.5.2</t>
  </si>
  <si>
    <t>07.1.6</t>
  </si>
  <si>
    <t>07.5.1</t>
  </si>
  <si>
    <t>07.5.2</t>
  </si>
  <si>
    <t>07.5.3</t>
  </si>
  <si>
    <t>07.5.3.1</t>
  </si>
  <si>
    <t>07.5.3.2</t>
  </si>
  <si>
    <t>08.2.1</t>
  </si>
  <si>
    <t>08.2.2</t>
  </si>
  <si>
    <t>08.2.3</t>
  </si>
  <si>
    <t>08.2.3.1</t>
  </si>
  <si>
    <t>08.2.3.2</t>
  </si>
  <si>
    <t>08.2.4</t>
  </si>
  <si>
    <t>08.3.1</t>
  </si>
  <si>
    <t>08.3.2</t>
  </si>
  <si>
    <t>08.3.3</t>
  </si>
  <si>
    <t>08.3.4</t>
  </si>
  <si>
    <t>08.3.5</t>
  </si>
  <si>
    <t>08.3.6</t>
  </si>
  <si>
    <t>08.4.2</t>
  </si>
  <si>
    <t>08.4.3</t>
  </si>
  <si>
    <t>08.5.1</t>
  </si>
  <si>
    <t>08.5.2</t>
  </si>
  <si>
    <t>08.5.3</t>
  </si>
  <si>
    <t>08.7.1</t>
  </si>
  <si>
    <t>08.7.2</t>
  </si>
  <si>
    <t>08.5.4</t>
  </si>
  <si>
    <t>08.5.5</t>
  </si>
  <si>
    <t>08.5.6</t>
  </si>
  <si>
    <t>09.1.1</t>
  </si>
  <si>
    <t>09.1.2</t>
  </si>
  <si>
    <t>09.1.3</t>
  </si>
  <si>
    <t>09.2.1</t>
  </si>
  <si>
    <t>09.2.2</t>
  </si>
  <si>
    <t>09.3.1</t>
  </si>
  <si>
    <t>09.3.2</t>
  </si>
  <si>
    <t>09.3.3</t>
  </si>
  <si>
    <t>Finding / Explanation / Evidence</t>
  </si>
  <si>
    <t>Finding Type</t>
  </si>
  <si>
    <t xml:space="preserve">ISO Assessment for Account: </t>
  </si>
  <si>
    <r>
      <t xml:space="preserve">The service provider shall use this process for all new services and changes to services with the potential to have a major impact on services or the customer. The changes that are in the scope of Clause 5 shall be determined by the change management policy agreed as part of the change management process.
Assessment, approval, scheduling and reviewing of new or changed services in the scope of Clause 5 shall be controlled by the change management process. The CIs affected by new or changed services in the scope of Clause 5 shall be controlled by the configuration management process.
The service provider shall review outputs from the planning and design activities for new or changed services against the agreed service requirements and the relevant requirements given in Clauses 5.2 and 5.3. Based on the review, the service provider shall accept or reject the outputs. The service provider shall take necessary actions to ensure that the development and transition of the new or changed services can be performed effectively, using the accepted outputs.
</t>
    </r>
    <r>
      <rPr>
        <b/>
        <sz val="10"/>
        <color theme="1"/>
        <rFont val="Calibri"/>
        <family val="2"/>
        <scheme val="minor"/>
      </rPr>
      <t>NOTE</t>
    </r>
    <r>
      <rPr>
        <sz val="10"/>
        <color theme="1"/>
        <rFont val="Calibri"/>
        <family val="2"/>
        <scheme val="minor"/>
      </rPr>
      <t xml:space="preserve"> The need for a new service or a change to a service can originate from the customer, the service provider, an internal group or a supplier in order to satisfy business needs or to improve the effectiveness of the services.</t>
    </r>
  </si>
  <si>
    <r>
      <t xml:space="preserve">The service provider shall create, implement and maintain a service continuity plan(s) and an availability plan(s). Changes to these plans shall be controlled by the change management process. The service continuity plan(s) shall include at least:
a) procedures to be implemented in the event of a major loss of service, or reference to them;
b) availability targets when the plan is invoked;
c) recovery requirements;
d) approach for the return to normal working conditions.
The service continuity plan(s), contact lists and the CMDB shall be accessible when access to normal service locations is prevented.
The availability plan(s) shall include at least availability requirements and targets.
The service provider shall assess the impact of requests for change on the service continuity plan(s) and the availability plan(s).
</t>
    </r>
    <r>
      <rPr>
        <b/>
        <sz val="10"/>
        <color theme="1"/>
        <rFont val="Calibri"/>
        <family val="2"/>
        <scheme val="minor"/>
      </rPr>
      <t>NOTE</t>
    </r>
    <r>
      <rPr>
        <sz val="10"/>
        <color theme="1"/>
        <rFont val="Calibri"/>
        <family val="2"/>
        <scheme val="minor"/>
      </rPr>
      <t xml:space="preserve"> The service continuity plan(s) and availability plan(s) can be combined into one document.</t>
    </r>
  </si>
  <si>
    <r>
      <t xml:space="preserve">There shall be a defined interface between the budgeting and accounting for services process and other financial management processes.
There shall be policies and documented procedures for:
a) budgeting and accounting for service components including at least
      1) assets — including licences — used to provide the services,
      2) shared resources,
      3) overheads,
      4) capital and operating expenses,
      5) externally supplied services,
      6) personnel,
      7) facilities;
b) apportioning indirect costs and allocating direct costs to services, to provide an overall cost for each service;
c) effective financial control and approval.
Costs shall be budgeted to enable effective financial control and decision-making for services delivered.
The service provider shall monitor and report costs against the budget, review the financial forecasts and manage costs.
Information shall be provided to the change management process to support the costing of requests for change.
</t>
    </r>
    <r>
      <rPr>
        <b/>
        <sz val="10"/>
        <color theme="1"/>
        <rFont val="Calibri"/>
        <family val="2"/>
        <scheme val="minor"/>
      </rPr>
      <t xml:space="preserve">NOTE </t>
    </r>
    <r>
      <rPr>
        <sz val="10"/>
        <color theme="1"/>
        <rFont val="Calibri"/>
        <family val="2"/>
        <scheme val="minor"/>
      </rPr>
      <t>Many service providers charge for their services. The scope of the budgeting and accounting for services process excludes charging.</t>
    </r>
  </si>
  <si>
    <r>
      <t xml:space="preserve">The service provider may use suppliers to implement and operate some parts of the service management processes.
relationship, the contract and performance of the supplier.
The service provider and the supplier shall agree a documented contract. The contract shall contain or include a reference to:
a) scope of the services to be delivered by the supplier;
b) dependencies between services, processes and the parties;
c) requirements to be fulfilled by the supplier;
d) service targets;
e) interfaces between service management processes operated by the supplier and other parties;
f) integration of the supplier's activities within the SMS;
g) workload characteristics;
h) contract exceptions and how these will be handled;
i) authorities and responsibilities of the service provider and the supplier;
j) reporting and communication to be provided by the supplier;
k) basis for charging;
l) activities and responsibilities for the expected or early termination of the contract and the transfer of services to a different party.
The service provider shall agree with the supplier service levels to support and align with the SLAs between the service provider and the customer.
The service provider shall ensure that roles of, and relationships between, lead and sub-contracted suppliers are documented. The service provider shall verify that lead suppliers are managing their sub-contracted suppliers to fulfil contractual obligations.
The service provider shall monitor the performance of the supplier at planned intervals. The performance shall be measured against service targets and other contractual obligations. Results shall be recorded and reviewed to identify the causes of nonconformities and opportunities for improvement. The review shall also ensure that the contract reflects current requirements.
Changes to the contract shall be controlled by the change management process.
There shall be a documented procedure to manage contractual disputes between the service provider and the supplier.
</t>
    </r>
    <r>
      <rPr>
        <b/>
        <sz val="10"/>
        <color theme="1"/>
        <rFont val="Calibri"/>
        <family val="2"/>
        <scheme val="minor"/>
      </rPr>
      <t>NOTE 1</t>
    </r>
    <r>
      <rPr>
        <sz val="10"/>
        <color theme="1"/>
        <rFont val="Calibri"/>
        <family val="2"/>
        <scheme val="minor"/>
      </rPr>
      <t xml:space="preserve"> The scope of the supplier management process excludes the selection of suppliers and the procurement of services.</t>
    </r>
  </si>
  <si>
    <r>
      <t xml:space="preserve">There shall be a documented definition of each type of CI. The information recorded for each CI shall ensure effective control and include at least:
a) description of the CI;
b) relationship(s) between the CI and other CIs;
c) relationship(s) between the CI and service components;
d) status;
e) version;
f) location;
g) associated requests for change;
h) associated problems and known errors.
CIs shall be uniquely identified and recorded in a CMDB. The CMDB shall be managed to ensure its reliability and accuracy, including control of update access.
There shall be a documented procedure for recording, controlling and tracking versions of CIs. The degree of control shall maintain the integrity of services and service components taking into consideration the service requirements and the risks associated with the CIs.
The service provider shall audit the records stored in the CMDB, at planned intervals. Where deficiencies are found, the service provider shall take necessary actions and report on the actions taken.
Information from the CMDB shall be provided to the change management process, to support the assessment of requests for change.
Changes to CIs shall be traceable and auditable to ensure integrity of the CIs and the data in the CMDB.
A configuration baseline of the affected CIs shall be taken before deployment of a release into the live environment.
Master copies of CIs recorded in the CMDB shall be stored in secure physical or electronic libraries referenced by the configuration records. This shall include at least documentation, licence information, software and, where available, images of the hardware onfiguration.
There shall be a defined interface between the configuration management process and financial asset management process.
</t>
    </r>
    <r>
      <rPr>
        <b/>
        <sz val="10"/>
        <color theme="1"/>
        <rFont val="Calibri"/>
        <family val="2"/>
        <scheme val="minor"/>
      </rPr>
      <t>NOTE</t>
    </r>
    <r>
      <rPr>
        <sz val="10"/>
        <color theme="1"/>
        <rFont val="Calibri"/>
        <family val="2"/>
        <scheme val="minor"/>
      </rPr>
      <t xml:space="preserve"> The scope of the configuration management process excludes financial asset management.</t>
    </r>
  </si>
  <si>
    <r>
      <t xml:space="preserve">The organization shall determine external and internal issues that are relevant to its purpose and its strategic direction and that affect its ability to achieve the intended result(s) of its quality management system.
The organization shall monitor and review information about these external and internal issues.
</t>
    </r>
    <r>
      <rPr>
        <b/>
        <sz val="10"/>
        <color theme="1"/>
        <rFont val="Calibri"/>
        <family val="2"/>
        <scheme val="minor"/>
      </rPr>
      <t>NOTE 1</t>
    </r>
    <r>
      <rPr>
        <sz val="10"/>
        <color theme="1"/>
        <rFont val="Calibri"/>
        <family val="2"/>
        <scheme val="minor"/>
      </rPr>
      <t xml:space="preserve"> Issues can include positive and negative factors or conditions for consideration.
</t>
    </r>
    <r>
      <rPr>
        <b/>
        <sz val="10"/>
        <color theme="1"/>
        <rFont val="Calibri"/>
        <family val="2"/>
        <scheme val="minor"/>
      </rPr>
      <t>NOTE 2</t>
    </r>
    <r>
      <rPr>
        <sz val="10"/>
        <color theme="1"/>
        <rFont val="Calibri"/>
        <family val="2"/>
        <scheme val="minor"/>
      </rPr>
      <t xml:space="preserve"> Understanding the external context can be facilitated by considering issues arising from legal, technological, competitive, market, cultural, social and economic environments, whether international, national, regional or local.
</t>
    </r>
    <r>
      <rPr>
        <b/>
        <sz val="10"/>
        <color theme="1"/>
        <rFont val="Calibri"/>
        <family val="2"/>
        <scheme val="minor"/>
      </rPr>
      <t>NOTE 3</t>
    </r>
    <r>
      <rPr>
        <sz val="10"/>
        <color theme="1"/>
        <rFont val="Calibri"/>
        <family val="2"/>
        <scheme val="minor"/>
      </rPr>
      <t xml:space="preserve"> Understanding the internal context can be facilitated by considering issues related to values, culture, knowledge and performance of the organization.</t>
    </r>
  </si>
  <si>
    <r>
      <t xml:space="preserve">Top management shall demonstrate leadership and commitment with respect to the quality management system by:
a) taking accountability for the effectiveness of the quality management system;
b) ensuring that the quality policy and quality objectives are established for the quality management system and are compatible with the context and strategic direction of the organization;
c) ensuring the integration of the quality management system requirements into the organization’s business processes;
d) promoting the use of the process approach and risk-based thinking;
e) ensuring that the resources needed for the quality management system are available;
f) communicating the importance of effective quality management and of conforming to the quality management system requirements;
g) ensuring that the quality management system achieves its intended results;
h) engaging, directing and supporting persons to contribute to the effectiveness of the quality management system;
i) promoting improvement;
j) supporting other relevant management roles to demonstrate their leadership as it applies to their areas of responsibility.
</t>
    </r>
    <r>
      <rPr>
        <b/>
        <sz val="10"/>
        <color theme="1"/>
        <rFont val="Calibri"/>
        <family val="2"/>
        <scheme val="minor"/>
      </rPr>
      <t xml:space="preserve">NOTE </t>
    </r>
    <r>
      <rPr>
        <sz val="10"/>
        <color theme="1"/>
        <rFont val="Calibri"/>
        <family val="2"/>
        <scheme val="minor"/>
      </rPr>
      <t>Reference to “business” in this International Standard can be interpreted broadly to mean those activities that are core to the purposes of the organization’s existence, whether the organization is public, private, for profit or not for profit.</t>
    </r>
  </si>
  <si>
    <r>
      <t xml:space="preserve">The organization shall determine, provide and maintain the infrastructure necessary for the operation of its processes and to achieve conformity of products and services.
</t>
    </r>
    <r>
      <rPr>
        <b/>
        <sz val="10"/>
        <color theme="1"/>
        <rFont val="Calibri"/>
        <family val="2"/>
        <scheme val="minor"/>
      </rPr>
      <t>NOTE</t>
    </r>
    <r>
      <rPr>
        <sz val="10"/>
        <color theme="1"/>
        <rFont val="Calibri"/>
        <family val="2"/>
        <scheme val="minor"/>
      </rPr>
      <t xml:space="preserve"> Infrastructure can include:
a) buildings and associated utilities;
b) equipment, including hardware and software;
c) transportation resources;
d) information and communication technology.</t>
    </r>
  </si>
  <si>
    <r>
      <t xml:space="preserve">The organization shall determine, provide and maintain the environment necessary for the operation of its processes and to achieve conformity of products and services.
</t>
    </r>
    <r>
      <rPr>
        <b/>
        <sz val="10"/>
        <color theme="1"/>
        <rFont val="Calibri"/>
        <family val="2"/>
        <scheme val="minor"/>
      </rPr>
      <t>NOTE</t>
    </r>
    <r>
      <rPr>
        <sz val="10"/>
        <color theme="1"/>
        <rFont val="Calibri"/>
        <family val="2"/>
        <scheme val="minor"/>
      </rPr>
      <t xml:space="preserve"> A suitable environment can be a combination of human and physical factors, such as:
a) social (e.g. non-discriminatory, calm, non-confrontational);
b) psychological (e.g. stress-reducing, burnout prevention, emotionally protective);
c) physical (e.g. temperature, heat, humidity, light, airflow, hygiene, noise).
These factors can differ substantially depending on the products and services provided.</t>
    </r>
  </si>
  <si>
    <r>
      <t xml:space="preserve">The organization shall determine the knowledge necessary for the operation of its processes and to achieve conformity of products and services.
This knowledge shall be maintained and be made available to the extent necessary.
When addressing changing needs and trends, the organization shall consider its current knowledge and determine how to acquire or access any necessary additional knowledge and required updates.
</t>
    </r>
    <r>
      <rPr>
        <b/>
        <sz val="10"/>
        <color theme="1"/>
        <rFont val="Calibri"/>
        <family val="2"/>
        <scheme val="minor"/>
      </rPr>
      <t xml:space="preserve">NOTE 1 </t>
    </r>
    <r>
      <rPr>
        <sz val="10"/>
        <color theme="1"/>
        <rFont val="Calibri"/>
        <family val="2"/>
        <scheme val="minor"/>
      </rPr>
      <t xml:space="preserve">Organizational knowledge is knowledge specific to the organization; it is generally gained by experience. It is information that is used and shared to achieve the organization’s objectives.
</t>
    </r>
    <r>
      <rPr>
        <b/>
        <sz val="10"/>
        <color theme="1"/>
        <rFont val="Calibri"/>
        <family val="2"/>
        <scheme val="minor"/>
      </rPr>
      <t>NOTE 2</t>
    </r>
    <r>
      <rPr>
        <sz val="10"/>
        <color theme="1"/>
        <rFont val="Calibri"/>
        <family val="2"/>
        <scheme val="minor"/>
      </rPr>
      <t xml:space="preserve"> Organizational knowledge can be based on:
a) internal sources (e.g. intellectual property; knowledge gained from experience; lessons learned from
failures and successful projects; capturing and sharing undocumented knowledge and experience; the results of improvements in processes, products and services);
b) external s ources (e.g. standards; academia; conferences; gathering knowledge from customers or external providers).</t>
    </r>
  </si>
  <si>
    <r>
      <t xml:space="preserve">The organization shall:
a) determine the necessary competence of person(s) doing work under its control that affects the performance and effectiveness of the quality management system;
b) ensure that these persons are competent on the basis of appropriate education, training, or experience;
c) where applicable, take actions to acquire the necessary competence, and evaluate the effectiveness of the actions taken; 
d) retain appropriate documented information as evidence of competence.
</t>
    </r>
    <r>
      <rPr>
        <b/>
        <sz val="10"/>
        <color theme="1"/>
        <rFont val="Calibri"/>
        <family val="2"/>
        <scheme val="minor"/>
      </rPr>
      <t>NOTE</t>
    </r>
    <r>
      <rPr>
        <sz val="10"/>
        <color theme="1"/>
        <rFont val="Calibri"/>
        <family val="2"/>
        <scheme val="minor"/>
      </rPr>
      <t xml:space="preserve"> Applicable actions can include, for example, the provision of training to, the mentoring of, or the reassignment of currently employed persons; or the hiring or contracting of competent persons.</t>
    </r>
  </si>
  <si>
    <r>
      <t xml:space="preserve">The organization’s quality management system shall include:
a) documented information required by this International Standard;
b) documented information determined by the organization as being necessary for the effectiveness of the quality management system.
</t>
    </r>
    <r>
      <rPr>
        <b/>
        <sz val="10"/>
        <color theme="1"/>
        <rFont val="Calibri"/>
        <family val="2"/>
        <scheme val="minor"/>
      </rPr>
      <t>NOTE</t>
    </r>
    <r>
      <rPr>
        <sz val="10"/>
        <color theme="1"/>
        <rFont val="Calibri"/>
        <family val="2"/>
        <scheme val="minor"/>
      </rPr>
      <t xml:space="preserve"> The extent of documented information for a quality management system can differ from one organization to another due to:
— the size of organization and its type of activities, processes, products and services;
— the complexity of processes and their interactions;
— the competence of persons.</t>
    </r>
  </si>
  <si>
    <r>
      <t xml:space="preserve">a) distribution, access, retrieval and use;
b) storage and preservation, including preservation of legibility;
c) control of changes (e.g. version control);
d) retention and disposition.
Documented information of external origin determined by the organization to be necessary for the planning and operation of the quality management system shall be identified as appropriate, and be controlled.
Documented information retained as evidence of conformity shall be protected from unintended alterations.
</t>
    </r>
    <r>
      <rPr>
        <b/>
        <sz val="10"/>
        <color theme="1"/>
        <rFont val="Calibri"/>
        <family val="2"/>
        <scheme val="minor"/>
      </rPr>
      <t>NOTE</t>
    </r>
    <r>
      <rPr>
        <sz val="10"/>
        <color theme="1"/>
        <rFont val="Calibri"/>
        <family val="2"/>
        <scheme val="minor"/>
      </rPr>
      <t xml:space="preserve"> Access can imply a decision regarding the permission to view the documented information only, or the permission and authority to view and change the documented information.</t>
    </r>
  </si>
  <si>
    <r>
      <t xml:space="preserve">a) requirements specified by the customer, including the requirements for delivery and postdelivery activities;
b) requirements not stated by the customer, but necessary for the specified or intended use, when known;
c) requirements specified by the organization;
d) statutory and regulatory requirements applicable to the products and services;
e) contract or order requirements differing from those previously expressed.
The organization shall ensure that contract or order requirements differing from those previously defined are resolved.
The customer’s requirements shall be confirmed by the organization before acceptance, when the customer does not provide a documented statement of their requirements.
</t>
    </r>
    <r>
      <rPr>
        <b/>
        <sz val="10"/>
        <color theme="1"/>
        <rFont val="Calibri"/>
        <family val="2"/>
        <scheme val="minor"/>
      </rPr>
      <t>NOTE</t>
    </r>
    <r>
      <rPr>
        <sz val="10"/>
        <color theme="1"/>
        <rFont val="Calibri"/>
        <family val="2"/>
        <scheme val="minor"/>
      </rPr>
      <t xml:space="preserve"> In some situations, such as internet sales, a formal review is impractical for each order. Instead, the review can cover relevant product information, such as catalogues.</t>
    </r>
  </si>
  <si>
    <r>
      <t xml:space="preserve">The organization shall apply controls to the design and development process to ensure that:
a) the results to be achieved are defined;
b) reviews are conducted to evaluate the ability of the results of design and development to meet requirements;
c) verification activities are conducted to ensure that the design and development outputs meet the input requirements;
d) validation activities are conducted to ensure that the resulting products and services meet the requirements for the specified application or intended use;
e) any necessary actions are taken on problems determined during the reviews, or verification and validation activities;
f) documented information of these activities is retained.
</t>
    </r>
    <r>
      <rPr>
        <b/>
        <sz val="10"/>
        <color theme="1"/>
        <rFont val="Calibri"/>
        <family val="2"/>
        <scheme val="minor"/>
      </rPr>
      <t>NOTE</t>
    </r>
    <r>
      <rPr>
        <sz val="10"/>
        <color theme="1"/>
        <rFont val="Calibri"/>
        <family val="2"/>
        <scheme val="minor"/>
      </rPr>
      <t xml:space="preserve"> Design and development reviews, verification and validation have distinct purposes. They can be conducted separately or in any combination, as is suitable for the products and services of the organization.</t>
    </r>
  </si>
  <si>
    <r>
      <t xml:space="preserve">it is under the organization’s control or being used by the organization.
The organization shall identify, verify, protect and safeguard customers’ or external providers’ property
provided for use or incorporation into the products and services.
When the property of a customer or external provider is lost, damaged or otherwise found to be unsuitable for use, the organization shall report this to the customer or external provider and retain documented information on what has occurred.
</t>
    </r>
    <r>
      <rPr>
        <b/>
        <sz val="10"/>
        <color theme="1"/>
        <rFont val="Calibri"/>
        <family val="2"/>
        <scheme val="minor"/>
      </rPr>
      <t>NOTE</t>
    </r>
    <r>
      <rPr>
        <sz val="10"/>
        <color theme="1"/>
        <rFont val="Calibri"/>
        <family val="2"/>
        <scheme val="minor"/>
      </rPr>
      <t xml:space="preserve"> A customer’s or external provider’s property can include materials, components, tools and equipment, premises, intellectual property and personal data.</t>
    </r>
  </si>
  <si>
    <r>
      <t xml:space="preserve">The organization shall preserve the outputs during production and service provision, to the extent necessary to ensure conformity to requirements.
</t>
    </r>
    <r>
      <rPr>
        <b/>
        <sz val="10"/>
        <color theme="1"/>
        <rFont val="Calibri"/>
        <family val="2"/>
        <scheme val="minor"/>
      </rPr>
      <t>NOTE</t>
    </r>
    <r>
      <rPr>
        <sz val="10"/>
        <color theme="1"/>
        <rFont val="Calibri"/>
        <family val="2"/>
        <scheme val="minor"/>
      </rPr>
      <t xml:space="preserve"> Preservation can include identification, handling, contamination control, packaging, storage, transmission or transportation, and protection.</t>
    </r>
  </si>
  <si>
    <r>
      <t xml:space="preserve">The organization shall meet requirements for post-delivery activities associated with the products and services.
In determining the extent of post-delivery activities that are required, the organization shall consider:
a) statutory and regulatory requirements;
b) the potential undesired consequences associated with its products and services;
c) the nature, use and intended lifetime of its products and services;
d) customer requirements;
e) customer feedback.
</t>
    </r>
    <r>
      <rPr>
        <b/>
        <sz val="10"/>
        <color theme="1"/>
        <rFont val="Calibri"/>
        <family val="2"/>
        <scheme val="minor"/>
      </rPr>
      <t>NOTE</t>
    </r>
    <r>
      <rPr>
        <sz val="10"/>
        <color theme="1"/>
        <rFont val="Calibri"/>
        <family val="2"/>
        <scheme val="minor"/>
      </rPr>
      <t xml:space="preserve"> Post-delivery activities can include actions under warranty provisions, contractual obligations such as maintenance services, and supplementary services such as recycling or final disposal.</t>
    </r>
  </si>
  <si>
    <r>
      <t xml:space="preserve">The organization shall monitor customers’ perceptions of the degree to which their needs and expectations have been fulfilled. The organization shall determine the methods for obtaining, monitoring and reviewing this information.
</t>
    </r>
    <r>
      <rPr>
        <b/>
        <sz val="10"/>
        <color theme="1"/>
        <rFont val="Calibri"/>
        <family val="2"/>
        <scheme val="minor"/>
      </rPr>
      <t>NOTE</t>
    </r>
    <r>
      <rPr>
        <sz val="10"/>
        <color theme="1"/>
        <rFont val="Calibri"/>
        <family val="2"/>
        <scheme val="minor"/>
      </rPr>
      <t xml:space="preserve"> Examples of monitoring customer perceptions can include customer surveys, customer feedback on delivered products and services, meetings with customers, market-share  analysis, compliments, warranty claims and dealer reports.</t>
    </r>
  </si>
  <si>
    <r>
      <t xml:space="preserve">The organization shall analyse and evaluate appropriate data and information arising from monitoring and measurement.
The results of analysis shall be used to evaluate:
a) conformity of products and services;
b) the degree of customer satisfaction;
c) the performance and effectiveness of the quality management system;
d) if planning has been implemented effectively;
e) the effectiveness of actions taken to address risks and opportunities;
f) the performance of external providers;
g) the need for improvements to the quality management system.
</t>
    </r>
    <r>
      <rPr>
        <b/>
        <sz val="10"/>
        <color theme="1"/>
        <rFont val="Calibri"/>
        <family val="2"/>
        <scheme val="minor"/>
      </rPr>
      <t xml:space="preserve">NOTE </t>
    </r>
    <r>
      <rPr>
        <sz val="10"/>
        <color theme="1"/>
        <rFont val="Calibri"/>
        <family val="2"/>
        <scheme val="minor"/>
      </rPr>
      <t>Methods to analyse data can include statistical techniques.</t>
    </r>
  </si>
  <si>
    <r>
      <t xml:space="preserve">The organization shall determine and select opportunities for improvement and implement any necessary actions to meet customer requirements and enhance customer satisfaction.
These shall include:
a) improving products and services to meet requirements as well as to address future needs and expectations;
b) correcting, preventing or reducing undesired effects;
c) improving the performance and effectiveness of the quality management system.
</t>
    </r>
    <r>
      <rPr>
        <b/>
        <sz val="10"/>
        <color theme="1"/>
        <rFont val="Calibri"/>
        <family val="2"/>
        <scheme val="minor"/>
      </rPr>
      <t>NOTE</t>
    </r>
    <r>
      <rPr>
        <sz val="10"/>
        <color theme="1"/>
        <rFont val="Calibri"/>
        <family val="2"/>
        <scheme val="minor"/>
      </rPr>
      <t xml:space="preserve"> Examples of improvement can include correction, corrective action, continual improvement, breakthrough change, innovation and re-organization.</t>
    </r>
  </si>
  <si>
    <t>Cross Reference 20k vs 9k</t>
  </si>
  <si>
    <r>
      <t xml:space="preserve">The service provider shall establish and maintain documents, including records, to ensure effective planning, operation and control of the SMS. These documents shall include:
a) documented policy and objectives for service management;
b) documented service management plan;
c) documented policies and plans created for specific processes as required by this part of ISO/IEC 20000;
</t>
    </r>
    <r>
      <rPr>
        <sz val="10"/>
        <rFont val="Calibri"/>
        <family val="2"/>
        <scheme val="minor"/>
      </rPr>
      <t>d) documented catalogue of services;</t>
    </r>
    <r>
      <rPr>
        <sz val="10"/>
        <color theme="1"/>
        <rFont val="Calibri"/>
        <family val="2"/>
        <scheme val="minor"/>
      </rPr>
      <t xml:space="preserve">
e) documented SLAs;
f) documented service management processes;
g) documented procedures and records required by this part of ISO/IEC 20000;
h) additional documents, including those of external origin, determined by the service provider as necessary to ensure effective operation of the SMS and delivery of the services.</t>
    </r>
  </si>
  <si>
    <t>08.4.1</t>
  </si>
  <si>
    <t>The organization shall ensure that externally provided processes, products and services conform to requirements.
The organization shall determine the controls to be applied to externally provided processes, products and services when:
a) products and services from external providers are intended for incorporation into the organization’s own products and services;
b) products and services are provided directly to the customer(s) by external providers on behalf of the organization;
c) a process, or part of a process, is provided by an external provider as a result of a decision by the organization.
The organization shall determine and apply criteria for the evaluation, selection, monitoring of performance, and re-evaluation of external providers, based on their ability to provide processes or products and services in accordance with requirements. The organization shall retain documented information of these activities and any necessary actions arising from the evaluations.</t>
  </si>
  <si>
    <t>Scores</t>
  </si>
  <si>
    <t>Weak</t>
  </si>
  <si>
    <t>Satisfactory</t>
  </si>
  <si>
    <t>Good</t>
  </si>
  <si>
    <t>Better</t>
  </si>
  <si>
    <t>Independent Review</t>
  </si>
  <si>
    <t>01. Service Delivery &amp; Operational Mgmt</t>
  </si>
  <si>
    <t>Action Description</t>
  </si>
  <si>
    <t>Finding Description / Evidence</t>
  </si>
  <si>
    <t>No Formal Approach</t>
  </si>
  <si>
    <t>Reactive</t>
  </si>
  <si>
    <t>Proactive</t>
  </si>
  <si>
    <t>Improving</t>
  </si>
  <si>
    <r>
      <t xml:space="preserve">Suggested 
</t>
    </r>
    <r>
      <rPr>
        <b/>
        <sz val="11"/>
        <color theme="1"/>
        <rFont val="Calibri"/>
        <family val="2"/>
        <scheme val="minor"/>
      </rPr>
      <t>Practices</t>
    </r>
    <r>
      <rPr>
        <b/>
        <sz val="10"/>
        <color theme="1"/>
        <rFont val="Calibri"/>
        <family val="2"/>
        <scheme val="minor"/>
      </rPr>
      <t xml:space="preserve"> to Look For</t>
    </r>
  </si>
  <si>
    <r>
      <t xml:space="preserve">Suggested 
</t>
    </r>
    <r>
      <rPr>
        <b/>
        <sz val="11"/>
        <color theme="1"/>
        <rFont val="Calibri"/>
        <family val="2"/>
        <scheme val="minor"/>
      </rPr>
      <t>Artefacts</t>
    </r>
    <r>
      <rPr>
        <b/>
        <sz val="10"/>
        <color theme="1"/>
        <rFont val="Calibri"/>
        <family val="2"/>
        <scheme val="minor"/>
      </rPr>
      <t xml:space="preserve"> to Look For</t>
    </r>
  </si>
  <si>
    <t>How are QPM Activities done? Through
1. Governance
2. Service Improvements
3. Automations</t>
  </si>
  <si>
    <t>Relevant A3</t>
  </si>
  <si>
    <t>n/a</t>
  </si>
  <si>
    <t>02. Contract SLA / KPI Mgmt</t>
  </si>
  <si>
    <t>03. Risk Mgmt</t>
  </si>
  <si>
    <t>04. Configuration Mgmt</t>
  </si>
  <si>
    <t>01. Service Delivery &amp; Operation Mgmt</t>
  </si>
  <si>
    <t>How are Resources Onboarded / Offboarded?</t>
  </si>
  <si>
    <t>1.Risk Acceptance document / email from Customer</t>
  </si>
  <si>
    <t>Analysis</t>
  </si>
  <si>
    <t>Stakeholder Management</t>
  </si>
  <si>
    <t>Audits and Reviews</t>
  </si>
  <si>
    <t>Supporting process</t>
  </si>
  <si>
    <t>Person filling in this checklist:</t>
  </si>
  <si>
    <t>1. Skill Matrix
2. My Learning</t>
  </si>
  <si>
    <t>e.g. Account Name</t>
  </si>
  <si>
    <t>Is there a signed off Service Governance Plan (SGP) in place?</t>
  </si>
  <si>
    <t xml:space="preserve"> - OTACE Feedback for last 2 years and Action Plan (based on feedback) identified for OTACE Improvement
 - Compliant tracker to track customer/SDM escalations
 - Shift handover checklist for last 2 weeks
 - Internal Quality Audit Report with current status of Corrective Action
 - Meeting MOMs / White boards/ VVM Board
 - Tracking of issues in Issue Log
 - Configuration Status Accounting  / Configuration Audit tracking
- Risk Tracking
- Senior Manager's Internal Management review deck and MOMs
- Quarterly / Steering Committee review &amp; MOMs -  Reviews between Customer and Service Providers to discuss performance and any changes to scope of service, SLA, Contract or the Business needs. Check for any change/amendments  in contract adhered Contract change management process.</t>
  </si>
  <si>
    <t>Effectiveness of  Risk Mitigation</t>
  </si>
  <si>
    <t>Tool Usage and Traceability</t>
  </si>
  <si>
    <t>No formal Approach</t>
  </si>
  <si>
    <t>CAT Score</t>
  </si>
  <si>
    <t>Responsible Person(s)</t>
  </si>
  <si>
    <t>Non-Weighted Score</t>
  </si>
  <si>
    <t>Audit Target Name:</t>
  </si>
  <si>
    <t>Not Applicable</t>
  </si>
  <si>
    <r>
      <rPr>
        <b/>
        <i/>
        <sz val="12"/>
        <rFont val="Calibri"/>
        <family val="2"/>
        <scheme val="minor"/>
      </rPr>
      <t>Maturity</t>
    </r>
    <r>
      <rPr>
        <i/>
        <sz val="12"/>
        <rFont val="Calibri"/>
        <family val="2"/>
        <scheme val="minor"/>
      </rPr>
      <t xml:space="preserve">
Maturity will reflect how well the Account is performing against a standard and consistent level of criteria. These criteria reflect maturity of the operational processes deployed and utilised across the account.</t>
    </r>
  </si>
  <si>
    <t>4. If the self-assessment has taken place, for cases when the Auditor does not agree with the scoring, Auditee and Auditor to discuss and agree on score and/or what the Action(s) required and Planned Closure Date(s) to attain required score.</t>
  </si>
  <si>
    <t>2. If the self-assessment has taken place, Auditee(s) also to enter Evidence when scores are 7 &lt;-&gt; 15</t>
  </si>
  <si>
    <t>It is expected that GAMS will be used for scheduling the audit, upload of this report / evidence, entering of findings and tracking of all actions.</t>
  </si>
  <si>
    <t xml:space="preserve">v0.1 </t>
  </si>
  <si>
    <t>5th June 2018</t>
  </si>
  <si>
    <t>Neil Walters</t>
  </si>
  <si>
    <t>CIS Audit Capability Lead</t>
  </si>
  <si>
    <t>Initial version for review</t>
  </si>
  <si>
    <t>Instructions</t>
  </si>
  <si>
    <t>CSA STAR Guidance</t>
  </si>
  <si>
    <t>Reporting</t>
  </si>
  <si>
    <t>Reference Information</t>
  </si>
  <si>
    <t>Scoring</t>
  </si>
  <si>
    <t>ISO Standards / Clauses</t>
  </si>
  <si>
    <t>Mapping</t>
  </si>
  <si>
    <t>Specific Practice</t>
  </si>
  <si>
    <t>Specific Practice + Roles and Responsibility Defined</t>
  </si>
  <si>
    <t>Specific Practice + Governance Model+ SGP + As per organisation standard</t>
  </si>
  <si>
    <t>Specific Practice +Configuration Management</t>
  </si>
  <si>
    <t>Specific Practice +Internal Audit + Review + KEDB</t>
  </si>
  <si>
    <t>Specific Practice +Skill Assessment &amp; Training Management</t>
  </si>
  <si>
    <t>Specific Practice +BCP</t>
  </si>
  <si>
    <t>Specific Practice +Risk Management</t>
  </si>
  <si>
    <t>Specific Practice +QPM+ Status Reporting + Lean Initiatives</t>
  </si>
  <si>
    <t>Optimising</t>
  </si>
  <si>
    <t>Specific Practice + Continual Improvement+ Vision BO QPPO</t>
  </si>
  <si>
    <t>Specific Practice + External Organisational Awards and Accolades</t>
  </si>
  <si>
    <r>
      <t xml:space="preserve">There is </t>
    </r>
    <r>
      <rPr>
        <b/>
        <sz val="9"/>
        <rFont val="Verdana"/>
        <family val="2"/>
      </rPr>
      <t>some evidence</t>
    </r>
    <r>
      <rPr>
        <sz val="9"/>
        <rFont val="Verdana"/>
        <family val="2"/>
      </rPr>
      <t xml:space="preserve"> of either a documented system or an accepted way of working in place  for the requirement Process Area</t>
    </r>
  </si>
  <si>
    <r>
      <t>There is some evidence of  an</t>
    </r>
    <r>
      <rPr>
        <b/>
        <sz val="9"/>
        <rFont val="Verdana"/>
        <family val="2"/>
      </rPr>
      <t xml:space="preserve"> accepted way of working</t>
    </r>
    <r>
      <rPr>
        <sz val="9"/>
        <rFont val="Verdana"/>
        <family val="2"/>
      </rPr>
      <t xml:space="preserve"> that is broadly understood and followed for the Required Process Area</t>
    </r>
  </si>
  <si>
    <r>
      <t xml:space="preserve">There is some evidence of  a system in place to cover </t>
    </r>
    <r>
      <rPr>
        <b/>
        <sz val="9"/>
        <rFont val="Verdana"/>
        <family val="2"/>
      </rPr>
      <t>key operation in the required Process Area</t>
    </r>
    <r>
      <rPr>
        <sz val="9"/>
        <rFont val="Verdana"/>
        <family val="2"/>
      </rPr>
      <t>. Where required a system is documented</t>
    </r>
  </si>
  <si>
    <r>
      <t xml:space="preserve">There is clearly </t>
    </r>
    <r>
      <rPr>
        <b/>
        <sz val="9"/>
        <rFont val="Verdana"/>
        <family val="2"/>
      </rPr>
      <t>identified owner</t>
    </r>
    <r>
      <rPr>
        <sz val="9"/>
        <rFont val="Verdana"/>
        <family val="2"/>
      </rPr>
      <t xml:space="preserve"> for required Process Area who understands his/her scope of responsibility</t>
    </r>
  </si>
  <si>
    <r>
      <t xml:space="preserve">There is evidence that the system management of the required Process area  is  </t>
    </r>
    <r>
      <rPr>
        <b/>
        <sz val="9"/>
        <rFont val="Verdana"/>
        <family val="2"/>
      </rPr>
      <t>understood and routinely followed</t>
    </r>
  </si>
  <si>
    <r>
      <t xml:space="preserve">There is evidence a </t>
    </r>
    <r>
      <rPr>
        <b/>
        <sz val="9"/>
        <rFont val="Verdana"/>
        <family val="2"/>
      </rPr>
      <t>robust system is in place</t>
    </r>
    <r>
      <rPr>
        <sz val="9"/>
        <rFont val="Verdana"/>
        <family val="2"/>
      </rPr>
      <t xml:space="preserve"> that covers all routine operation in the required Process Area</t>
    </r>
  </si>
  <si>
    <r>
      <t xml:space="preserve">There is evidence  that the System Management of the required Process Area is </t>
    </r>
    <r>
      <rPr>
        <b/>
        <sz val="9"/>
        <rFont val="Verdana"/>
        <family val="2"/>
      </rPr>
      <t>actively monitored and measured and action evaluated based on evidence</t>
    </r>
    <r>
      <rPr>
        <sz val="9"/>
        <rFont val="Verdana"/>
        <family val="2"/>
      </rPr>
      <t xml:space="preserve"> .</t>
    </r>
  </si>
  <si>
    <r>
      <rPr>
        <b/>
        <i/>
        <sz val="12"/>
        <rFont val="Calibri"/>
        <family val="2"/>
        <scheme val="minor"/>
      </rPr>
      <t>Index</t>
    </r>
    <r>
      <rPr>
        <i/>
        <sz val="12"/>
        <rFont val="Calibri"/>
        <family val="2"/>
        <scheme val="minor"/>
      </rPr>
      <t xml:space="preserve">
Based on Cloud Security Alliance (CSA) Security, Trust &amp; Assurance Registry (STAR) - viz "CSA STAR" methodology.
</t>
    </r>
    <r>
      <rPr>
        <i/>
        <sz val="12"/>
        <color rgb="FF0000FF"/>
        <rFont val="Calibri"/>
        <family val="2"/>
        <scheme val="minor"/>
      </rPr>
      <t>** See Worksheet "CSA STAR - Guidance" for more detailed information. **</t>
    </r>
    <r>
      <rPr>
        <i/>
        <sz val="12"/>
        <rFont val="Calibri"/>
        <family val="2"/>
        <scheme val="minor"/>
      </rPr>
      <t xml:space="preserve">
It will be a business decision what is the target index for a particular account. For example, perhaps Top Management may decide that Strategic accounts should aim higher than transactional accounts. 
It can take a significant amount of time to advance from one level to the next. 
It will also most likely require investment (resources, tools, additional reviews &amp; oversight etc.) to advance to a higher level so again the business case and decision is needed.</t>
    </r>
  </si>
  <si>
    <t>Based on, Cloud Security Alliance (CSA) Security, Trust &amp; Assurance Registry (STAR) - viz "CSA STAR" methodology.</t>
  </si>
  <si>
    <r>
      <t xml:space="preserve">There is </t>
    </r>
    <r>
      <rPr>
        <b/>
        <sz val="9"/>
        <rFont val="Verdana"/>
        <family val="2"/>
      </rPr>
      <t>no evidence</t>
    </r>
    <r>
      <rPr>
        <sz val="9"/>
        <rFont val="Verdana"/>
        <family val="2"/>
      </rPr>
      <t xml:space="preserve"> of a system in place to manage the required Process Area</t>
    </r>
  </si>
  <si>
    <r>
      <t xml:space="preserve">There is evidence that </t>
    </r>
    <r>
      <rPr>
        <b/>
        <sz val="9"/>
        <rFont val="Verdana"/>
        <family val="2"/>
      </rPr>
      <t>critical people operating</t>
    </r>
    <r>
      <rPr>
        <sz val="9"/>
        <rFont val="Verdana"/>
        <family val="2"/>
      </rPr>
      <t xml:space="preserve"> in the required Process Area are properly </t>
    </r>
    <r>
      <rPr>
        <b/>
        <sz val="9"/>
        <rFont val="Verdana"/>
        <family val="2"/>
      </rPr>
      <t xml:space="preserve">trained /skilled </t>
    </r>
    <r>
      <rPr>
        <sz val="9"/>
        <rFont val="Verdana"/>
        <family val="2"/>
      </rPr>
      <t>to manage routine operation in the System.</t>
    </r>
  </si>
  <si>
    <r>
      <t xml:space="preserve">There is evidence the system for managing the required Process Area is capable of managing </t>
    </r>
    <r>
      <rPr>
        <b/>
        <sz val="9"/>
        <rFont val="Verdana"/>
        <family val="2"/>
      </rPr>
      <t>contingency events</t>
    </r>
    <r>
      <rPr>
        <sz val="9"/>
        <rFont val="Verdana"/>
        <family val="2"/>
      </rPr>
      <t xml:space="preserve"> and routine activities .</t>
    </r>
  </si>
  <si>
    <r>
      <t xml:space="preserve">Inputs from a variety of sources is considered to decide how to </t>
    </r>
    <r>
      <rPr>
        <b/>
        <sz val="9"/>
        <rFont val="Verdana"/>
        <family val="2"/>
      </rPr>
      <t>manage Risk</t>
    </r>
    <r>
      <rPr>
        <sz val="9"/>
        <rFont val="Verdana"/>
        <family val="2"/>
      </rPr>
      <t xml:space="preserve"> and</t>
    </r>
    <r>
      <rPr>
        <b/>
        <sz val="9"/>
        <rFont val="Verdana"/>
        <family val="2"/>
      </rPr>
      <t xml:space="preserve"> improve</t>
    </r>
    <r>
      <rPr>
        <sz val="9"/>
        <rFont val="Verdana"/>
        <family val="2"/>
      </rPr>
      <t xml:space="preserve"> operations in this required Process Area</t>
    </r>
  </si>
  <si>
    <r>
      <t xml:space="preserve">There is evidence that inputs from a range of </t>
    </r>
    <r>
      <rPr>
        <b/>
        <sz val="9"/>
        <rFont val="Verdana"/>
        <family val="2"/>
      </rPr>
      <t>stakeholders</t>
    </r>
    <r>
      <rPr>
        <sz val="9"/>
        <rFont val="Verdana"/>
        <family val="2"/>
      </rPr>
      <t xml:space="preserve"> and </t>
    </r>
    <r>
      <rPr>
        <b/>
        <sz val="9"/>
        <rFont val="Verdana"/>
        <family val="2"/>
      </rPr>
      <t>monitoring measurement system</t>
    </r>
    <r>
      <rPr>
        <sz val="9"/>
        <rFont val="Verdana"/>
        <family val="2"/>
      </rPr>
      <t xml:space="preserve"> has been taken into account when improving operations in the required Process Area.</t>
    </r>
  </si>
  <si>
    <r>
      <t xml:space="preserve">The Required Process Area can demonstrate that they </t>
    </r>
    <r>
      <rPr>
        <b/>
        <sz val="9"/>
        <rFont val="Verdana"/>
        <family val="2"/>
      </rPr>
      <t xml:space="preserve">actively review the best practice from their industry across their organisation </t>
    </r>
    <r>
      <rPr>
        <sz val="9"/>
        <rFont val="Verdana"/>
        <family val="2"/>
      </rPr>
      <t>and apply it to the Processes in the Tower</t>
    </r>
  </si>
  <si>
    <t>The Process owner actively share best practice to support development in other areas of the organisation based on their experience in the Process Area</t>
  </si>
  <si>
    <t>Specific Practice + institutionalise of Organisation Change + Organisational Awards and Accolades</t>
  </si>
  <si>
    <r>
      <t xml:space="preserve">Changes in the  Process Area and techniques are </t>
    </r>
    <r>
      <rPr>
        <b/>
        <sz val="9"/>
        <rFont val="Verdana"/>
        <family val="2"/>
      </rPr>
      <t>actively evaluated against the strategic objectives of the organisation</t>
    </r>
  </si>
  <si>
    <t>A Big Important Account</t>
  </si>
  <si>
    <t>A999999</t>
  </si>
  <si>
    <t>ODM</t>
  </si>
  <si>
    <t>Weighted Score</t>
  </si>
  <si>
    <t>Weighted Scores</t>
  </si>
  <si>
    <t>Non-Weighted Scores</t>
  </si>
  <si>
    <t>v0.2</t>
  </si>
  <si>
    <t>6th June 2018</t>
  </si>
  <si>
    <t>Provision for 10 towers and general improvements</t>
  </si>
  <si>
    <t>v1.0</t>
  </si>
  <si>
    <t>CONTROL PANEL - Operational Maturity Model Index (OMMi)</t>
  </si>
  <si>
    <t>OMMi - Operational Maturity Model Index</t>
  </si>
  <si>
    <t>OMMi is a model that determines an index between 1 and 5 as to the Operational Maturity of an Account.</t>
  </si>
  <si>
    <t>OMMi Category</t>
  </si>
  <si>
    <t>OMMi Level</t>
  </si>
  <si>
    <t>Operational Maturity Model Index (OMMi)</t>
  </si>
  <si>
    <t>13th Sept 2018</t>
  </si>
  <si>
    <t>13th September 2018</t>
  </si>
  <si>
    <t>Change of name to OMMi from OMAi and made prod version (i.e. v1.0)</t>
  </si>
  <si>
    <t>DEx Auditors</t>
  </si>
  <si>
    <t>Various</t>
  </si>
  <si>
    <t>Firooz Olandj</t>
  </si>
  <si>
    <t>OMMi Levels</t>
  </si>
  <si>
    <t>v1.1</t>
  </si>
  <si>
    <t>Link to</t>
  </si>
  <si>
    <t xml:space="preserve">Link to </t>
  </si>
  <si>
    <t>Subject 3</t>
  </si>
  <si>
    <t>Subject 4</t>
  </si>
  <si>
    <t>Subject 5</t>
  </si>
  <si>
    <t>Subject 6</t>
  </si>
  <si>
    <t>Subject 7</t>
  </si>
  <si>
    <t xml:space="preserve">Subject 8 </t>
  </si>
  <si>
    <t>Subject 9</t>
  </si>
  <si>
    <t>Subject 10</t>
  </si>
  <si>
    <t>Subject 11</t>
  </si>
  <si>
    <t>Subject 12</t>
  </si>
  <si>
    <t>Subject 13</t>
  </si>
  <si>
    <t>Subject 14</t>
  </si>
  <si>
    <t>Subject 15</t>
  </si>
  <si>
    <t>How is SLA Management done?</t>
  </si>
  <si>
    <t>How is monitoring and Tracking of KPIs done?</t>
  </si>
  <si>
    <t>How are Risk Reviews done?</t>
  </si>
  <si>
    <t>How are KPIs measured and Configuration Mgmt Audit findings / actions tracked to closure?</t>
  </si>
  <si>
    <t>How is Continual Improvement done on Governance?</t>
  </si>
  <si>
    <t>How are Continual Improvements done?</t>
  </si>
  <si>
    <t>How is Monitoring and Control done ?</t>
  </si>
  <si>
    <t>1. Risk KPI report. At (Subject / Tower) level, Check for evidence
(Risks KPIs like:
• Number of open risks
• Number of risks in progress &amp; Escalated
2. Check MOM where Risks are discussed
3. Communicated about stakeholders</t>
  </si>
  <si>
    <t>The CI field in Ticketing tool, Account/(Subject / Tower) level CMDB in form of excel report etc</t>
  </si>
  <si>
    <t>1. Availability of Signoff Contract / SOW
2. Requirement Captured and available in the Team
3. Periodic review of SLA with Customer &amp; OLA / UC with Vendor with MOM</t>
  </si>
  <si>
    <t>How are QPM Activities done?</t>
  </si>
  <si>
    <t>How is the Process of Onboarding Established?</t>
  </si>
  <si>
    <t>How are Customer Contracts Managed?</t>
  </si>
  <si>
    <t>How is Risk Management done?</t>
  </si>
  <si>
    <t>How is Configuration Management done?</t>
  </si>
  <si>
    <t>How is Change Management done?</t>
  </si>
  <si>
    <t>How is Incident Management done?</t>
  </si>
  <si>
    <t>Please cite life cycle of 2 changes that have happened in last six months</t>
  </si>
  <si>
    <t>Please provide review evidence for one failed or critical  change</t>
  </si>
  <si>
    <t>How is Knowledge Management done?</t>
  </si>
  <si>
    <t>How are skill Assessments done?</t>
  </si>
  <si>
    <t>How is Training managed and tracked?</t>
  </si>
  <si>
    <t>How are Changes reported? (Reference to  Quantity Performance management )</t>
  </si>
  <si>
    <t>How are Continual Improvements done on Change Management?</t>
  </si>
  <si>
    <t>How are Continual Improvements done on Problem Management?</t>
  </si>
  <si>
    <t>1. Process referred for onboarding 
2. On boarding Checklist addressing Clients Requirements
3. On boarding checklist approved and Signed off</t>
  </si>
  <si>
    <t>1. Sample each of filled in Resource level On boarding / Off boarding checklist with following details
2. Identification of buddy
3. Providing / Removing access with valid approvals
4. On boarding off Boarding Checklist signed off
5. Evidence for any timeline extension; there  is mutual agreement and the same is signed off.
6. Mandatory Training is taken and updated in the skills matrix
7. Evidence of Reverse KT</t>
  </si>
  <si>
    <t>1. Process Document detailing the Process Scope, CI lifecycle, Etc
CMDB- Attributes of  CIs  are updated in the CMDB (Ex: Consider Server as CI &amp; its attribute will be number of Disk, RAM, CPU, OS etc)
2. Check CMDB tool
(Check the if CIs taken in  operations are through Service Request or Changes and Logs are available</t>
  </si>
  <si>
    <t>1. Is approved Incident Management Process document available and followed / according to definition? 
2. Incident Manager trained or  Awareness of his / her duties
3. Are KPI Defined measured and followed?
4. KPI Dash board published
5. Root cause /Risk identified and tracked to closure</t>
  </si>
  <si>
    <t>1. Is the right module in ticketing tool being used for Incident Management
2. Is ticket status (Along with reasons) and meaningful History appropriately updated in the tool?
3. Are SLAs configured (Including Clock stop functionality) in the tool and is the team aware?
4. Is SLA Notification configured(Imminent breach notifications)?
5. Sample two ticket life cycle covering all Above in the  Audit Trail</t>
  </si>
  <si>
    <t>1. Last 3 months SLA Compliance
2. Last 3 months SLA Resolution
3. Are breach tickets analysed and  corrective actions taken ?
4. Release of Dashboards with proper observations .
5. Tracking of CAPA to closure</t>
  </si>
  <si>
    <t>1. List of Stakeholders in place with escalation Matrix
2. Evidence of Communication Plan
3. Process of handshake defined between teams? This is applicable when ticket needs to move to a different team for resolution
4. Are all the relevant stakeholders getting the notifications Imminent breach notifications?
5. Stakeholder Status reporting and logs of their feedback/ comments / Alerts with proper CAPA in place</t>
  </si>
  <si>
    <t>1. Is there a process in place for review strategies of Incidents
2. Is ticket quality check conducted by the PQL  (Project Quality Lead) or by any defined role
3. Evidence of Management Reviews
4. CAPA tracked to closure
5. Improvement Activities under taken  /  best practices Piloted upon</t>
  </si>
  <si>
    <t>1. Evidence of Configuration management process and Plan [ CI configured for Alerting]
2. Are backlog incidents tracked at a regular interval (for e.g., daily / weekly / fortnightly or any other agreed frequency)?
3. Is KEDB (Known Error Database) or Knowledgebase available and contains resolution information for known errors
4. Is SLA Notification configured(Imminent breach notifications)? Are all the relevant stakeholders getting the notifications?
5. Configuration Management Audit Conducted; CAPA tracked to closure</t>
  </si>
  <si>
    <t>1. Is MIM /Communication Process implemented
2. MIM Review evidence
3. Is Problem ticket opened for all outages
4. Regular update in KEDB
5. Organisation Best practices Piloted upon</t>
  </si>
  <si>
    <t xml:space="preserve">1. Sample Events / Auto Incidents logged in Ticketing tool . Alert converted to Audtologged tickets
2. Backlog/Ageing Report and Actions for Backlog reduction
</t>
  </si>
  <si>
    <t>1. Process for Change Management
2. Classification of Changes  E.g. Emergency, Normal etc. 
3. Integrated in the Tool as per definition
4. Change Manager Identified in the Organisation Structure
5. Roles and Responsibilities identified in the RACI Matrix
6. Change Management training requirement identified in the Skill Gap analysis
7. Approved Roll back plan 
8. 4 eye process implemented</t>
  </si>
  <si>
    <t xml:space="preserve">1. Workflow: Audit trail of the tickets Sample tickets have to be checked for quality ticket updates
* Change type
* Reason for Change
* Approval Status with Approver comments etc
* Closure or resolution summary.
2. CAB Approval mails and artefacts attached in the ticket
3. Change Impact analysis and/or Change request document or Change Approval documents
</t>
  </si>
  <si>
    <t>1. Link of Sample changes to PQL Audit Report for ticket quality check
2. Frequency of ITSM and KPI Report
3. Change KPI report with KPIs like # of CR Implemented, CR Schedule Compliance, CR Success Rate etc</t>
  </si>
  <si>
    <t>1. PIR (Post Implementation Review) done for Failed Changes and critical changes</t>
  </si>
  <si>
    <t>1. SIP identified and implemented</t>
  </si>
  <si>
    <t>1. Change KPI report with KPIs like # of CR Implemented, CR Schedule Compliance, CR Success Rate etc</t>
  </si>
  <si>
    <t xml:space="preserve">1. Process for Problem Management with version control 
2. Classification of Problem Tickets mentioned clearly in the Process 
3. Integrated in the Tool as per definition with identification of Stakeholder
4. Problem Manager Identified in the Organisation Structure
5. Roles and Responsibilities identified in the RACI Matrix
6. Problem Management training requirement identified in the Skill Gap analysis
7. Known Error Database [KEDB] available and updated </t>
  </si>
  <si>
    <t>1. Check the ITSM tool for sample tickets for process adherence
2. Link of Sample tickets to PQL Audit Report for ticket quality check
3. Frequency of ITSM and KPI Report
4. RCA done on Problem Tickets</t>
  </si>
  <si>
    <t xml:space="preserve">1. Problem KPI report with KPIs like # of Problem logged, # of Problem Closed, Cycle Time for Problem Closure, Problem SLA Compliance, etc.
2. Problem KPI report with corrective action for improving KPI performance
3. Linkage in relationship tab of Ticketing tool
4. PPI status report in PPM Portal
</t>
  </si>
  <si>
    <t xml:space="preserve">1. Availability of Central Document repository to maintain knowledge artefacts
2. Availability of Work Instructions, SOPs &amp; Knowledge articles in  Central Document repository
3. Template used for documentation of Work Instructions / Knowledge articles. Check for Version Control, Document Reviewer &amp; Approver names
4. Check for newly created KM articles / Procedures / Work-instructions etc
5. Reporting of KPIs like # of new Documents created, % of Incidents resolved using Knowledge articles etc.
6. Communication e-mails and reference / link of Portal / Troom in Onboarding checklist / KT tracker
</t>
  </si>
  <si>
    <t xml:space="preserve">1. Check for training calendar and training completed for the resources. Frequency of the updates (At least once a month)
2. Check for training updated in the On-boarding and same are being available in the Training plan
</t>
  </si>
  <si>
    <t>1. Process document and On boarding (Filled) checklist;
2. On Boarding/ Off-boarding sign-off;
3. Sign off document/ email/ approval document</t>
  </si>
  <si>
    <t>1. Process document and On boarding (Filled) checklist;
2. On Boarding/ Off-boarding sign-off;
3. Sign off document/ email/ approval document; Training plans and Skill Matrix</t>
  </si>
  <si>
    <t>1. Service Level Agreement;
2. RACI Matrix (can be included in SGP)/ OLA or SoW;
3. All Underpinning Contracts between (Subject / Tower) and 3rd parties</t>
  </si>
  <si>
    <t>1. Risk Management Plan,2.Risk tracking and monitoring mechanism GRC / RAT 
2. RACI matrix with Risk management role
3. Organisation structure with Risk Manager role
4. Training Plan for risk Management skill</t>
  </si>
  <si>
    <t>1. Risk Report 
2. Minutes of meeting for risk management 
3. M-review deck/D -review decks</t>
  </si>
  <si>
    <t xml:space="preserve">1. Risk Plan and tracking </t>
  </si>
  <si>
    <t xml:space="preserve">1. CM Process
2. CMDB </t>
  </si>
  <si>
    <t xml:space="preserve">1. Approved IM Process document;
2. (sample) incident log
3. KPI report and SLA breach analysis tracker;
KEDB
</t>
  </si>
  <si>
    <t>1. Tool Configuration and sample ticket to be checked for correct SLAs configuration
2. (sample) incident log;
3. Implemented solutions/ workarounds</t>
  </si>
  <si>
    <t>1. KPI report and SLA breach analysis tracker;
2. KEDB
3. MoMs covering:
 - Outstanding Incidents 
 - High Aged Incidents 
 - Breached Incidents
 - Re-opened Incidents
 - Monthly incident trends
 - Any potential risk areas</t>
  </si>
  <si>
    <t>1. Escalation Matrix;
2. Filled handover checklist;
3. Breach notifications to relevant stakeholders;
4. MoM and associated action taken reports;
5. Weekly/ Monthly IM Status reports</t>
  </si>
  <si>
    <t>1. PQL audit report
2. Other Audit reports where IM is covered in scope
3. MoM and associated action taken reports;
4. Weekly/ Monthly IM Status reports</t>
  </si>
  <si>
    <t>1. Tivoli report &amp; (sample) CI configuration in tool;
2. Ticket Backlog Containment Guideline
3. Backlog Status reports and action taken reports;
4. KEDB
5. Breach notifications to relevant stakeholders;
6. Configuration Audit reports and action taken reports</t>
  </si>
  <si>
    <t xml:space="preserve">1. MIM Process document;
2. Major incident communication Matrix/ Major Incident Contact List;
3. (sample) major incident resolution;
4. Major incident report &amp; RCA
5. KEDB updated &amp; identified best practices
</t>
  </si>
  <si>
    <t xml:space="preserve">1. Sample Auto logged tickets and configuration/requirement document for Auto alert conversion;
2. Verification of auto logged tickets in ticketing tool;
3. Backlog/Ageing tracker and action around for closure
</t>
  </si>
  <si>
    <t xml:space="preserve">1. Approved CM Process document;
2. RACI matrix;
3. Change descriptions as per classification in ticketing tool;
4. Training records &amp; Skill Matrix;
5. Approved Roll back plan;
6. Records of 4 eye implementation
</t>
  </si>
  <si>
    <t xml:space="preserve">1. (Sample) change logs and associated Change request forms;
2. CAB approval/ CAB MoMs;
3. Incident_Problem_Change Release;
4. Review_Testing_Defect Logs/ Test records/ Test results
</t>
  </si>
  <si>
    <t>1. PQL audit report;
2. Other Audit reports where CM is covered in scope;
3. MoM and associated action taken reports;
4. Weekly/ Monthly CM Status reports</t>
  </si>
  <si>
    <t>1. Failed change records &amp; analysis;
2. Action taken reports/ Risk tracker updated</t>
  </si>
  <si>
    <t>1. SIP Tracker/ SIPs in Common Portal</t>
  </si>
  <si>
    <t>1. Change KPI report/ Dstum/ VVM boards</t>
  </si>
  <si>
    <t xml:space="preserve">1. Approved PM Process document;
2. RACI matrix;
3. Problem descriptions as per classification in ticketing tool;
4. Training records &amp; Skill Matrix;
5. Updated KEDB
</t>
  </si>
  <si>
    <t>1. (sample) problem tickets in tool;
2. PQL audit report;
3.Weekly/ Monthly PM Status reports
4. RCA</t>
  </si>
  <si>
    <t>1. Problem KPI report/ Dstum/ VVM boards;
2. Traceability ( linkage)  between Incident - Problem - Change maintained in tool;
3. Use of PPM tool &amp; PPI reports</t>
  </si>
  <si>
    <t xml:space="preserve">1. Knowledge Management folder within Service Engagement Repository
2. Work instructions, SOPs and Knowledge articles ( Best practices, Lesson Learnt , Knowledge exchange session recordings)
3. USM Knowledge Management Procedures template, Reports template, Tools
4. Knowledge articles ( Best practices, Lesson Learnt , Knowledge exchange session recordings), Procedures, Work instructions , Knowledge of client business,
5. KPI for KM,  KPI reports on KM 
6. KM portal, Onboarding packs, emails, KT tracker
</t>
  </si>
  <si>
    <t>1. Skill Matrix-with monthly updates
2. All Skill categories are explicitly specified</t>
  </si>
  <si>
    <t>How is Problem Management done?</t>
  </si>
  <si>
    <t>How are Problems Reported? (Reference to  Quantity Performance management)</t>
  </si>
  <si>
    <t>Level</t>
  </si>
  <si>
    <t>5.2.1</t>
  </si>
  <si>
    <t>5.2.2</t>
  </si>
  <si>
    <t>7.5.1</t>
  </si>
  <si>
    <t>7.5.2</t>
  </si>
  <si>
    <t>7.5.3</t>
  </si>
  <si>
    <t>8.2.1</t>
  </si>
  <si>
    <t>8.2.2</t>
  </si>
  <si>
    <t>8.2.3</t>
  </si>
  <si>
    <t>8.2.4</t>
  </si>
  <si>
    <t>8.3.1</t>
  </si>
  <si>
    <t>8.3.2</t>
  </si>
  <si>
    <t>8.3.3</t>
  </si>
  <si>
    <t>8.3.4</t>
  </si>
  <si>
    <t>8.5.1</t>
  </si>
  <si>
    <t>8.5.2</t>
  </si>
  <si>
    <t>8.5.3</t>
  </si>
  <si>
    <t>Number of Clauses</t>
  </si>
  <si>
    <t>Clause Nos.</t>
  </si>
  <si>
    <t>High Priority Action
Indicator</t>
  </si>
  <si>
    <t>Y</t>
  </si>
  <si>
    <t>5.2.3</t>
  </si>
  <si>
    <t>6.2.1</t>
  </si>
  <si>
    <t>6.2.2</t>
  </si>
  <si>
    <t>7.5.4</t>
  </si>
  <si>
    <t>8.2.5</t>
  </si>
  <si>
    <t>8.2.6</t>
  </si>
  <si>
    <t>8.6.1</t>
  </si>
  <si>
    <t>8.6.2</t>
  </si>
  <si>
    <t>8.6.3</t>
  </si>
  <si>
    <t>8.7.1</t>
  </si>
  <si>
    <t>8.7.2</t>
  </si>
  <si>
    <t>8.7.3</t>
  </si>
  <si>
    <t>OMMi Ref No.</t>
  </si>
  <si>
    <t>Effectiveness of Risk Mitigation</t>
  </si>
  <si>
    <t>05. Service Continuity Mgmt</t>
  </si>
  <si>
    <t>What SCM activities are done?</t>
  </si>
  <si>
    <t>8.4.1</t>
  </si>
  <si>
    <t>8.4.2</t>
  </si>
  <si>
    <t>8.4.3</t>
  </si>
  <si>
    <t>How is Monitoring and Control done?</t>
  </si>
  <si>
    <t>1. Existence of policy being followed (Client specific or Capgemini internal).
2. Staff awareness of the Policy.
3. Recording of Security Risks as they become known and any appropriate mitigation required.
4. Recording of Security Incidents when they occur.</t>
  </si>
  <si>
    <t>1. Information Security Policy.
2. Risk Register containing Security specific risks.
3. Risk mitigation activities identified as a result of security specific risks.
4. Logged Security incidents.</t>
  </si>
  <si>
    <t>How is the Information Security Policy Implemented?</t>
  </si>
  <si>
    <t>1. Table Top report, Disaster recovery plan, DR Implementation reports</t>
  </si>
  <si>
    <t>08. Change Mgmt</t>
  </si>
  <si>
    <t>ODM / Subject OMMi Scores</t>
  </si>
  <si>
    <t>Clauses</t>
  </si>
  <si>
    <t>1. Approval Date of the SGP should not age more than six months from the last release / baseline date
2. Organisation Structure and RACI Matrix /  (Subject / Tower) wise.
3. Escalation matrix  with levels &amp; Contact details
4. Link or mention of Plans as below 
- Transition Management and Support
- Contract and SLA/KPI Management
- Incident Management / MI
- Change Management
- Problem Management
- Communication
- Risk Management
- Configuration Management (CM)
- Business Continuity Management
- Skill Assessment &amp; Training Management
- Quantitative Performance Management  
- Capacity and Availability Management (CAM)
- Knowledge Management
- Continual Improvement</t>
  </si>
  <si>
    <t>1. OTACE/ CSAT/ Battle scorecard/ Other customer satisfaction evaluation results;
2. Minutes of meetings;
3. Complaint Tracker/ Escalation Tracker;
4. Shift Handover Checklist;
5. Audit reports in GAMS;
6. VVM Boards/ D-stum Meeting MoMs;
7. Issue Tracker &amp; Risks Trackers and associated MoMs; 
8. GRC tool for issues and Risks tracking/ other tools used;
7. Review Meeting invites and MoMs;
8. Change Plans &amp; Change approvals
9. Change logs and Change Control Status reports</t>
  </si>
  <si>
    <t>1. VVM Board at account level
2. Check for actions taken /  Improvements identified for close looping of Customer escalation
3. Detailed tracking of Service Improvements in CI Portal / SIP tracker along with Benefits, Action taken, Approvals etc.
4. Health Check report</t>
  </si>
  <si>
    <t>1. VVM Board
2. Complaint Tracker/ Escalation Tracker and associated action taken reports;
3. SIP Tracker/ SIPs
4. Health Check Reports/ RBA implementations</t>
  </si>
  <si>
    <t>1. P1 tracker and analysis reports, action implementation reports/CAPA sheet
2. For analysis of  human errors  and corrective actions taken to eliminate occurrence in future
3. Lean Implementation project closure report
4. MMX report
5. SIP tracker/ CI portal  -  Identified and Executed for Tangible benefits , using structured methodologies like Six Sigma , FMEA, Frequency they are tracked, etc
6. Automation e.g.: HPO tool?
7. Management review reports at account level where best practices are recorded, sample of  tickets/processes where best practice is implemented</t>
  </si>
  <si>
    <t>1. Weekly Governance calls;
2. P1 analysis and action taken reports;
3. Lean Implementation project closure report/ MMX report
4. SIP Tracker/ SIPs 
4. Health Check Reports/ RBA implementations
5. SIP Tracker/ SIPs in CI Portal
6. Health Check Reports/ RBA implementations
7. Best practice replication</t>
  </si>
  <si>
    <t>1. Availability of Service Level Agreement (SLA) / OLA / UC document
2. Awareness of Contractual SLA / Key Performance Indicators (KPI)
3.Configuration of Ticket level SLA in Ticketing Tool
4. Notification before Breach of Ticket level SLA
5. Periodic reporting of SLA and Breach Analysis with actions</t>
  </si>
  <si>
    <t>1. Service Level Agreement;
2.RACI Matrix (can be included in SGP)/ OLA or SoW;
3. All Underpinning Contracts between the project and any 3rd parties; 
4. Ticketing tool and SLA document; 
5. Breach Analysis, Breach Tracker and Action Tracker
6. Weekly/ Monthly Status Reports;
7. Status PPTs/ Dashboards</t>
  </si>
  <si>
    <t>1. KPIs defined for all the services provided to the customer are agreed
2. Periodic reporting  with SLA / KPI
3. Periodic report with CG Internal KPI
4. Report with KPIs like Incidents per device, Incidents per FTE, Change Schedule Compliance, Change Success rate % etc</t>
  </si>
  <si>
    <t>1. KPI report including vendor details
2. Ticketing tool and SLA document; 
3. Weekly/ Monthly Status Reports;
4. Status PPTs/ Dashboards</t>
  </si>
  <si>
    <t>1. Risk Plan and tracking</t>
  </si>
  <si>
    <t>1. Contingencies effectiveness
2.  # of Risks becoming Issues</t>
  </si>
  <si>
    <t>1. Number of CIs in operations/ New CIs added in a month
2. Audit report and sign off/approval. Comparison/Gaps between Physical CIs and CIs in CMDB. CI Audit finding Tracker.</t>
  </si>
  <si>
    <t>1. CM Process
2. CMDB</t>
  </si>
  <si>
    <t>1. SCM Guidelines/Process doc  - Approval, requirement as per contract(Service continuity and Availability), resources, phone numbers call Tree frequency,  etc.
2. SCM document mentioning the resources are aligned  with Mission Critical activities   
3. Contact/Sow/SLA document and SCM
4. Call Tree Test report Testing (Contact details of All the Key resources and the test report)
5. Mock Drill report for last 1 year</t>
  </si>
  <si>
    <t>1. SCM Plan
2. Training Plan where this I identified to impart to team.(Business continuity management)</t>
  </si>
  <si>
    <t>1. Approved Process Risk Management document (Details the Objective, Scope, Measurements, Risk Level. Etc). Check details of any of Risk item which is closed for process adherence
2. Check Risk tracker or Risk tool or SharePoint portal for correct priority based on Risk level(Risk Impact*Risk Probability) on the RPN and as agreed
3. Integrated in the Tool as per definition Check for Risk tracker / tool/SharePoint Portal
4. Risk Manager Identified in the Organisation Structure
5. Roles and Responsibilities identified in the RACI Matrix
6. Risk Management training requirement identified in the Skill Gap analysis</t>
  </si>
  <si>
    <t>1. Check the Skill Matrix if the required skills and Achieved skills are updated and any variations are highlighted
2. Availability of Skill Matrix/GRC web
check if the Roles are updated in the Skill Matrix/GRC web . If role base is not applicable check for Technology 
3. Compare technologies mentioned in DCD &amp; Skill Matrix
4. Skill Matrix/GRC web, last update date. Expected to be updated once a Month
5. Check for Niche skills identified  in Skill Matrix and for the same if the backup is available and training are conducted or scheduled for such skills.
6. Check the Skill Matrix if the required skills and Achieved skills. In case of any variations, check if training are scheduled and updated in tracker/calendar
7. Check if the skills are categorized example: Operating System is the category , while sub category are Windows NT Server; Windows 2003; Windows 2008; Windows 2012.</t>
  </si>
  <si>
    <t>1. Service Governance Plan (SGP);
2. Service Level Agreement;
3. RACI Matrix (can be included in SGP)/ OLA or SoW;
4. Escalation Matrix;
5. SGP should include details of plans for:
- Transition Management and Support
- Contract and SLA/KPI Management
- Incident Management / MI
- Change Management
- Problem Management
- Communication
- Risk Management
- Configuration Management (CM)
- Business Continuity Management
- Skill Assessment &amp; Training Management
- Quantitative Performance Management  
- Capacity and Availability Management (CAM)
- Knowledge Management
- Continual Improvement</t>
  </si>
  <si>
    <t>This cell colour denotes user input fields</t>
  </si>
  <si>
    <t>Subject Areas…..........</t>
  </si>
  <si>
    <t>Is the Knowledge Base properly managed?</t>
  </si>
  <si>
    <t>Is the Knowledge Management process properly defined and documented?</t>
  </si>
  <si>
    <t>Is CSI implemented in Knowledge Management?</t>
  </si>
  <si>
    <t>Are the automation tools implemented in Knowledge Management process?</t>
  </si>
  <si>
    <t>Is the ticketing tool properly configured?</t>
  </si>
  <si>
    <t>Are the appropriate notifications configured in the ticketing tool?</t>
  </si>
  <si>
    <t>Is the Incident Management process properly defined and documented?</t>
  </si>
  <si>
    <t>Is the quality control implemented in Incident Management?</t>
  </si>
  <si>
    <t>Are appropriate tools implemented in Incident Management process?</t>
  </si>
  <si>
    <t>Is CSI implemented in Incident Management process?</t>
  </si>
  <si>
    <t>Is Service Request tool in place and properly configured?</t>
  </si>
  <si>
    <t>Is Service Request tool user interface properly configured?</t>
  </si>
  <si>
    <t>Is Service Request process properly defined and documented?</t>
  </si>
  <si>
    <t>Are security measures for users applied?</t>
  </si>
  <si>
    <t>Are the notifications from tool in place?</t>
  </si>
  <si>
    <t>Is the reporting configured in the tool?</t>
  </si>
  <si>
    <t>Service Desk</t>
  </si>
  <si>
    <t>Is the CSI process implemented in Service Request Management?</t>
  </si>
  <si>
    <t>SD</t>
  </si>
  <si>
    <t>20000-1:2018</t>
  </si>
  <si>
    <t>Context of the Organisation</t>
  </si>
  <si>
    <t>Understanding the Organisation and its context</t>
  </si>
  <si>
    <t>Understanding the needs and Expectations of Interested Parties</t>
  </si>
  <si>
    <t>Determining the Scope of the Service management System</t>
  </si>
  <si>
    <t>Service Management System</t>
  </si>
  <si>
    <t>Leadership and Commitment</t>
  </si>
  <si>
    <t>Establish Service Management Policy</t>
  </si>
  <si>
    <t>Communicating the Service Management Policy</t>
  </si>
  <si>
    <t>05.2.3</t>
  </si>
  <si>
    <t>Organisation Roles, Responsibilities and Authorities</t>
  </si>
  <si>
    <t>Actions to address Risks and Opportunities</t>
  </si>
  <si>
    <t>Service management Objectives and Planning to achieve them</t>
  </si>
  <si>
    <t>Establish Objectives</t>
  </si>
  <si>
    <t>Plan to Achieve objectives</t>
  </si>
  <si>
    <t>Plan the Service Management System</t>
  </si>
  <si>
    <t>Support of Service Management System</t>
  </si>
  <si>
    <t>Creating and Updating Documented Information</t>
  </si>
  <si>
    <t>Control of Documented Information</t>
  </si>
  <si>
    <t>07.5.4</t>
  </si>
  <si>
    <t>Service management System documented information</t>
  </si>
  <si>
    <t>07.6</t>
  </si>
  <si>
    <t>Knowledge</t>
  </si>
  <si>
    <t>Operation of Service Management System</t>
  </si>
  <si>
    <t>Operational Planning and Control</t>
  </si>
  <si>
    <t>Service Portfolio</t>
  </si>
  <si>
    <t>Service Delivery</t>
  </si>
  <si>
    <t>Plan the Services</t>
  </si>
  <si>
    <t>Control of Parties involved in the Service Life Cycle</t>
  </si>
  <si>
    <t>Service Catalogue Management</t>
  </si>
  <si>
    <t>08.2.5</t>
  </si>
  <si>
    <t>Asset Management</t>
  </si>
  <si>
    <t>08.2.6</t>
  </si>
  <si>
    <t>Configuration Management</t>
  </si>
  <si>
    <t>Relationship and Agreement</t>
  </si>
  <si>
    <t>Sevice Level management</t>
  </si>
  <si>
    <t xml:space="preserve">Supply and Demand </t>
  </si>
  <si>
    <t>Demand Management</t>
  </si>
  <si>
    <t>Service Design, Built and Transition</t>
  </si>
  <si>
    <t>Service Design and Transition</t>
  </si>
  <si>
    <t>Release and Deployment Management</t>
  </si>
  <si>
    <t>Resolution and Fulfillment</t>
  </si>
  <si>
    <t>08.6.1</t>
  </si>
  <si>
    <t>Incident Management</t>
  </si>
  <si>
    <t>08.6.2</t>
  </si>
  <si>
    <t>Service Request Management</t>
  </si>
  <si>
    <t>08.6.3</t>
  </si>
  <si>
    <t>Problem Management</t>
  </si>
  <si>
    <t>Service Assurance</t>
  </si>
  <si>
    <t>Service Availability management</t>
  </si>
  <si>
    <t>Service Continuity management</t>
  </si>
  <si>
    <t>08.7.3</t>
  </si>
  <si>
    <t>Information Security</t>
  </si>
  <si>
    <t>Performance Evaluation</t>
  </si>
  <si>
    <t>Monitoring , Measurement, Analysis and Evaluation</t>
  </si>
  <si>
    <t>Management Review</t>
  </si>
  <si>
    <t>09.4</t>
  </si>
  <si>
    <t>Non Conformity and Corrective Actions</t>
  </si>
  <si>
    <t>Continual Improvement</t>
  </si>
  <si>
    <t>Is the communication &amp; cooperation  properly managed?</t>
  </si>
  <si>
    <t>Is the Knowledge Management properly reported?</t>
  </si>
  <si>
    <t>16th Jan 2019</t>
  </si>
  <si>
    <t>Intro of EUS elements, Patching and Info Sec, also 20k cross-reference</t>
  </si>
  <si>
    <t>Major Non-Conformance</t>
  </si>
  <si>
    <t>Minor Non-Conformance</t>
  </si>
  <si>
    <t>Opportunity for Improvement</t>
  </si>
  <si>
    <t>Comments / Remarks</t>
  </si>
  <si>
    <t>Noteworthy / Best Practice</t>
  </si>
  <si>
    <t>OMMi Value</t>
  </si>
  <si>
    <t>Overall per Area</t>
  </si>
  <si>
    <t>The key principles to be considered for evaluating the process maturity are as follows:
• Patching process including emergency patching
• Clear roles and responsibilities
• Patch classification
• Documented list of all the patches that are received/applied/on-hold/rejected
• Change Control including roll-back procedures
• Review and Track patches
• Patch Testing
• Patch roll-out communication</t>
  </si>
  <si>
    <t>Documentation in support of contents (left).</t>
  </si>
  <si>
    <t>Server Patching</t>
  </si>
  <si>
    <t>as above</t>
  </si>
  <si>
    <t>How is Patch Mgmt done for:</t>
  </si>
  <si>
    <t>Network device patching (routers and switches etc.)</t>
  </si>
  <si>
    <t>Network security devices (Firewalls, IPS and IDS)</t>
  </si>
  <si>
    <t>Virus control software deployment and checks</t>
  </si>
  <si>
    <t>OS &amp; MS Patches etc</t>
  </si>
  <si>
    <t>Do we have the necessary Management Information and Reporting in place for Patch Management?</t>
  </si>
  <si>
    <t>The key principles to be considered for evaluating the process maturity are as follows:
• Business requirements of access control including Access Control Policy
• User access management
• User Account Management
• User Authentication
• Privilege Management
• User responsibilities
• System and application access control
• Emergency Access
• Role based access management
• Onboarding &amp; offboarding access
• Compliance to Password management protocols
• Access usage monitoring &amp; control
• Access change management
• Access management audits
Additional aspects of Security to be evaluated from access control perspective
• Physical and environmental security
• Operations security
• Communication security
• Information security incident management
• Information security aspects of business continuity management</t>
  </si>
  <si>
    <t>How is Access Mgmt done for:</t>
  </si>
  <si>
    <t>Servers</t>
  </si>
  <si>
    <t>Storage &amp; Backup</t>
  </si>
  <si>
    <t>ERP &amp; SW</t>
  </si>
  <si>
    <t>DBA</t>
  </si>
  <si>
    <t>Security</t>
  </si>
  <si>
    <t>Do you clearly understand all individuals that have access to all the production systems that Capgemini support?</t>
  </si>
  <si>
    <t>Does the list of individuals with access to production systems get reviewed and updated on a regular basis?</t>
  </si>
  <si>
    <t>How is Back-up and Restore Mgmt done for:</t>
  </si>
  <si>
    <t>Daily / Weekly Backup</t>
  </si>
  <si>
    <t>Monthly Backup</t>
  </si>
  <si>
    <t>Quarterly Backup</t>
  </si>
  <si>
    <t>Annual Backup</t>
  </si>
  <si>
    <t>Evaluate any other Additional Backup Requirements specific to the Account</t>
  </si>
  <si>
    <t>Do we regularly test our ability to Restore data from back up?</t>
  </si>
  <si>
    <t>How is Asset Mgmt done for:</t>
  </si>
  <si>
    <t>The evaluation criteria for Asset Management are as follows:
• List of Assets with clear ownership across Capgemini &amp; Client
• Asset Identification
• Scope Management
• Integration of assets in operational processes
• Tools for Asset discovery-monitoring &amp; change control
• End of Life / End of Service assets
• Asset Traceability &amp; utilization
• Alignment and reconciliation between chargeable assets and billing</t>
  </si>
  <si>
    <t>Client Assets</t>
  </si>
  <si>
    <t>Capgemini Assets</t>
  </si>
  <si>
    <t>Vendor Assets</t>
  </si>
  <si>
    <t>The critical aspects to be considered for evaluating the process maturity are as follows:
• Contractual Requirements
• Alignment to critical services including Capgemini tools / assets
• DR Planning &amp; Implementation
• Defined DR Testing frequencies
• DR Testing &amp; CAPA
• DR Management</t>
  </si>
  <si>
    <t>How is Service Continuity done?</t>
  </si>
  <si>
    <t>Do we test our contractual DR capabilities?</t>
  </si>
  <si>
    <t>Do we adhere to the DR Testing frequency?</t>
  </si>
  <si>
    <t>The key principles to be considered for evaluating the process activities are as follows:
• Preparation and Installation
• Service Packs and Hotfixes
• User Account Policies
• User Rights Assignment
• Security Settings
• Network Access Controls
• Network Security Settings
• Active Directory Domain Member Security Settings
• Audit Policy Settings
• Event Log Settings
• Additional Security Protection
• Additional Steps
• Physical Security</t>
  </si>
  <si>
    <t>How is Server Hardening done for:</t>
  </si>
  <si>
    <t>Wintel Servers</t>
  </si>
  <si>
    <t>Unix Servers</t>
  </si>
  <si>
    <t>The critical aspects to be considered for evaluating the process maturity are as follows:
• Does the Account have a named CTO or Chief Architect?
• Completeness of Documentation
• Supportability
• Scalability
• Architecture Design
• Does the Account have a Technical Roadmap, covering EOL, EOS, Refresh commitments, decision points for upgrades etc?</t>
  </si>
  <si>
    <t>How is the Oversight of Environment Architecture done for:</t>
  </si>
  <si>
    <t>Does the Account have a named CTO or Chief Architect?</t>
  </si>
  <si>
    <t>Does the Account have a Technical Roadmap, covering EOL, EOS, Refresh commitments, decision points for upgrades etc?</t>
  </si>
  <si>
    <t>How is Proactive Monitoring done for?</t>
  </si>
  <si>
    <t>Network Voice &amp; Data</t>
  </si>
  <si>
    <t>20. Capacity Mgmt</t>
  </si>
  <si>
    <t>The critical aspects to be considered for evaluating the process maturity are as follows:
• Contractual requirements
• Critical CI backup monitoring &amp; control
• Defined Backup frequencies with clear scope
• Defined Backup retention
• Backup completion monitoring / validation
• Backup restoration fulfilment (actual restoration based on ask / requirement)
• Backup change control procedures
• Backup media storage-media labelling-media rotation
• Backup media (aged/unused) disposal</t>
  </si>
  <si>
    <t>The critical aspects to be considered for evaluating the process maturity are as follows:
• Capacity Management process / model / activities
• Clearly defined roles and responsibilities
• Capacity monitoring and actions
• Is there a Capacity Management Database (CMDB)?  
• Capacity KPI performance - reviews and controls
• Continual Improvements</t>
  </si>
  <si>
    <t>Configuration Management (in relation to Incidents)</t>
  </si>
  <si>
    <t>The critical aspects of monitoring that need to be evaluated are as follows:
• Are all CIs being monitored? (Source of Info: CMDB) 
• Are the tools effective to determine system outages or are the monitoring mechanisms set at the appropriate thresholds?
• Are the system alerts effective to identify upcoming potential issues around storage, capacity, etc. (need to have proper indicators and not just focus only on up/down situations)? 
• Are there tools missing from the environment that should be deployed to improve the level of monitoring for the customer
• Are the alerts being reviewed adequately and appropriate actions initiated (Incidents, threshold adjustment, false alarm corrections)
• Change Controls for monitoring methods including appropriate review and testing / validation for critical CIs</t>
  </si>
  <si>
    <t>19. Availability Mgmt</t>
  </si>
  <si>
    <t>The critical aspects to be considered for evaluating the process maturity are as follows:
• Availability Management process / model / activities
• Clearly defined roles and responsibilities
• Availability monitoring and actions
• Availability KPI performance - reviews and controls
• Continual Improvements</t>
  </si>
  <si>
    <t>07. Problem Mgmt</t>
  </si>
  <si>
    <t>16. Server Hardening</t>
  </si>
  <si>
    <t>17. Environment Architecture</t>
  </si>
  <si>
    <t>18. Proactive Monitoring</t>
  </si>
  <si>
    <t>06. Incident Mgmt</t>
  </si>
  <si>
    <t>09. Knowledge Mgmt</t>
  </si>
  <si>
    <t>09. Knowledge Management</t>
  </si>
  <si>
    <t>10. Skill Assessment &amp; Training Mgmt</t>
  </si>
  <si>
    <t>11. Service Request Management</t>
  </si>
  <si>
    <t>11. Service Request Mgmt</t>
  </si>
  <si>
    <t>12. Vulnerability for Patch Mgmt</t>
  </si>
  <si>
    <t>13. Access Mgmt</t>
  </si>
  <si>
    <t>14. Back-up and Restore Mgmt</t>
  </si>
  <si>
    <t>15. Asset Mgmt</t>
  </si>
  <si>
    <t>06. Incident Management</t>
  </si>
  <si>
    <t>How is Capacity Mgmt done for?</t>
  </si>
  <si>
    <t>How is Availability Mgmt done for?</t>
  </si>
  <si>
    <t>Is the communication &amp; cooperation properly managed?</t>
  </si>
  <si>
    <t>Service Desk Specific</t>
  </si>
  <si>
    <t>See below</t>
  </si>
  <si>
    <t xml:space="preserve">1. Is there a knowledge base in place? Who is the knowledge base owner?
</t>
  </si>
  <si>
    <t xml:space="preserve">2. Is the knowledge base used on a daily basis?
</t>
  </si>
  <si>
    <t xml:space="preserve">3. Is knowledge base update history available in the tool?
</t>
  </si>
  <si>
    <t xml:space="preserve">4. Does knowledge manager have full rights to create and edit articles?
</t>
  </si>
  <si>
    <t xml:space="preserve">4. Provide documentation/screenshot 
</t>
  </si>
  <si>
    <t xml:space="preserve">5. Is new knowledge obtained during incident resolution process?
</t>
  </si>
  <si>
    <t xml:space="preserve">5. Provide a sample ticket and corresponding knowledge base article
</t>
  </si>
  <si>
    <t xml:space="preserve">9. Provide a sample notification
</t>
  </si>
  <si>
    <t xml:space="preserve">11. Provide documentation or a sample article
</t>
  </si>
  <si>
    <t>13. Is the Virtual Agent database linked with KMDB?</t>
  </si>
  <si>
    <t>13. Example of updated articles in VA and KMDB, example of automated linking or regular update process.</t>
  </si>
  <si>
    <t>10. Evidence of documentation (and communication - if applicable) showing interaction outcome (e.g. solutions created by agents) and scope of cooperation</t>
  </si>
  <si>
    <t>11. Are knowledge articles formatted in the standardized way? (subject, key words, bolds, etc.)</t>
  </si>
  <si>
    <t>12. Is the Knowledge Manager updating Virtual Agent database with Tier0 articles on regular basis?</t>
  </si>
  <si>
    <t>10. Is there a documented review date for knowledge objects?</t>
  </si>
  <si>
    <t xml:space="preserve">9. Do any of the relevant stakeholders receive notifications from the knowledge base? </t>
  </si>
  <si>
    <t>8. Is there in place a monitoring system of Knowledge Base usage?</t>
  </si>
  <si>
    <t>7. Is the ticketing tool integrated with the knowledge base?</t>
  </si>
  <si>
    <t>6. Is there any knowledge base backup available for the agents in case of KB outage and up to date?</t>
  </si>
  <si>
    <t>8. Example of KB usage report, sample of KB ticketing linking</t>
  </si>
  <si>
    <t xml:space="preserve">7. A relevant screenshot </t>
  </si>
  <si>
    <t>1. Is there any process for communicating the new/updated knowledge to the Service Desk?</t>
  </si>
  <si>
    <t>1. Provide example of communication for update/new knowledge creation</t>
  </si>
  <si>
    <t xml:space="preserve">2. Is there any point of contact for a knowledge manager (SPOC's, SME's or other within Capgemini or Client's organization) regarding knowledge queries?
</t>
  </si>
  <si>
    <t>2. List of contacts</t>
  </si>
  <si>
    <t>3. Is there cooperation established between knowledge management and incident management, change management, problem management and other processes?</t>
  </si>
  <si>
    <t xml:space="preserve">3. Provide samples of communication or documentation (e.g. process description) </t>
  </si>
  <si>
    <t xml:space="preserve">4. Are there any regular meetings between knowledge managers and the Service Desk to discuss new scope of support, new fixes or workarounds in place? </t>
  </si>
  <si>
    <t>4. Provide meeting minutes, dashboard pictures etc.</t>
  </si>
  <si>
    <t>5. Are regular/periodical knowledge object reviews held with Subject Matter Experts?</t>
  </si>
  <si>
    <t>5. Evidence of knowledge review completion (emails, screenshot from knowledge base)</t>
  </si>
  <si>
    <t>6. Are the first line agents involved into knowledge base development (e.g. creating, updating, suggesting improvements)?</t>
  </si>
  <si>
    <t>6. Provide an example report with knowledge base article creations/updates</t>
  </si>
  <si>
    <t>7. Does knowledge management issue on regular basis any kind of bulletins or newsletters etc. To summarize its activities in any period of time?</t>
  </si>
  <si>
    <t>7. Provide example email, bulletin, newsletter</t>
  </si>
  <si>
    <t>8. Is a knowledge manager engaged in any Service Desk agents trainings (e.g. knowledge base usage for new agents)</t>
  </si>
  <si>
    <t>8. A training plan to be provided</t>
  </si>
  <si>
    <t>1. Is there an approved knowledge management process document available?</t>
  </si>
  <si>
    <t>1. Provide documented knowledge management process</t>
  </si>
  <si>
    <t>2. Has the scope of collaboration between the Service Desk and knowledge management been defined and communicated?</t>
  </si>
  <si>
    <t>2. Evidence of documentation (and communication - if applicable) showing interaction outcome (e.g. solutions created by agents) and scope of cooperation</t>
  </si>
  <si>
    <t>3. Are there any documents describing how to handle knowledge base outages?</t>
  </si>
  <si>
    <t>3. Provide documentation and escalation path</t>
  </si>
  <si>
    <t>4. Are any KPIs established for creating/updating knowledge by knowledge managers?</t>
  </si>
  <si>
    <t xml:space="preserve">4. Provide documentation for KPIs </t>
  </si>
  <si>
    <t>5. Is knowledge manager involved in new service transition processes (due diligence, knowledge gathering, knowledge transfer)?</t>
  </si>
  <si>
    <t>5. Provide documentation proving involvement in service transition activities (document/email/screenshot)</t>
  </si>
  <si>
    <t>1. Has there been any changes / improvement initiatives implemented in the KM process over the last 12 months?</t>
  </si>
  <si>
    <t>1. Evidence of documented procedural or tool changes</t>
  </si>
  <si>
    <t>2. Have the changes/improvements been implemented in a regular and/or structured manner?</t>
  </si>
  <si>
    <t>2. Evidence  of improvement initiative implementation flow (e.g. Relevant Docs. Emails, meeting minutes etc)</t>
  </si>
  <si>
    <t>3. Is there a document in place for the process of continual service improvement in the area of Knowledge  Management?</t>
  </si>
  <si>
    <t>3. Approved process document</t>
  </si>
  <si>
    <t>4. Are there any benefits / values added from the  improvement initiatives implemented over last 12 months?</t>
  </si>
  <si>
    <t>4. Evidence of benefits (e.g. operational reports including trend lines, client f feedback, CSS)</t>
  </si>
  <si>
    <t>5. Is knowledge management involved in increasing the number of first time fixes/first line fixes?</t>
  </si>
  <si>
    <t>5. Example of activities performed by knowledge management to increase FTF/FCR</t>
  </si>
  <si>
    <t>1. Is knowledge manager engaged into any knowledge reports apart from productivity (article usage, article linking in the tickets, TOP 10 most used articles in the database, ad hoc reports)?</t>
  </si>
  <si>
    <t>1. Provide a sample report (document, screenshot)</t>
  </si>
  <si>
    <t>2. Are changes in the knowledge base reported on a regular basis by knowledge managers to their management?</t>
  </si>
  <si>
    <t xml:space="preserve">2. Provide example report or communication </t>
  </si>
  <si>
    <t>1. Has a password storage application been implemented on the project?</t>
  </si>
  <si>
    <t>1. Provide application name and documentation (instructions and guidelines for password storage)</t>
  </si>
  <si>
    <t>2. Has Virtual Agent been implemented on the project?</t>
  </si>
  <si>
    <t>2. Provide documentation/screenshots</t>
  </si>
  <si>
    <t>3. Is knowledge manager responsible for Virtual Agent administration?</t>
  </si>
  <si>
    <t>3. Provide example report, instructions, documentation</t>
  </si>
  <si>
    <t xml:space="preserve">1. Is a ticketing tool in place?
</t>
  </si>
  <si>
    <t>1. State ITSM tool name and version (if applicable) and tool ownership (Capgemini or client).</t>
  </si>
  <si>
    <t xml:space="preserve">3. Is ticket status (along with justification) and meaningful history appropriately updated in the tool?
</t>
  </si>
  <si>
    <t>3. Sample 3 tickets showing work info usage.</t>
  </si>
  <si>
    <t xml:space="preserve">4. Do Service Desk agents have applicable scripts for issue diagnosis?
</t>
  </si>
  <si>
    <t>4. Evidence of Decision trees, ITSM templates, etc. Evidence of usage</t>
  </si>
  <si>
    <t xml:space="preserve">5. Is there automatic ticket closure configuration in place?
</t>
  </si>
  <si>
    <t>5. Evidence of ITSM configuration for automatic ticket closure functionality.</t>
  </si>
  <si>
    <t xml:space="preserve">6. Are SLAs configured (Including Clock stop functionality) in the tool and is the team aware of SLAs?
</t>
  </si>
  <si>
    <t>6. Sample ticket showing SLAs configuration. Communication sample or other evidence regarding SLAs awareness.</t>
  </si>
  <si>
    <t xml:space="preserve">7. Evidence of updates in ITSM configuration e.g. categorization updates.
</t>
  </si>
  <si>
    <t xml:space="preserve">7. Is ticketing tool configuration reviewed and updated when required?
</t>
  </si>
  <si>
    <t>1. Is ticket created in the ticketing tool for every contact type?</t>
  </si>
  <si>
    <t>1. E-mail from a user and/or a respective phone call / Chat / Other indicated in telephony report plus a corresponding ticket (ticket number and contents)</t>
  </si>
  <si>
    <t>2. Is SLA Notification configured? Are all the relevant stakeholders getting the notifications?</t>
  </si>
  <si>
    <t>2. SLA notifications mail sample.</t>
  </si>
  <si>
    <t>3. Is automatic email notification sent to the user upon ticket status opening/resolution/closure? / update as per Client agreement</t>
  </si>
  <si>
    <t>3. Check ITSM configuration for automatic email notifications to end users. Email sample where possible</t>
  </si>
  <si>
    <t>1. Is approved Incident Management Process document available and the Process is followed/adhered to according to definition?</t>
  </si>
  <si>
    <t>1. Approved process document and sample ticket to show process adherence.</t>
  </si>
  <si>
    <t>2. Are Incident Management SLAs/KPIs defined and the team is aware of them?</t>
  </si>
  <si>
    <t>2. Communication sample or other evidence regarding KPIs/SLA awareness</t>
  </si>
  <si>
    <t>3. Are SLAs/KPIs measured and corrective and preventive actions taken?</t>
  </si>
  <si>
    <t>5. Is the process for managing tickets in pending status in place?</t>
  </si>
  <si>
    <t>6. Are telephony IVR messages activated during a major issue?</t>
  </si>
  <si>
    <t>6. Documented IVR outage messages setup process.</t>
  </si>
  <si>
    <t>7. Are rules for identifying a major issue available?</t>
  </si>
  <si>
    <t>7. Documented Major Incident definition and criteria in place, usage of golden questions / resolution solution.</t>
  </si>
  <si>
    <t>8. Is there an escalation matrix available?</t>
  </si>
  <si>
    <t>8. An escalation matrix with contact details for each service/application, available in ITSM or other document.</t>
  </si>
  <si>
    <t>9. Is ticket relation functionality used in ITSM during a major issue (child calls)?</t>
  </si>
  <si>
    <t>9. Sample high priority ticket and related child calls.</t>
  </si>
  <si>
    <t>10. Are there interfaces between Incident Management and Knowledge Management process?</t>
  </si>
  <si>
    <t>10. Evidence of interfaces between IM and KM processes: example: does SD attach knowledge articles to tickets (KS relation)? Do SD agents create knowledge articles themselves in KMDB (for KM validation)?</t>
  </si>
  <si>
    <t>11. Is there a process in place for closing tickets when user is not responding? For example 3 Strikes Rule</t>
  </si>
  <si>
    <t>11. Process document, screen shot of example ticket</t>
  </si>
  <si>
    <t>12. Are there interfaces between Incident Management and Problem Management process?</t>
  </si>
  <si>
    <t>12. Example of cooperation/interaction between IM and Problem Management</t>
  </si>
  <si>
    <t>13. Is there an application/service criticality matrix available?</t>
  </si>
  <si>
    <t>13. Application/service criticality matrix that lists all the applications/services (CIs) together with their respective level of business impact, number of users.</t>
  </si>
  <si>
    <t xml:space="preserve">1. Are ticket quality checks happening? </t>
  </si>
  <si>
    <t>1. A quality check report from the central One Quality team or/and a local SD team.</t>
  </si>
  <si>
    <t>2. Are backlog incidents tracked in a regular interval (for e.g. daily / weekly / fortnightly or any other agreed frequency)?</t>
  </si>
  <si>
    <t>2. Weekly meeting minutes and backlog incidents report.</t>
  </si>
  <si>
    <t>3. Are corrective actions identified and implemented for tracked backlog Incidents?</t>
  </si>
  <si>
    <t>3. Ticket Backlog/Ageing tracker and a list of actions taken for tickets closure.</t>
  </si>
  <si>
    <t>4. Are corrective actions identified and implemented for tickets that have been reassigned between teams multiple times?</t>
  </si>
  <si>
    <t>4. Excessive reassignment / ticket ping-pong tracker with identified actions.</t>
  </si>
  <si>
    <t>5. Is in place the functionality to allow change of priority when needed and as agreed with Client?</t>
  </si>
  <si>
    <t>5. 3 examples of Ticket Audit Logs showing upgraded or degraded priorities after resolution and/or a relevant report proving this.</t>
  </si>
  <si>
    <t>1. Is there a real time automatic telephony SLA monitoring tool available for SD agents?</t>
  </si>
  <si>
    <t>1. A photo of real time telephony statistics displayed on plasma screens or similar evidence.</t>
  </si>
  <si>
    <t>2. Is there a real time automatic ticket SLA monitoring tool available for SD agents?</t>
  </si>
  <si>
    <t>2. E.g. Breach Monitor- evidence of usage or dashboards in ticketing tool</t>
  </si>
  <si>
    <t>3. Is there the functionality for Incident Managers to create advanced reporting when needed</t>
  </si>
  <si>
    <t>3. Example of report</t>
  </si>
  <si>
    <t>1. Has there been any changes / improvement initiatives implemented in the IM process over the last 12 months?</t>
  </si>
  <si>
    <t>1. evidence of documented procedural or tool changes</t>
  </si>
  <si>
    <t>2. evidence of improvement initiative implementation flow (e.g. Relevant Docs. Emails, meeting minutes etc)</t>
  </si>
  <si>
    <t>3. Is there a document in place for the process of continual service improvement in the area of Incident Management?</t>
  </si>
  <si>
    <t>4. evidence of benefits (e.g. operational reports including trend lines, client feedback, CSS)</t>
  </si>
  <si>
    <t>1. Is there a ticketing tool in place to allow registering the incoming service requests?</t>
  </si>
  <si>
    <t>1. Ticket example</t>
  </si>
  <si>
    <t>2. Are service requests differentiated from incidents in the ticketing system?</t>
  </si>
  <si>
    <t>2. Comparison of an incident and service request.</t>
  </si>
  <si>
    <t>3. Are tickets created automatically each time user sends a request using the tool?</t>
  </si>
  <si>
    <t>3. Ticket screenshot.</t>
  </si>
  <si>
    <t>4. Are the tickets being assigned automatically to proper resolving teams by SRM?</t>
  </si>
  <si>
    <t>4. Ticket example.</t>
  </si>
  <si>
    <t>5. Are the SRDs (Service Requests Definition) in line with approved processes and promote good practices?</t>
  </si>
  <si>
    <t>5. Example of how an SRD follows and enforces established processes and company/client policies.</t>
  </si>
  <si>
    <t>6. Are there SRDs creating multiple tickets or tasks and assigning them to multiple resolving teams?</t>
  </si>
  <si>
    <t>6. SRD and ticket example.</t>
  </si>
  <si>
    <t>7. Are the requests automatically categorized and prioritized in the ticketing tool?</t>
  </si>
  <si>
    <t>7. 3 different category examples.</t>
  </si>
  <si>
    <t>8. Is the approval matrix automatically updated (i.e. feeding from HR systems or corporate directory)?</t>
  </si>
  <si>
    <t>8. Ticket example (could be in few sequential screenshots)</t>
  </si>
  <si>
    <t>9. Is the tool accessible from a mobile device?</t>
  </si>
  <si>
    <t>9. Mobile interface screenshot.</t>
  </si>
  <si>
    <t>10. Are there fully automated requests that can be completed without involvement of SRM operators and resolving teams?</t>
  </si>
  <si>
    <t>10. Example of such fully automated SRD, tools like PRAS, Lakeside, Koreai</t>
  </si>
  <si>
    <t>11. Is SRM actively linked with other internal systems, like asset, procurement or people management database?</t>
  </si>
  <si>
    <t>11. Example of such active link being used in a SRD, for example Active Directory</t>
  </si>
  <si>
    <t>1. Is it possible for the users to contact the service desk to submit a service request (via phone / email / web form)?</t>
  </si>
  <si>
    <t>1. Phone number / mailbox address / link</t>
  </si>
  <si>
    <t>2. Is there a web form or application in place which is a preferred or exclusive way for the users to request a service?</t>
  </si>
  <si>
    <t>2. Link to the tool, screenshot, request example.</t>
  </si>
  <si>
    <t>3. Is the SRM tool easily accessible to all authorized users?</t>
  </si>
  <si>
    <t>3. Link to the tool.</t>
  </si>
  <si>
    <t>4. Is the user recognized and contact details filled in automatically?</t>
  </si>
  <si>
    <t>4. Ticket example with contact data (phone, email) filled in automatically.</t>
  </si>
  <si>
    <t>5. Are there specific forms / Service Request Definitions (SRD) dedicated to various types of requests?</t>
  </si>
  <si>
    <t>5. Examples of at least 3 different web forms / SRDs.</t>
  </si>
  <si>
    <t>6. Are the SRDs grouped or sorted in a way that makes them easy to navigate and find?</t>
  </si>
  <si>
    <t>7. Screenshot of such SRD containing pre-defined list or choice.</t>
  </si>
  <si>
    <t>6. Example of applied hierarchy or naming convention.</t>
  </si>
  <si>
    <t>7. Are there pre-defined lists used in SRDs (dropdowns, radio buttons) when a choice is needed?</t>
  </si>
  <si>
    <t>8. Is the same terminology (technical or functional) being used across the tool? Example: login vs UID, desktop vs PC, notes vs comment etc.</t>
  </si>
  <si>
    <t>8. Example of at least 3 different SRDs where the same terminology is being consistently used in field descriptions.</t>
  </si>
  <si>
    <t>9. Is there a search functionality for the users to quickly find a SRD?</t>
  </si>
  <si>
    <t>9. Search functionality screenshot.</t>
  </si>
  <si>
    <t>10. Is there is a feedback interface for the users?</t>
  </si>
  <si>
    <t>10.  Example of user feedback.</t>
  </si>
  <si>
    <t>1. Is there a documented process for handling the SRM tool and the requests?</t>
  </si>
  <si>
    <t>1. SRM process documentation.</t>
  </si>
  <si>
    <t>2. Is the catalogue items full visible to the SD agents?</t>
  </si>
  <si>
    <t>2. Example of communication/tickets</t>
  </si>
  <si>
    <t>1. Is there a security measure to allow only approved users to raise requests?</t>
  </si>
  <si>
    <t>1. Login page screenshot / authorization process description.</t>
  </si>
  <si>
    <t>2. Is there a single sign-on functionality implemented for the users (auto login when already authenticated by main corporate system)?</t>
  </si>
  <si>
    <t>2. Link to the tool.</t>
  </si>
  <si>
    <t>3. Is there an interface for request approvers (approvals made within the tool)?</t>
  </si>
  <si>
    <t>3. Screenshot of approval interface and ticket example.</t>
  </si>
  <si>
    <t>1. Are there emails being sent to requestor with the automatically assigned ticket number?</t>
  </si>
  <si>
    <t>1. Email example.</t>
  </si>
  <si>
    <t>2. Does SRM send notifications to all relevant parties when a new request is logged?</t>
  </si>
  <si>
    <t>2. Example of email sent to a resolving team.</t>
  </si>
  <si>
    <t>3. Is automated communication with the tool possible? Example: sending properly formatted email to SRM updates the ticket, or the tool recognizes simple email replies to close the ticket.</t>
  </si>
  <si>
    <t>3. Example of automatically updated ticket.</t>
  </si>
  <si>
    <t>1. Is it possible to collect usage statistics?</t>
  </si>
  <si>
    <t>1. SRD usage report.</t>
  </si>
  <si>
    <t>2. Is there a reporting functionality?</t>
  </si>
  <si>
    <t>2. Reporting interface screenshot and report example.</t>
  </si>
  <si>
    <t>1. Have there been any changes / improvement initiatives implemented in the SRM process over the last 12 months?</t>
  </si>
  <si>
    <t>1. Evidence of documented procedural or tool changes.</t>
  </si>
  <si>
    <t>3. Is there a document in place for the process of Continual Service Improvement in the area of Service Request Management?</t>
  </si>
  <si>
    <t>3. Approved process document.</t>
  </si>
  <si>
    <t>4. Have there been any benefits / values added by the  improvement initiatives implemented over last 12 months?</t>
  </si>
  <si>
    <t>4. Evidence of benefits (e.g. operational reports including trend lines, client feedback, CSS)</t>
  </si>
  <si>
    <t>1. State the tool name, version and ownership: Capgemini or client (if applicable)</t>
  </si>
  <si>
    <t>2. Provide an example of knowledge usage by KMs and SD agents (e.g. an email asking to check something in the database or screenshot of its usage taken during basics tasks)</t>
  </si>
  <si>
    <t>3. Provide an example of knowledge article history</t>
  </si>
  <si>
    <t>21. Release &amp; Deployment Mgmt</t>
  </si>
  <si>
    <t>How is Release &amp; Deployment Mgmt done for?</t>
  </si>
  <si>
    <t>The critical aspects to be considered for evaluating the process maturity are as follows:
• A definition of the types of release, including emergency release, their frequency and how they are to be managed.
• A plan showing the deployment of new or changed services and service components into the live environment. 
• Planning should be co-ordinated with change management and include references to the related requests for change, known errors or problems which are being closed through the release. 
• Planning should include the dates for deployment of each release, deliverables and methods of deployment.
• The release should be verified against documented acceptance criteria and approved before deployment. If the acceptance criteria are not met, the organization and interested parties should make a decision on necessary actions and deployment.
• Before deployment of a release into the live environment, a baseline of the affected CIs should be taken.
• The release should be deployed into the live environment so that the integrity of the services and service components is maintained.
• The success or failure of releases shall be monitored and analysed. Measurements should include incidents related to a release in the period following deployment of a release. The results and conclusions drawn from the analysis shall be recorded and reviewed to identify opportunities for improvement.
• Information about the success or failure of releases and future release dates should be made available for other service management activities as appropriate.</t>
  </si>
  <si>
    <t>1. Access Control Policy, contractual requirements, legal requirements (if applicable)</t>
  </si>
  <si>
    <t xml:space="preserve">3. Documentation regarding the systems/applications or policies/processes/work instructions
</t>
  </si>
  <si>
    <t xml:space="preserve">4.  Access Control Policy, contractual requirements, legal requirements (if applicable),   policies/processes/work instructions [search for different levels of capability depending on the role/level of the user (i.e. power user]
</t>
  </si>
  <si>
    <t>5. Provide a sample of user responsibilities (i.e. change password every 30 days, report access revoke etc.)</t>
  </si>
  <si>
    <t xml:space="preserve">6. Access Control Policy, contractual requirements, legal requirements (if applicable),   policies/processes/work instructions
</t>
  </si>
  <si>
    <t>7. Access Control Policy, contractual requirements, legal requirements (if applicable),   policies/processes/work instructions</t>
  </si>
  <si>
    <t>8. Access Control Policy, contractual requirements, legal requirements (if applicable),   policies/processes/work instructions, role descriptions</t>
  </si>
  <si>
    <t xml:space="preserve">9. Provide a sample (i.e. using numbers, capital and small letters, special signs)
</t>
  </si>
  <si>
    <t>10. On-, Off-boarding documentation, Training plans, training logs, policies/processes/work instructions</t>
  </si>
  <si>
    <t xml:space="preserve">11. Provide documentation (Access Control Policy, contractual requirements, legal requirements (if applicable),   policies/processes/work instructions) or a sample 
</t>
  </si>
  <si>
    <t xml:space="preserve">12. Provide documentation (Access Control Policy, contractual requirements, legal requirements (if applicable),   policies/processes/work instructions) or a sample 
</t>
  </si>
  <si>
    <t>13. Example of reports, actions from the audits</t>
  </si>
  <si>
    <t>14. Access Control Policy, contractual requirements, legal requirements (if applicable),   policies/processes/work instructions, role descriptions</t>
  </si>
  <si>
    <t>15. Provide a sample</t>
  </si>
  <si>
    <t>6. Provide documentation proving that backup is in place and it’s regularly updated (one a quarter). Calculate result: number of solutions verified as up to date / number of all sampled solutions)*100%.</t>
  </si>
  <si>
    <t>12. Example of analysis report. Calculate results: # of solutions verified as actually transferred to VA / # of all sampled solutions)*100%.</t>
  </si>
  <si>
    <t>2. ITSM tools configuration proof and sample ticket showing priority assignment. Review tickets which priorities changed - check reports or audit logs and why they were changed and by whom. Sample: may include not only P1s and P2s depending on SD scope. Size: 5% or  a larger sample when necessary (e.g. small amounts of logged incidents due to low volume of contacts).</t>
  </si>
  <si>
    <t>2. Are priorities and categories for classification of tickets clearly documented? Are correct Priorities assigned to tickets?</t>
  </si>
  <si>
    <t>3. KPI SLA report and SLA breach analysis tracker sample. Review breached tickets from carious sources (breached tickets reports, incorrectly assigned tickets reports, excessive reassignment reports, pending tickets in SD queue) and check the cause of the breach.</t>
  </si>
  <si>
    <t>Are regular reviews of the knowledge base content conducted to ensure the KM base is up to date?</t>
  </si>
  <si>
    <t>1. '% of solutions indicated as actioned in report * % of solutions verified as actually actioned within the tested sample.</t>
  </si>
  <si>
    <t>1. Check the % value of actioned solutions submitted in KM activity report. The level required by KMs' KPI is 10% of KMDB total per month (sample of 10-20% of solutions indicated as actioned in KM activity report for particular month).</t>
  </si>
  <si>
    <t>Is the process of managing feedback from users who had submitted negative feedback after using VA tool is present and effective?</t>
  </si>
  <si>
    <t>1. Check if the change of solution actually took place after the justified feedback.</t>
  </si>
  <si>
    <t>1. Number of solutions actually  created or updated as result of negative VA feedback / number of all sampled solutions)*100%</t>
  </si>
  <si>
    <t>2. Check if the feedback was actually sent to the user who submitted negative comments.</t>
  </si>
  <si>
    <t>2. Examples of feedback responses sent to end users.</t>
  </si>
  <si>
    <t>4. Is there a process for dealing with ticket follow up contacts (chase calls/ updates) from user at SD level and communication to the end users is handled in a proper way?</t>
  </si>
  <si>
    <t>Are quality checks effective and do they reflect current level of quality if incident handling?</t>
  </si>
  <si>
    <t>1. Review escalations on ticket contents, known cases of poorly completed tickets and customer feedback regarding ticket quality.</t>
  </si>
  <si>
    <t>1. Quality check criteria should reflect current SD needs and concerns.</t>
  </si>
  <si>
    <t xml:space="preserve">2. Verify  random samples from quality checks results with QA/TM (sample 30 tickets from D16last month).
</t>
  </si>
  <si>
    <t>How is Access Mgmt done?</t>
  </si>
  <si>
    <t>1. Is there awareness ref. Capgemini Service Continuity Plan ?</t>
  </si>
  <si>
    <t>2. is there Outage mitigation processes awareness?</t>
  </si>
  <si>
    <t>2. Outage related docs (e.g. Telephony outage logging) and awareness</t>
  </si>
  <si>
    <t>3. Is management of key resources for service delivery (vs contract) in place?</t>
  </si>
  <si>
    <t>3. Instances of contractual key resource leaving the team, if yes, check if the process/contract was followed</t>
  </si>
  <si>
    <t>1. Are there team meetings, follow up to employees</t>
  </si>
  <si>
    <t>2. Percentage of promotions within SD team (report - Compensation &amp; Benefits, quarterly for past 6 months), annual assessment reviews</t>
  </si>
  <si>
    <t>3. HR reports, presence of rota and holiday planner, management of overdue holidays during last 3-6 months</t>
  </si>
  <si>
    <t>6. HR reports, SD Curriculum iCompass Weekly Update</t>
  </si>
  <si>
    <t>1. Is team's productivity managed?</t>
  </si>
  <si>
    <t>1. Bonus report (productivity section), daily/monthly productivity reports depending on SD specifics: review TM actions taken to motivate worst performers (plans defined)</t>
  </si>
  <si>
    <t>2. Is Daily Monitoring and Managing  of SLA status effective?</t>
  </si>
  <si>
    <t xml:space="preserve">3. is there contribution to automation tools promotion?
</t>
  </si>
  <si>
    <t>4. Is there contribution to productivity savings?</t>
  </si>
  <si>
    <t>Service Delivery &amp; Performance</t>
  </si>
  <si>
    <t>1. Is there contract awareness: Deliverables, SLA, KPI, contract duration, solution/staffing, contract definitions, awareness and knowledge of statement of work; key deliverables information passed to first line agents?</t>
  </si>
  <si>
    <t>1. Awareness, communication</t>
  </si>
  <si>
    <t>2. Is Delivery Centre Managers updated are on project progress and issues?</t>
  </si>
  <si>
    <t>2. Communication to Senior Management on a regular basic, reporting the SLA's KPI's, correct templates, valid comments in KPI Dashboard</t>
  </si>
  <si>
    <t>3. Green SLAs and KPIs, awareness and monitoring, explanations and comments, monitoring of results, remediation actions taken (3 months results)</t>
  </si>
  <si>
    <t>6. Risks communicated and escalated?</t>
  </si>
  <si>
    <t>7. Does OPM provide resources to attend Disaster Recovery tests if required and to assist with processing client workload?. Staff should also be suitably skilled to assist disaster recovery planning.</t>
  </si>
  <si>
    <t>8. Is OPM the first point of escalation for the team in respect of service/delivery issues?</t>
  </si>
  <si>
    <t>5. Is Reporting in place?</t>
  </si>
  <si>
    <t>3. Are SLA/KPI monitored and delivered?</t>
  </si>
  <si>
    <t>1. Customer service satisfaction: Does OPM take part in internal service meetings (where appropriate), evidenced by documented meeting minutes showing actions carried out in a timely manner</t>
  </si>
  <si>
    <t>1. Meeting minutes, action tracker, CSS process and results.</t>
  </si>
  <si>
    <t>2. Escalations handling: Is there awareness of all problems and incidents that have occurred together with recurring problems; ensuring that such incidents are managed effectively and to the client’s satisfaction.</t>
  </si>
  <si>
    <t>2. Escalation &amp; complain tracker, communication records, resolution and planning, response fact based, actions taken and ownership.</t>
  </si>
  <si>
    <t>6. Are Mandatory trainings completed (own and employees')</t>
  </si>
  <si>
    <t>1. CAPA, SIP, CSI tracker</t>
  </si>
  <si>
    <t>2. meetings with SDM &amp; ODM - minutes, plans for improvement</t>
  </si>
  <si>
    <t>3. OMI results and level: adherence to best practices, standards and procedures. If below established standard - what actions were taken.</t>
  </si>
  <si>
    <t>4. Does OPM manage team’s performance and production of deliverables; achieves SLA targets, recommends and implements action plans as appropriate, in order to address any shortfalls?</t>
  </si>
  <si>
    <t>Service Excellence</t>
  </si>
  <si>
    <t>Finance Mgmt</t>
  </si>
  <si>
    <t>1. Are billings in place?</t>
  </si>
  <si>
    <t>2. Headcount forecast:  Is there provided an accurate forecasting for all team members for their associated clients? Are there reports in place on forecasts vs. actuals, explaining variances &amp; subsequently improving process to prevent problem’s recurrence?</t>
  </si>
  <si>
    <t>2. Reporting done on a regular basis</t>
  </si>
  <si>
    <t>3. Is Overhead management (expensive resources in grades moving forward) in place?</t>
  </si>
  <si>
    <t>3. Actions taken</t>
  </si>
  <si>
    <t>4. Are Savings delivered?</t>
  </si>
  <si>
    <t>4. Saving actions initiated</t>
  </si>
  <si>
    <t>5. % of ISOWs created?</t>
  </si>
  <si>
    <t>6. Does OPM provide information to ODM / account about any identified / potential upsell opportunities?</t>
  </si>
  <si>
    <t>6. Actions taken</t>
  </si>
  <si>
    <t>1. Does OPM track issues, problem trends and establishes corrective action plans and ensures that corrective actions are put in place to prevent problems’ recurrence? Are post-audit CAPA items closed in a timely manner?</t>
  </si>
  <si>
    <t>3. Does OPM establishes and uses best practices wherever applicable, ensures all standards and procedures are documented and maintained according to company standards?</t>
  </si>
  <si>
    <t>4. Average talk time management, CSI contribution; assessment by Ops Manager (OPM)</t>
  </si>
  <si>
    <t>4. Is Ops Manager (OPM) assisting in the planning and implementation of agreed changes to the delivered services?</t>
  </si>
  <si>
    <t>2. Does OPM support Service Delivery Manager and Operations Delivery Manager in productivity improvements and continual service improvement?</t>
  </si>
  <si>
    <t>4. "Chase call" and "user update" processes in place: defined and documented communication rules between SD and resolving teams depending on whether the ticket is within SLA or already breached. Review 5% or  a larger sample of chased tickets when necessary (e.g. small amounts of logged incidents due to low volume of contacts) to check if the process is followed. Review communication flow to end users and communication records concerning logged  incidents.</t>
  </si>
  <si>
    <t>5. Documented rules for putting ticket in pending and defined time limits. Review a sample of pending tickets and analyse reasons why tickets are still in pending status and if there are timely updates as required by the process.</t>
  </si>
  <si>
    <t>2 &amp; 3. 'Sampling results comparison between Quality Team and Service Desk should show any discrepancies between Quality Team checks and random checks conducted on the Service Desk.</t>
  </si>
  <si>
    <t>3. Check  completeness of random tickets sample excluding tickets reviewed previously by OneQuality team (request QA/TM/IM assistance). (sample 30 tickets from last month).</t>
  </si>
  <si>
    <t>1. Service Continuity Document  availability and accuracy, Service Continuity Plan awareness</t>
  </si>
  <si>
    <t>3. Is Rota managed (incl. holiday backlog management)?</t>
  </si>
  <si>
    <t>2. daily dashboards - two weeks sample - IM - check existence of daily reports and communication to the team, check effectiveness of actions taken to mitigate risks, - sample -2 weeks dashboard , check what was the situation during the entire week and then check how actions taken by TM changed the situation  the  week after</t>
  </si>
  <si>
    <t>4. Productivity reports, team management related actions taken to remedy the issue, HR and service delivery KPIs. If over delivery - check optimization actions taken (RAG: Red - under delivery; Amber - GOS -over delivery &gt; 10%, partial target meet; Green - meet targets (10% over delivery in GOS allowed)</t>
  </si>
  <si>
    <t>1. Management of financial aspects of service: billing on time and error-free (volumes, staffing, change notes, overtime, ISOWs)</t>
  </si>
  <si>
    <t>5. ISOWs approved and closed.</t>
  </si>
  <si>
    <t>2. Is People development in place?</t>
  </si>
  <si>
    <t>5. Is People performance management in place?</t>
  </si>
  <si>
    <t>1. Meeting minutes, meeting agenda, email comms to Team members</t>
  </si>
  <si>
    <t>4. Succession plan, shadowing/backup plan for key roles, training for backups/shadows</t>
  </si>
  <si>
    <t>5. Agent status report (daily statistics, logon time, break time, project time, hold-on time) - sample 2 weeks; records documenting meetings with employees - verification of effective TM management in this area - sample -  2 weeks report - analyse exceptions , assess effectiveness of  actions undertaken by TM</t>
  </si>
  <si>
    <t>4. Is Succession planning in place?</t>
  </si>
  <si>
    <t>Variant 3 - Service Desk Only</t>
  </si>
  <si>
    <t>Variant 1 - Data Services &amp;  Servce Desk Combined</t>
  </si>
  <si>
    <t>Variant 2 - Data Services Only</t>
  </si>
  <si>
    <r>
      <rPr>
        <b/>
        <i/>
        <sz val="12"/>
        <rFont val="Calibri"/>
        <family val="2"/>
        <scheme val="minor"/>
      </rPr>
      <t>Operational (applicable to an Account)</t>
    </r>
    <r>
      <rPr>
        <i/>
        <sz val="12"/>
        <rFont val="Calibri"/>
        <family val="2"/>
        <scheme val="minor"/>
      </rPr>
      <t xml:space="preserve">
With "Account", an entire Client Account (of any size) end-to-end is in-scope. 
The model puts the Client in the center, irrespective of where the particular service is delivered from within the Capgemini Group.</t>
    </r>
  </si>
  <si>
    <r>
      <rPr>
        <b/>
        <i/>
        <sz val="12"/>
        <rFont val="Calibri"/>
        <family val="2"/>
        <scheme val="minor"/>
      </rPr>
      <t>Model</t>
    </r>
    <r>
      <rPr>
        <i/>
        <sz val="12"/>
        <rFont val="Calibri"/>
        <family val="2"/>
        <scheme val="minor"/>
      </rPr>
      <t xml:space="preserve">
This model is Microsoft Excel based.
For each criteria, the requirements to achieve a level is given in an objective and quantifiable way as possible. Criteria are grouped into areas which are based on Operational Areas largely based on ITIL and ISO 20k.</t>
    </r>
  </si>
  <si>
    <t>22. Team Mgmt</t>
  </si>
  <si>
    <t>People Mgmt</t>
  </si>
  <si>
    <t>Productivity Mgmt</t>
  </si>
  <si>
    <t>23. Operations Mgmt</t>
  </si>
  <si>
    <t>Staffing &amp; People Mgmt</t>
  </si>
  <si>
    <t>Delivery Excellence and Quality</t>
  </si>
  <si>
    <t>Customer/Supplier Relationship &amp; Satisfaction</t>
  </si>
  <si>
    <t>1. Are Ideas for improvement generation gathered?</t>
  </si>
  <si>
    <t>2. is new joiner onboarding and training managed?</t>
  </si>
  <si>
    <t>3. is there RACI model awareness?</t>
  </si>
  <si>
    <t>4. Is there Escalation process awareness and management in place?</t>
  </si>
  <si>
    <t>5. is Quality management in place?</t>
  </si>
  <si>
    <t>6. Is there an adequate regular monitoring of contact quality monitoring process in place?</t>
  </si>
  <si>
    <t>1. Proactive approach to active problem solving and troubleshooting - consult with OPM</t>
  </si>
  <si>
    <t>2. presence of documentation, plans and trackers</t>
  </si>
  <si>
    <t>3. RACI presence and applicability</t>
  </si>
  <si>
    <t>4. awareness of Escalation matrix and escalation process, escalation tracker - How TM manages escalations - check with OPM escalation examples and then verify with TM the way of addressing the situation</t>
  </si>
  <si>
    <t>5. Low number of escalations - below contractual threshold or below default threshold of 5% of volume (complaints, escalations - if not defined contractually)</t>
  </si>
  <si>
    <t>6. Communication with Quality team ref. Criteria update? (but sometimes the changes are not really needed) - checking with OPM what is the subject of recent Client dissatisfaction - it should be later on taken into account while executing contact monitoring. There should be regular adjustment of key quality parameters checked by ONE Quality team</t>
  </si>
  <si>
    <t>Service Continuity Mgmt</t>
  </si>
  <si>
    <t>1. Is staffing and recruitment managed (vacancies control and approval, HF approvals, forecast, job posting approvals)?  Is it ensured that teams are staffed appropriately to deliver the required services to SLA headcount and skill sets?</t>
  </si>
  <si>
    <t>2. Is Talent management (high potential employees identification, people development) and succession planning (creation of successors, backfilling and shadowing in place?</t>
  </si>
  <si>
    <t>3. Are rewards and recognition present?</t>
  </si>
  <si>
    <t>1. Timely management of the recruitment process and training (RAG - green: positive results within 3 months (i.e. actions taken to solve the issue, signs of progress))</t>
  </si>
  <si>
    <t>2. Succession plan - shadows designated and trained, plan documented. Backups documented, training tracked.</t>
  </si>
  <si>
    <t>3. Confirm in situ.</t>
  </si>
  <si>
    <t>1. Is there an Access Control Policy implemented?</t>
  </si>
  <si>
    <t>2. Who is responsible for granting the accesses? (i.e. Client, Operations)</t>
  </si>
  <si>
    <t xml:space="preserve">3. Is there separate Access Management and User Account Management in place? </t>
  </si>
  <si>
    <t>4. How are the privileges managed? (if Privilege Management applicable)</t>
  </si>
  <si>
    <t xml:space="preserve">2. As above
</t>
  </si>
  <si>
    <t>5. What are the responsibilities of the user?</t>
  </si>
  <si>
    <t>6. Is there a separate system and application access control implemented? (i.e. generic mailboxes, generic accounts)</t>
  </si>
  <si>
    <t>7. In case of emergency/incident, how can the access be granted/revoked? Is the Emergency Access documented?</t>
  </si>
  <si>
    <t>8. Are there any specific systems or application accesses for the role? Is it documented?</t>
  </si>
  <si>
    <t>9. Are the users compliant to Password Management protocols?</t>
  </si>
  <si>
    <t xml:space="preserve">10. Is there an on- and off-boarding list of accesses to grant/revoke depending on the need? </t>
  </si>
  <si>
    <t>11. How is the access management monitored and reported? On what basis? (check additional contract requirements)</t>
  </si>
  <si>
    <t xml:space="preserve">12. How is access change management performed? </t>
  </si>
  <si>
    <t>13. Are there audits regarding access management? Who is responsible for the audits? Who is responsible for the actions?</t>
  </si>
  <si>
    <t>14. Do you clearly understand all individuals that have access to all the production systems that Capgemini support?</t>
  </si>
  <si>
    <t>15. Does the list of individuals with access to production systems get reviewed and updated on a regular basis?</t>
  </si>
  <si>
    <t>23. Operational Mgmt</t>
  </si>
  <si>
    <t>1. Auditee(s) to perform self-assessment above (optional)</t>
  </si>
  <si>
    <t>1. In the "Scoring" worksheets, fill in the "score" for each criteria.
In cases where the Criteria is not-applicable, an explanation is required in the "Finding Explanation / Evidence" column.
E.g. Where local regulations, laws etc. prohibit answering the question then score with n/a and write an explanation.
It is likely that the main "auditees" will be the Account ODM and applicable technical leads.
In cases where the answer is not known, the assumption has to be that it is not in place. Blanks or (don´t know) answers are not permitted.
2. In the "Report (OMMi) - Var 1" worksheet, fill in the Administrative information.
3. The OMMi index will be calculated automatically.</t>
  </si>
  <si>
    <t>; 7.5.3; 7.6</t>
  </si>
  <si>
    <t>; 7.5.3; 7.6; 8.6.1</t>
  </si>
  <si>
    <t>; 7.6; 8.2.3</t>
  </si>
  <si>
    <t>; 7.6; 9.1</t>
  </si>
  <si>
    <t>; 7.5.3; 7.4; 7.6</t>
  </si>
  <si>
    <t>; 7.5.3; 7.3; 7.4; 7.6</t>
  </si>
  <si>
    <t>; 7.4; 7.6; 9.1; 9.4</t>
  </si>
  <si>
    <t>; 7.1; 7.2; 7.6</t>
  </si>
  <si>
    <t>; 7.5.2; 7.5.3; 7.6</t>
  </si>
  <si>
    <t>; 7.5.2; 7.5.3; 7.6; 9.1</t>
  </si>
  <si>
    <t>; 7.6; 8.5.2; 9.1</t>
  </si>
  <si>
    <t>; 7.6; 10.2</t>
  </si>
  <si>
    <t>; 7.4; 7.6; 9.1</t>
  </si>
  <si>
    <t>; 7.4; 7.6</t>
  </si>
  <si>
    <t>; 8.6.1</t>
  </si>
  <si>
    <t>; 8.6.2</t>
  </si>
  <si>
    <t>; 7.5.2; 7.5.3 ; 8.6.1</t>
  </si>
  <si>
    <t>; 8.6.1; 9.1; 9.4</t>
  </si>
  <si>
    <t>; 7.3; 8.6.1</t>
  </si>
  <si>
    <t>; 7.4; 8.6.1</t>
  </si>
  <si>
    <t>; 7.3; 7.4; 7.5.2; 7.5.3 ; 8.6.1</t>
  </si>
  <si>
    <t>; 8.6.1; 9.1</t>
  </si>
  <si>
    <t>; 8.6.1; 8.2.3</t>
  </si>
  <si>
    <t>; 8.6.2; 9.1</t>
  </si>
  <si>
    <t>; 8.6.1; 9.1; 9.2</t>
  </si>
  <si>
    <t>; 8.6.1; 8.2.3; 9.1</t>
  </si>
  <si>
    <t>; 8.6.1; 10.2</t>
  </si>
  <si>
    <t>; 7.3; 7.4; 7.5.2; 7.5.3; 8.6.2</t>
  </si>
  <si>
    <t>; 8.2.3; 8.6.2</t>
  </si>
  <si>
    <t>;7.3; 7.4; 8.6.2</t>
  </si>
  <si>
    <t>; 8.6.2; 8.7.3</t>
  </si>
  <si>
    <t>; 8.6.2; 9.1; 9.4</t>
  </si>
  <si>
    <t>; 8.6.2; 10.2</t>
  </si>
  <si>
    <t>; 7.3; 7.4; 7.5.2; 7.5.3; 8.6.2; 10.2</t>
  </si>
  <si>
    <t>; 8.1; 8.2.1; 8.2.2; 8.2.3; 8.7.3; 9.1; 9.2; 9.3; 9.4</t>
  </si>
  <si>
    <t>; 5.3</t>
  </si>
  <si>
    <t>; 5.3; 7.1; 7.2</t>
  </si>
  <si>
    <t>; 5.3; 7.1; 7.2; 9.3</t>
  </si>
  <si>
    <t>;7.1; 7.2</t>
  </si>
  <si>
    <t>; 9.3</t>
  </si>
  <si>
    <t>; 9.1; 9.3</t>
  </si>
  <si>
    <t>; 10.2</t>
  </si>
  <si>
    <t>; 7.4; 10.2</t>
  </si>
  <si>
    <t>; 5.3; 7.1</t>
  </si>
  <si>
    <t>; 7.1; 7.2; 7.3; 7.5.2; 7.5.3</t>
  </si>
  <si>
    <t>; 9.1; 9.2; 9.3</t>
  </si>
  <si>
    <t>; 9.1; 9.4</t>
  </si>
  <si>
    <t>; 7.4; 9.1; 9.4</t>
  </si>
  <si>
    <t>; 8.5.2</t>
  </si>
  <si>
    <t>; 6.1</t>
  </si>
  <si>
    <t>; 7.2; 7.3; 7.5.2; 7.5.3; 7.6; 8.7.2</t>
  </si>
  <si>
    <t>; 5.3; 7.1; 7.2; 7.3</t>
  </si>
  <si>
    <t>; 7.1; 7.2; 8.7.2</t>
  </si>
  <si>
    <t>; 7.4; 9.1</t>
  </si>
  <si>
    <t>; 9.1; 9.3; 9.4</t>
  </si>
  <si>
    <t>; 9.1; 9.2</t>
  </si>
  <si>
    <t>; 9.1; 9.3; 9.4; 10.2</t>
  </si>
  <si>
    <t>Subject 1</t>
  </si>
  <si>
    <t>Subject 2</t>
  </si>
  <si>
    <t>ODM: A.N Other</t>
  </si>
  <si>
    <t>A.N Other</t>
  </si>
  <si>
    <t>v1.2</t>
  </si>
  <si>
    <t>3. Promotion activity conducted by agents, SD, evidence ref. emails with reminders about VA promotion - Check if entered in yearly goals of TM and SD. If not applicable then N/A.</t>
  </si>
  <si>
    <t xml:space="preserve">3.Is there contribution to automation tools promotion?
</t>
  </si>
  <si>
    <t>9. Is OPM the first point of escalation for the team in respect of service/delivery issues?</t>
  </si>
  <si>
    <t>8. Does OPM provide resources to attend Disaster Recovery tests if required and to assist with processing client workload?. Staff should also be suitably skilled to assist disaster recovery planning.</t>
  </si>
  <si>
    <t>7. Risks communicated and escalated?</t>
  </si>
  <si>
    <t>6. Is Reporting in place?</t>
  </si>
  <si>
    <t>5. Ownership of actions, cooperation with ODM</t>
  </si>
  <si>
    <t>6. Weekly - dashboard which includes the following topics for discussion: issues, highlights/lowlights, operational success, resource headcount; Monthly - service management report: dashboard consolidation of the weekly output, commercials, changes and performance</t>
  </si>
  <si>
    <t>7. Effective risk and issue management. Escalation log.</t>
  </si>
  <si>
    <t>8. Service Continuity tests, access to documentation. Awareness of Service Continuity procedures</t>
  </si>
  <si>
    <t>9. Escalation management</t>
  </si>
  <si>
    <t>5. Is Ops Manager (OPM) assisting in the planning and implementation of agreed changes to the delivered services?</t>
  </si>
  <si>
    <t>4. What is preparation level for service automation?</t>
  </si>
  <si>
    <t>4. Actions taken to drive automation, procedures in place supporting automation, solution creations for VA, dDiscussions with the client/account to improve or introduce automation, automation reports and results of actions taken.
If automation tools are not required by the contract: proposal communication trail to SDM/account. service review minutes.</t>
  </si>
  <si>
    <t>; 8.2.3</t>
  </si>
  <si>
    <t>We have the process in place under the document shared "Onboard and Offboard document"</t>
  </si>
  <si>
    <t xml:space="preserve">Kinldy refer the following link for the risks raised in Brakes: 
https://troom-x.capgemini.com/sites/BrakesService/Account/06%20-%20Risk%20and%20Issue%20Management/Brakes%20RAIDE.xlsm 
</t>
  </si>
  <si>
    <t xml:space="preserve">Risk reviews are done monthy once and will be updated to the tracker on the Troom, and PFB the link for the same for your reference:
https://troom-x.capgemini.com/sites/BrakesService/Account/06%20-%20Risk%20and%20Issue%20Management/Brakes%20RAIDE.xlsm </t>
  </si>
  <si>
    <t>Risk Management process is available at tower level and risk acceptance letter in few instances is also maintained.</t>
  </si>
  <si>
    <t>We have the breach reports w.r.t SLA maintained at tower level.</t>
  </si>
  <si>
    <t>We have the Incident management document and we have shared the same.</t>
  </si>
  <si>
    <t>We have the change management document and we have shared the same.</t>
  </si>
  <si>
    <t>We have the problem management document and we have shared the same.</t>
  </si>
  <si>
    <t>We have the skill matrix document and we have shared the same.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</si>
</sst>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mm\ dd\,\ yyyy"/>
  </numFmts>
  <fonts count="48" x14ac:knownFonts="1">
    <font>
      <sz val="11"/>
      <color theme="1"/>
      <name val="Calibri"/>
      <family val="2"/>
      <scheme val="minor"/>
    </font>
    <font>
      <b/>
      <sz val="11"/>
      <color theme="1"/>
      <name val="Calibri"/>
      <family val="2"/>
      <scheme val="minor"/>
    </font>
    <font>
      <b/>
      <sz val="14"/>
      <color theme="1"/>
      <name val="Calibri"/>
      <family val="2"/>
      <scheme val="minor"/>
    </font>
    <font>
      <sz val="8"/>
      <color theme="1"/>
      <name val="Calibri"/>
      <family val="2"/>
      <scheme val="minor"/>
    </font>
    <font>
      <b/>
      <sz val="20"/>
      <color theme="1"/>
      <name val="Calibri"/>
      <family val="2"/>
      <scheme val="minor"/>
    </font>
    <font>
      <b/>
      <u/>
      <sz val="11"/>
      <color theme="1"/>
      <name val="Calibri"/>
      <family val="2"/>
      <scheme val="minor"/>
    </font>
    <font>
      <sz val="10"/>
      <name val="Arial"/>
      <family val="2"/>
    </font>
    <font>
      <b/>
      <sz val="10"/>
      <name val="Arial"/>
      <family val="2"/>
    </font>
    <font>
      <sz val="12"/>
      <name val="Arial"/>
      <family val="2"/>
    </font>
    <font>
      <b/>
      <sz val="12"/>
      <name val="Arial"/>
      <family val="2"/>
    </font>
    <font>
      <sz val="11"/>
      <color indexed="8"/>
      <name val="Calibri"/>
      <family val="2"/>
    </font>
    <font>
      <u/>
      <sz val="11"/>
      <color theme="10"/>
      <name val="Calibri"/>
      <family val="2"/>
    </font>
    <font>
      <sz val="9"/>
      <color indexed="81"/>
      <name val="Tahoma"/>
      <family val="2"/>
    </font>
    <font>
      <sz val="10"/>
      <color theme="1"/>
      <name val="Calibri"/>
      <family val="2"/>
      <scheme val="minor"/>
    </font>
    <font>
      <b/>
      <sz val="10"/>
      <color theme="1"/>
      <name val="Calibri"/>
      <family val="2"/>
      <scheme val="minor"/>
    </font>
    <font>
      <sz val="11"/>
      <color rgb="FF0000FF"/>
      <name val="Calibri"/>
      <family val="2"/>
      <scheme val="minor"/>
    </font>
    <font>
      <b/>
      <sz val="12"/>
      <color theme="1"/>
      <name val="Arial"/>
      <family val="2"/>
    </font>
    <font>
      <b/>
      <sz val="10"/>
      <color theme="1"/>
      <name val="Arial"/>
      <family val="2"/>
    </font>
    <font>
      <sz val="10"/>
      <color theme="1"/>
      <name val="Arial"/>
      <family val="2"/>
    </font>
    <font>
      <sz val="12"/>
      <color theme="1"/>
      <name val="Arial"/>
      <family val="2"/>
    </font>
    <font>
      <sz val="10"/>
      <name val="Calibri"/>
      <family val="2"/>
      <scheme val="minor"/>
    </font>
    <font>
      <b/>
      <sz val="8"/>
      <name val="Arial"/>
      <family val="2"/>
    </font>
    <font>
      <b/>
      <sz val="12"/>
      <color theme="1"/>
      <name val="Calibri"/>
      <family val="2"/>
      <scheme val="minor"/>
    </font>
    <font>
      <b/>
      <i/>
      <sz val="14"/>
      <color rgb="FF0000FF"/>
      <name val="Calibri"/>
      <family val="2"/>
      <scheme val="minor"/>
    </font>
    <font>
      <b/>
      <i/>
      <sz val="12"/>
      <color rgb="FF0000FF"/>
      <name val="Calibri"/>
      <family val="2"/>
      <scheme val="minor"/>
    </font>
    <font>
      <u/>
      <sz val="10"/>
      <color theme="10"/>
      <name val="Calibri"/>
      <family val="2"/>
    </font>
    <font>
      <i/>
      <sz val="10"/>
      <color rgb="FFFF0000"/>
      <name val="Calibri"/>
      <family val="2"/>
      <scheme val="minor"/>
    </font>
    <font>
      <b/>
      <u/>
      <sz val="12"/>
      <color theme="1"/>
      <name val="Calibri"/>
      <family val="2"/>
      <scheme val="minor"/>
    </font>
    <font>
      <sz val="12"/>
      <color rgb="FF0000FF"/>
      <name val="Calibri"/>
      <family val="2"/>
      <scheme val="minor"/>
    </font>
    <font>
      <i/>
      <sz val="11"/>
      <name val="Calibri"/>
      <family val="2"/>
      <scheme val="minor"/>
    </font>
    <font>
      <sz val="12"/>
      <color theme="1"/>
      <name val="Calibri"/>
      <family val="2"/>
      <scheme val="minor"/>
    </font>
    <font>
      <i/>
      <sz val="12"/>
      <name val="Calibri"/>
      <family val="2"/>
      <scheme val="minor"/>
    </font>
    <font>
      <b/>
      <i/>
      <sz val="12"/>
      <name val="Calibri"/>
      <family val="2"/>
      <scheme val="minor"/>
    </font>
    <font>
      <i/>
      <sz val="12"/>
      <color rgb="FF0000FF"/>
      <name val="Calibri"/>
      <family val="2"/>
      <scheme val="minor"/>
    </font>
    <font>
      <b/>
      <i/>
      <sz val="14"/>
      <name val="Calibri"/>
      <family val="2"/>
      <scheme val="minor"/>
    </font>
    <font>
      <b/>
      <i/>
      <sz val="12"/>
      <color rgb="FFFF3300"/>
      <name val="Calibri"/>
      <family val="2"/>
      <scheme val="minor"/>
    </font>
    <font>
      <sz val="9"/>
      <color theme="1"/>
      <name val="Verdana"/>
      <family val="2"/>
    </font>
    <font>
      <b/>
      <sz val="9"/>
      <color theme="1"/>
      <name val="Verdana"/>
      <family val="2"/>
    </font>
    <font>
      <b/>
      <sz val="9"/>
      <name val="Verdana"/>
      <family val="2"/>
    </font>
    <font>
      <sz val="9"/>
      <name val="Verdana"/>
      <family val="2"/>
    </font>
    <font>
      <sz val="9"/>
      <color rgb="FF0000FF"/>
      <name val="Verdana"/>
      <family val="2"/>
    </font>
    <font>
      <b/>
      <sz val="10"/>
      <color theme="1"/>
      <name val="Segoe Script"/>
      <family val="4"/>
    </font>
    <font>
      <i/>
      <sz val="11"/>
      <color theme="1"/>
      <name val="Calibri"/>
      <family val="2"/>
      <scheme val="minor"/>
    </font>
    <font>
      <sz val="9"/>
      <color theme="1"/>
      <name val="Calibri"/>
      <family val="2"/>
      <scheme val="minor"/>
    </font>
    <font>
      <i/>
      <sz val="11"/>
      <color theme="0"/>
      <name val="Calibri"/>
      <family val="2"/>
      <scheme val="minor"/>
    </font>
    <font>
      <b/>
      <i/>
      <sz val="11"/>
      <color theme="0"/>
      <name val="Calibri"/>
      <family val="2"/>
      <scheme val="minor"/>
    </font>
    <font>
      <b/>
      <i/>
      <sz val="11"/>
      <color rgb="FF0000FF"/>
      <name val="Calibri"/>
      <family val="2"/>
      <scheme val="minor"/>
    </font>
    <font>
      <sz val="8"/>
      <color indexed="81"/>
      <name val="Tahoma"/>
      <family val="2"/>
    </font>
  </fonts>
  <fills count="27">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FFFFCC"/>
        <bgColor indexed="64"/>
      </patternFill>
    </fill>
    <fill>
      <gradientFill degree="90">
        <stop position="0">
          <color theme="0"/>
        </stop>
        <stop position="1">
          <color theme="2" tint="-0.25098422193060094"/>
        </stop>
      </gradientFill>
    </fill>
    <fill>
      <patternFill patternType="gray0625"/>
    </fill>
    <fill>
      <patternFill patternType="solid">
        <fgColor rgb="FF92D050"/>
        <bgColor indexed="64"/>
      </patternFill>
    </fill>
    <fill>
      <patternFill patternType="solid">
        <fgColor rgb="FFFF3300"/>
        <bgColor indexed="64"/>
      </patternFill>
    </fill>
    <fill>
      <patternFill patternType="solid">
        <fgColor theme="7" tint="0.59999389629810485"/>
        <bgColor indexed="64"/>
      </patternFill>
    </fill>
    <fill>
      <patternFill patternType="solid">
        <fgColor theme="3" tint="0.59999389629810485"/>
        <bgColor indexed="64"/>
      </patternFill>
    </fill>
    <fill>
      <gradientFill degree="90">
        <stop position="0">
          <color theme="3" tint="0.59999389629810485"/>
        </stop>
        <stop position="1">
          <color theme="7" tint="0.59999389629810485"/>
        </stop>
      </gradient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79998168889431442"/>
        <bgColor indexed="64"/>
      </patternFill>
    </fill>
    <fill>
      <gradientFill degree="90">
        <stop position="0">
          <color theme="0"/>
        </stop>
        <stop position="1">
          <color rgb="FF92D050"/>
        </stop>
      </gradientFill>
    </fill>
    <fill>
      <patternFill patternType="solid">
        <fgColor theme="3" tint="0.59996337778862885"/>
        <bgColor indexed="64"/>
      </patternFill>
    </fill>
    <fill>
      <patternFill patternType="solid">
        <fgColor theme="7" tint="0.59996337778862885"/>
        <bgColor indexed="64"/>
      </patternFill>
    </fill>
    <fill>
      <gradientFill>
        <stop position="0">
          <color theme="9"/>
        </stop>
        <stop position="1">
          <color rgb="FFFFFF00"/>
        </stop>
      </gradientFill>
    </fill>
    <fill>
      <patternFill patternType="solid">
        <fgColor rgb="FF33CC33"/>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0" tint="-0.249977111117893"/>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0" fontId="6" fillId="0" borderId="0"/>
    <xf numFmtId="0" fontId="10" fillId="0" borderId="0"/>
    <xf numFmtId="0" fontId="11" fillId="0" borderId="0" applyNumberFormat="0" applyFill="0" applyBorder="0" applyAlignment="0" applyProtection="0">
      <alignment vertical="top"/>
      <protection locked="0"/>
    </xf>
  </cellStyleXfs>
  <cellXfs count="384">
    <xf numFmtId="0" fontId="0" fillId="0" borderId="0" xfId="0"/>
    <xf numFmtId="0" fontId="1" fillId="0" borderId="0" xfId="0" applyFont="1"/>
    <xf numFmtId="0" fontId="2" fillId="0" borderId="0" xfId="0" applyFont="1"/>
    <xf numFmtId="0" fontId="4" fillId="0" borderId="0" xfId="0" applyFont="1"/>
    <xf numFmtId="0" fontId="7" fillId="5" borderId="0" xfId="1" applyFont="1" applyFill="1" applyBorder="1" applyAlignment="1">
      <alignment vertical="top"/>
    </xf>
    <xf numFmtId="0" fontId="8" fillId="5" borderId="0" xfId="1" applyFont="1" applyFill="1" applyBorder="1" applyAlignment="1">
      <alignment vertical="center"/>
    </xf>
    <xf numFmtId="0" fontId="7" fillId="5" borderId="0" xfId="1" applyFont="1" applyFill="1" applyBorder="1"/>
    <xf numFmtId="0" fontId="8" fillId="5" borderId="0" xfId="1" applyFont="1" applyFill="1" applyBorder="1" applyAlignment="1">
      <alignment vertical="center" wrapText="1"/>
    </xf>
    <xf numFmtId="0" fontId="0" fillId="5" borderId="0" xfId="0" applyFill="1"/>
    <xf numFmtId="0" fontId="9" fillId="0" borderId="0" xfId="0" applyFont="1"/>
    <xf numFmtId="0" fontId="6" fillId="0" borderId="0" xfId="0" applyFont="1"/>
    <xf numFmtId="0" fontId="7" fillId="4" borderId="1" xfId="0" applyFont="1" applyFill="1" applyBorder="1"/>
    <xf numFmtId="14" fontId="0" fillId="0" borderId="1" xfId="0" applyNumberFormat="1" applyBorder="1" applyAlignment="1">
      <alignment horizontal="left"/>
    </xf>
    <xf numFmtId="0" fontId="7" fillId="5" borderId="0" xfId="1" applyFont="1" applyFill="1" applyBorder="1" applyAlignment="1">
      <alignment vertical="top" wrapText="1"/>
    </xf>
    <xf numFmtId="0" fontId="7" fillId="4" borderId="1" xfId="1" applyFont="1" applyFill="1" applyBorder="1" applyAlignment="1">
      <alignment vertical="center"/>
    </xf>
    <xf numFmtId="0" fontId="0" fillId="0" borderId="0" xfId="0"/>
    <xf numFmtId="0" fontId="0" fillId="0" borderId="0" xfId="0"/>
    <xf numFmtId="0" fontId="13" fillId="0" borderId="0" xfId="0" applyFont="1" applyAlignment="1">
      <alignment vertical="top" wrapText="1"/>
    </xf>
    <xf numFmtId="0" fontId="0" fillId="0" borderId="0" xfId="0"/>
    <xf numFmtId="0" fontId="0" fillId="0" borderId="0" xfId="0" applyAlignment="1">
      <alignment vertical="top" wrapText="1"/>
    </xf>
    <xf numFmtId="0" fontId="1" fillId="0" borderId="0" xfId="0" applyFont="1" applyAlignment="1">
      <alignment vertical="top" wrapText="1"/>
    </xf>
    <xf numFmtId="0" fontId="0" fillId="0" borderId="0" xfId="0" applyAlignment="1" applyProtection="1">
      <alignment vertical="top" wrapText="1"/>
      <protection locked="0"/>
    </xf>
    <xf numFmtId="0" fontId="15" fillId="0" borderId="0" xfId="0" applyFont="1"/>
    <xf numFmtId="0" fontId="0" fillId="0" borderId="0" xfId="0"/>
    <xf numFmtId="0" fontId="0" fillId="0" borderId="0" xfId="0" applyFont="1"/>
    <xf numFmtId="0" fontId="0" fillId="0" borderId="1" xfId="0" applyFont="1" applyBorder="1" applyAlignment="1">
      <alignment vertical="top" wrapText="1"/>
    </xf>
    <xf numFmtId="0" fontId="0" fillId="0" borderId="1" xfId="0" applyFont="1" applyBorder="1" applyAlignment="1">
      <alignment vertical="top"/>
    </xf>
    <xf numFmtId="0" fontId="16" fillId="0" borderId="0" xfId="0" applyFont="1"/>
    <xf numFmtId="0" fontId="17" fillId="4" borderId="1" xfId="0" applyFont="1" applyFill="1" applyBorder="1"/>
    <xf numFmtId="0" fontId="0" fillId="0" borderId="1" xfId="0" applyBorder="1" applyAlignment="1">
      <alignment vertical="top" wrapText="1"/>
    </xf>
    <xf numFmtId="0" fontId="1" fillId="0" borderId="0" xfId="0" applyFont="1" applyBorder="1" applyAlignment="1">
      <alignment vertical="top" wrapText="1"/>
    </xf>
    <xf numFmtId="0" fontId="0" fillId="0" borderId="0" xfId="0" applyFont="1" applyAlignment="1">
      <alignment horizontal="center" vertical="top" wrapText="1"/>
    </xf>
    <xf numFmtId="0" fontId="0" fillId="0" borderId="0" xfId="0" applyAlignment="1">
      <alignment horizontal="center" vertical="center"/>
    </xf>
    <xf numFmtId="0" fontId="7" fillId="5" borderId="1" xfId="1" applyFont="1" applyFill="1" applyBorder="1" applyAlignment="1">
      <alignment horizontal="center" vertical="center" wrapText="1"/>
    </xf>
    <xf numFmtId="0" fontId="0" fillId="0" borderId="0" xfId="0" applyFont="1" applyAlignment="1" applyProtection="1">
      <alignment vertical="top" wrapText="1"/>
    </xf>
    <xf numFmtId="0" fontId="0" fillId="0" borderId="1" xfId="0" applyBorder="1" applyAlignment="1">
      <alignment vertical="top"/>
    </xf>
    <xf numFmtId="0" fontId="0" fillId="0" borderId="0" xfId="0" applyFont="1" applyAlignment="1">
      <alignment vertical="top" wrapText="1"/>
    </xf>
    <xf numFmtId="0" fontId="0" fillId="0" borderId="0" xfId="0" applyAlignment="1">
      <alignment vertical="top" wrapText="1"/>
    </xf>
    <xf numFmtId="0" fontId="0" fillId="0" borderId="0" xfId="0" applyFont="1" applyAlignment="1">
      <alignment vertical="top"/>
    </xf>
    <xf numFmtId="0" fontId="0" fillId="0" borderId="0" xfId="0" applyAlignment="1">
      <alignment vertical="top" wrapText="1"/>
    </xf>
    <xf numFmtId="0" fontId="0" fillId="0" borderId="0" xfId="0" applyFont="1" applyAlignment="1"/>
    <xf numFmtId="0" fontId="4" fillId="0" borderId="0" xfId="0" applyFont="1" applyAlignment="1">
      <alignment horizontal="left"/>
    </xf>
    <xf numFmtId="1" fontId="0" fillId="0" borderId="0" xfId="0" applyNumberFormat="1" applyFont="1" applyAlignment="1" applyProtection="1">
      <alignment horizontal="center" vertical="center" wrapText="1"/>
      <protection locked="0"/>
    </xf>
    <xf numFmtId="165" fontId="0" fillId="0" borderId="1" xfId="0" applyNumberFormat="1" applyFont="1" applyBorder="1" applyAlignment="1">
      <alignment horizontal="left" vertical="top"/>
    </xf>
    <xf numFmtId="0" fontId="3" fillId="0" borderId="0" xfId="0" applyFont="1" applyAlignment="1">
      <alignment horizontal="center" vertical="center" wrapText="1"/>
    </xf>
    <xf numFmtId="1" fontId="0" fillId="0" borderId="0" xfId="0" applyNumberFormat="1" applyAlignment="1" applyProtection="1">
      <alignment horizontal="center" vertical="center" wrapText="1"/>
      <protection locked="0"/>
    </xf>
    <xf numFmtId="0" fontId="17" fillId="5" borderId="1" xfId="1" applyFont="1" applyFill="1" applyBorder="1" applyAlignment="1">
      <alignment vertical="top"/>
    </xf>
    <xf numFmtId="0" fontId="18" fillId="5" borderId="1" xfId="1" applyFont="1" applyFill="1" applyBorder="1" applyAlignment="1">
      <alignment horizontal="center" vertical="center"/>
    </xf>
    <xf numFmtId="0" fontId="19" fillId="5" borderId="0" xfId="1" applyFont="1" applyFill="1" applyBorder="1" applyAlignment="1">
      <alignment vertical="center"/>
    </xf>
    <xf numFmtId="0" fontId="17" fillId="5" borderId="0" xfId="1" applyFont="1" applyFill="1" applyBorder="1"/>
    <xf numFmtId="0" fontId="19" fillId="5" borderId="0" xfId="1" applyFont="1" applyFill="1" applyBorder="1" applyAlignment="1">
      <alignment vertical="center" wrapText="1"/>
    </xf>
    <xf numFmtId="0" fontId="18" fillId="5" borderId="1" xfId="1" applyFont="1" applyFill="1" applyBorder="1" applyAlignment="1">
      <alignment vertical="top"/>
    </xf>
    <xf numFmtId="0" fontId="18" fillId="5" borderId="1" xfId="1" applyFont="1" applyFill="1" applyBorder="1" applyAlignment="1">
      <alignment vertical="center"/>
    </xf>
    <xf numFmtId="0" fontId="18" fillId="5" borderId="1" xfId="1" applyFont="1" applyFill="1" applyBorder="1"/>
    <xf numFmtId="0" fontId="18" fillId="5" borderId="1" xfId="1" applyFont="1" applyFill="1" applyBorder="1" applyAlignment="1">
      <alignment vertical="center" wrapText="1"/>
    </xf>
    <xf numFmtId="0" fontId="1" fillId="0" borderId="0" xfId="0" applyFont="1" applyBorder="1" applyAlignment="1">
      <alignment vertical="center" wrapText="1"/>
    </xf>
    <xf numFmtId="0" fontId="1" fillId="0" borderId="1" xfId="0" applyFont="1" applyBorder="1" applyAlignment="1">
      <alignment horizontal="center" vertical="top" wrapText="1"/>
    </xf>
    <xf numFmtId="0" fontId="0" fillId="0" borderId="0" xfId="0" applyAlignment="1">
      <alignment vertical="top" wrapText="1"/>
    </xf>
    <xf numFmtId="0" fontId="13" fillId="0" borderId="1" xfId="0" applyFont="1" applyBorder="1" applyAlignment="1">
      <alignment horizontal="center" vertical="top" wrapText="1"/>
    </xf>
    <xf numFmtId="0" fontId="13" fillId="0" borderId="1" xfId="0" applyFont="1" applyBorder="1" applyAlignment="1">
      <alignment vertical="top" wrapText="1"/>
    </xf>
    <xf numFmtId="0" fontId="13" fillId="0" borderId="1" xfId="0" applyFont="1" applyFill="1" applyBorder="1" applyAlignment="1">
      <alignment vertical="top" wrapText="1"/>
    </xf>
    <xf numFmtId="0" fontId="13" fillId="0" borderId="5" xfId="0" applyFont="1" applyFill="1" applyBorder="1" applyAlignment="1">
      <alignment vertical="top" wrapText="1"/>
    </xf>
    <xf numFmtId="0" fontId="0" fillId="0" borderId="0" xfId="0" applyAlignment="1">
      <alignment vertical="top" wrapText="1"/>
    </xf>
    <xf numFmtId="49" fontId="0" fillId="0" borderId="0" xfId="0" applyNumberFormat="1" applyFont="1" applyAlignment="1">
      <alignment horizontal="center" vertical="top" wrapText="1"/>
    </xf>
    <xf numFmtId="0" fontId="22" fillId="0" borderId="0" xfId="0" applyFont="1" applyAlignment="1">
      <alignment horizontal="center" vertical="center" wrapText="1"/>
    </xf>
    <xf numFmtId="0" fontId="13" fillId="2" borderId="1" xfId="0" applyFont="1" applyFill="1" applyBorder="1" applyAlignment="1" applyProtection="1">
      <alignment horizontal="left" vertical="top" wrapText="1"/>
      <protection locked="0"/>
    </xf>
    <xf numFmtId="165" fontId="13" fillId="2" borderId="1" xfId="0" applyNumberFormat="1" applyFont="1" applyFill="1" applyBorder="1" applyAlignment="1" applyProtection="1">
      <alignment horizontal="left" vertical="top" wrapText="1"/>
      <protection locked="0"/>
    </xf>
    <xf numFmtId="0" fontId="13" fillId="2" borderId="6" xfId="0" applyFont="1" applyFill="1" applyBorder="1" applyAlignment="1" applyProtection="1">
      <alignment horizontal="left" vertical="top" wrapText="1"/>
      <protection locked="0"/>
    </xf>
    <xf numFmtId="0" fontId="13" fillId="2" borderId="5" xfId="0" applyFont="1" applyFill="1" applyBorder="1" applyAlignment="1" applyProtection="1">
      <alignment horizontal="left" vertical="top" wrapText="1"/>
      <protection locked="0"/>
    </xf>
    <xf numFmtId="165" fontId="13" fillId="2" borderId="5" xfId="0" applyNumberFormat="1" applyFont="1" applyFill="1" applyBorder="1" applyAlignment="1" applyProtection="1">
      <alignment horizontal="left" vertical="top" wrapText="1"/>
      <protection locked="0"/>
    </xf>
    <xf numFmtId="0" fontId="0" fillId="0" borderId="0" xfId="0" applyAlignment="1" applyProtection="1">
      <alignment horizontal="center" vertical="top" wrapText="1"/>
      <protection locked="0"/>
    </xf>
    <xf numFmtId="0" fontId="13" fillId="2" borderId="1" xfId="0" applyFont="1" applyFill="1" applyBorder="1" applyAlignment="1" applyProtection="1">
      <alignment horizontal="center" vertical="top" wrapText="1"/>
      <protection locked="0"/>
    </xf>
    <xf numFmtId="0" fontId="13" fillId="2" borderId="6" xfId="0" applyFont="1" applyFill="1" applyBorder="1" applyAlignment="1" applyProtection="1">
      <alignment horizontal="center" vertical="top" wrapText="1"/>
      <protection locked="0"/>
    </xf>
    <xf numFmtId="0" fontId="13" fillId="2" borderId="5" xfId="0" applyFont="1" applyFill="1" applyBorder="1" applyAlignment="1" applyProtection="1">
      <alignment horizontal="center" vertical="top" wrapText="1"/>
      <protection locked="0"/>
    </xf>
    <xf numFmtId="165" fontId="13" fillId="2" borderId="1" xfId="0" applyNumberFormat="1" applyFont="1" applyFill="1" applyBorder="1" applyAlignment="1" applyProtection="1">
      <alignment horizontal="center" vertical="top" wrapText="1"/>
      <protection locked="0"/>
    </xf>
    <xf numFmtId="165" fontId="13" fillId="2" borderId="6" xfId="0" applyNumberFormat="1" applyFont="1" applyFill="1" applyBorder="1" applyAlignment="1" applyProtection="1">
      <alignment horizontal="center" vertical="top" wrapText="1"/>
      <protection locked="0"/>
    </xf>
    <xf numFmtId="164" fontId="1" fillId="0" borderId="0" xfId="0" applyNumberFormat="1" applyFont="1" applyAlignment="1" applyProtection="1">
      <alignment horizontal="left" vertical="top" wrapText="1"/>
      <protection locked="0"/>
    </xf>
    <xf numFmtId="0" fontId="0" fillId="0" borderId="0" xfId="0" applyAlignment="1" applyProtection="1">
      <alignment horizontal="left" vertical="top" wrapText="1"/>
      <protection locked="0"/>
    </xf>
    <xf numFmtId="164" fontId="13" fillId="0" borderId="1" xfId="0" applyNumberFormat="1" applyFont="1" applyBorder="1" applyAlignment="1" applyProtection="1">
      <alignment horizontal="left" vertical="top" wrapText="1"/>
      <protection locked="0"/>
    </xf>
    <xf numFmtId="164" fontId="13" fillId="0" borderId="5" xfId="0" applyNumberFormat="1" applyFont="1" applyBorder="1" applyAlignment="1" applyProtection="1">
      <alignment horizontal="left" vertical="top" wrapText="1"/>
      <protection locked="0"/>
    </xf>
    <xf numFmtId="164" fontId="13" fillId="0" borderId="6" xfId="0" applyNumberFormat="1" applyFont="1" applyBorder="1" applyAlignment="1" applyProtection="1">
      <alignment horizontal="left" vertical="top" wrapText="1"/>
      <protection locked="0"/>
    </xf>
    <xf numFmtId="0" fontId="14" fillId="0" borderId="1" xfId="0" applyFont="1" applyBorder="1" applyAlignment="1">
      <alignment horizontal="center" vertical="top" wrapText="1"/>
    </xf>
    <xf numFmtId="49" fontId="13" fillId="6" borderId="1" xfId="0" applyNumberFormat="1" applyFont="1" applyFill="1" applyBorder="1" applyAlignment="1">
      <alignment horizontal="center" vertical="top" wrapText="1"/>
    </xf>
    <xf numFmtId="0" fontId="13" fillId="6" borderId="1" xfId="0" applyFont="1" applyFill="1" applyBorder="1" applyAlignment="1">
      <alignment vertical="top" wrapText="1"/>
    </xf>
    <xf numFmtId="0" fontId="25" fillId="6" borderId="1" xfId="3" applyFont="1" applyFill="1" applyBorder="1" applyAlignment="1" applyProtection="1">
      <alignment horizontal="center" vertical="top" wrapText="1"/>
    </xf>
    <xf numFmtId="0" fontId="13" fillId="6" borderId="1" xfId="0" applyFont="1" applyFill="1" applyBorder="1" applyAlignment="1">
      <alignment horizontal="left" vertical="top" wrapText="1"/>
    </xf>
    <xf numFmtId="49" fontId="13" fillId="0" borderId="1" xfId="0" applyNumberFormat="1" applyFont="1" applyBorder="1" applyAlignment="1">
      <alignment horizontal="center" vertical="top" wrapText="1"/>
    </xf>
    <xf numFmtId="0" fontId="13" fillId="0" borderId="1" xfId="0" applyFont="1" applyFill="1" applyBorder="1" applyAlignment="1">
      <alignment horizontal="left" vertical="top" wrapText="1"/>
    </xf>
    <xf numFmtId="0" fontId="14" fillId="6" borderId="1" xfId="0" applyFont="1" applyFill="1" applyBorder="1" applyAlignment="1">
      <alignment horizontal="center" vertical="top" wrapText="1"/>
    </xf>
    <xf numFmtId="0" fontId="14" fillId="0" borderId="5" xfId="0" applyFont="1" applyBorder="1" applyAlignment="1">
      <alignment horizontal="center" vertical="top" wrapText="1"/>
    </xf>
    <xf numFmtId="49" fontId="13" fillId="0" borderId="5" xfId="0" applyNumberFormat="1" applyFont="1" applyBorder="1" applyAlignment="1">
      <alignment horizontal="center" vertical="top" wrapText="1"/>
    </xf>
    <xf numFmtId="0" fontId="13" fillId="0" borderId="5" xfId="0" applyFont="1" applyFill="1" applyBorder="1" applyAlignment="1">
      <alignment horizontal="left" vertical="top" wrapText="1"/>
    </xf>
    <xf numFmtId="0" fontId="14" fillId="0" borderId="6" xfId="0" applyFont="1" applyBorder="1" applyAlignment="1">
      <alignment horizontal="center" vertical="top" wrapText="1"/>
    </xf>
    <xf numFmtId="49" fontId="13" fillId="6" borderId="6" xfId="0" applyNumberFormat="1" applyFont="1" applyFill="1" applyBorder="1" applyAlignment="1">
      <alignment horizontal="center" vertical="top" wrapText="1"/>
    </xf>
    <xf numFmtId="0" fontId="13" fillId="6" borderId="6" xfId="0" applyFont="1" applyFill="1" applyBorder="1" applyAlignment="1">
      <alignment vertical="top" wrapText="1"/>
    </xf>
    <xf numFmtId="0" fontId="25" fillId="6" borderId="6" xfId="3" applyFont="1" applyFill="1" applyBorder="1" applyAlignment="1" applyProtection="1">
      <alignment horizontal="center" vertical="top" wrapText="1"/>
    </xf>
    <xf numFmtId="49" fontId="1" fillId="0" borderId="1" xfId="0" applyNumberFormat="1" applyFont="1" applyBorder="1" applyAlignment="1">
      <alignment horizontal="center" vertical="top" wrapText="1"/>
    </xf>
    <xf numFmtId="164" fontId="1" fillId="0" borderId="1" xfId="0" applyNumberFormat="1" applyFont="1" applyBorder="1" applyAlignment="1" applyProtection="1">
      <alignment horizontal="center" vertical="top" wrapText="1"/>
      <protection locked="0"/>
    </xf>
    <xf numFmtId="0" fontId="1" fillId="2" borderId="1" xfId="0" applyFont="1" applyFill="1" applyBorder="1" applyAlignment="1" applyProtection="1">
      <alignment horizontal="center" vertical="top" wrapText="1"/>
      <protection locked="0"/>
    </xf>
    <xf numFmtId="0" fontId="1" fillId="0" borderId="0" xfId="0" applyFont="1" applyBorder="1" applyAlignment="1">
      <alignment horizontal="center" vertical="top" wrapText="1"/>
    </xf>
    <xf numFmtId="164" fontId="1" fillId="0" borderId="0" xfId="0" applyNumberFormat="1" applyFont="1" applyAlignment="1" applyProtection="1">
      <alignment horizontal="center" vertical="top" wrapText="1"/>
      <protection locked="0"/>
    </xf>
    <xf numFmtId="164" fontId="13" fillId="0" borderId="1" xfId="0" applyNumberFormat="1" applyFont="1" applyBorder="1" applyAlignment="1" applyProtection="1">
      <alignment horizontal="center" vertical="top" wrapText="1"/>
    </xf>
    <xf numFmtId="164" fontId="1" fillId="0" borderId="1" xfId="0" applyNumberFormat="1" applyFont="1" applyBorder="1" applyAlignment="1" applyProtection="1">
      <alignment horizontal="center" vertical="top" wrapText="1"/>
    </xf>
    <xf numFmtId="164" fontId="13" fillId="0" borderId="5" xfId="0" applyNumberFormat="1" applyFont="1" applyBorder="1" applyAlignment="1" applyProtection="1">
      <alignment horizontal="center" vertical="top" wrapText="1"/>
    </xf>
    <xf numFmtId="164" fontId="13" fillId="0" borderId="6" xfId="0" applyNumberFormat="1" applyFont="1" applyBorder="1" applyAlignment="1" applyProtection="1">
      <alignment horizontal="center" vertical="top" wrapText="1"/>
    </xf>
    <xf numFmtId="0" fontId="13" fillId="0" borderId="1" xfId="0" applyFont="1" applyFill="1" applyBorder="1" applyAlignment="1" applyProtection="1">
      <alignment horizontal="center" vertical="top" wrapText="1"/>
      <protection locked="0"/>
    </xf>
    <xf numFmtId="0" fontId="13" fillId="0" borderId="5" xfId="0" applyFont="1" applyFill="1" applyBorder="1" applyAlignment="1" applyProtection="1">
      <alignment horizontal="center" vertical="top" wrapText="1"/>
      <protection locked="0"/>
    </xf>
    <xf numFmtId="0" fontId="13" fillId="0" borderId="6" xfId="0" applyFont="1" applyFill="1" applyBorder="1" applyAlignment="1" applyProtection="1">
      <alignment horizontal="center" vertical="top" wrapText="1"/>
      <protection locked="0"/>
    </xf>
    <xf numFmtId="14" fontId="13" fillId="2" borderId="1" xfId="0" applyNumberFormat="1" applyFont="1" applyFill="1" applyBorder="1" applyAlignment="1" applyProtection="1">
      <alignment horizontal="center" vertical="top" wrapText="1"/>
      <protection locked="0"/>
    </xf>
    <xf numFmtId="0" fontId="4" fillId="0" borderId="0" xfId="0" applyFont="1" applyAlignment="1">
      <alignment horizontal="left"/>
    </xf>
    <xf numFmtId="0" fontId="0" fillId="0" borderId="0" xfId="0" applyAlignment="1">
      <alignment vertical="top" wrapText="1"/>
    </xf>
    <xf numFmtId="0" fontId="26" fillId="0" borderId="0" xfId="0" applyFont="1"/>
    <xf numFmtId="0" fontId="1" fillId="7" borderId="0" xfId="0" applyFont="1" applyFill="1" applyAlignment="1">
      <alignment horizontal="center" vertical="center"/>
    </xf>
    <xf numFmtId="0" fontId="3" fillId="0" borderId="1" xfId="0" applyFont="1" applyBorder="1" applyAlignment="1">
      <alignment horizontal="left" vertical="top" wrapText="1"/>
    </xf>
    <xf numFmtId="0" fontId="14" fillId="0" borderId="0" xfId="0" applyFont="1" applyAlignment="1">
      <alignment vertical="top" wrapText="1"/>
    </xf>
    <xf numFmtId="0" fontId="13" fillId="0" borderId="0" xfId="0" applyFont="1" applyAlignment="1">
      <alignment horizontal="center" vertical="top" wrapText="1"/>
    </xf>
    <xf numFmtId="0" fontId="13" fillId="0" borderId="0" xfId="0" applyFont="1" applyAlignment="1" applyProtection="1">
      <alignment vertical="top" wrapText="1"/>
    </xf>
    <xf numFmtId="0" fontId="13" fillId="0" borderId="1" xfId="0" applyFont="1" applyFill="1" applyBorder="1" applyAlignment="1" applyProtection="1">
      <alignment vertical="top" wrapText="1"/>
    </xf>
    <xf numFmtId="0" fontId="14" fillId="0" borderId="0" xfId="0" applyFont="1" applyBorder="1" applyAlignment="1">
      <alignment horizontal="center" vertical="top" wrapText="1"/>
    </xf>
    <xf numFmtId="164" fontId="14" fillId="0" borderId="1" xfId="0" applyNumberFormat="1" applyFont="1" applyBorder="1" applyAlignment="1" applyProtection="1">
      <alignment horizontal="center" vertical="top" wrapText="1"/>
    </xf>
    <xf numFmtId="0" fontId="13" fillId="0" borderId="1" xfId="0" applyFont="1" applyFill="1" applyBorder="1" applyAlignment="1" applyProtection="1">
      <alignment horizontal="left" vertical="top" wrapText="1"/>
      <protection locked="0"/>
    </xf>
    <xf numFmtId="1" fontId="14" fillId="7" borderId="3" xfId="0" applyNumberFormat="1" applyFont="1" applyFill="1" applyBorder="1" applyAlignment="1" applyProtection="1">
      <alignment vertical="center" wrapText="1"/>
      <protection locked="0"/>
    </xf>
    <xf numFmtId="1" fontId="14" fillId="7" borderId="4" xfId="0" applyNumberFormat="1" applyFont="1" applyFill="1" applyBorder="1" applyAlignment="1" applyProtection="1">
      <alignment vertical="center" wrapText="1"/>
      <protection locked="0"/>
    </xf>
    <xf numFmtId="1" fontId="13" fillId="0" borderId="1" xfId="0" applyNumberFormat="1" applyFont="1" applyBorder="1" applyAlignment="1" applyProtection="1">
      <alignment horizontal="center" vertical="top"/>
      <protection locked="0"/>
    </xf>
    <xf numFmtId="0" fontId="3" fillId="0" borderId="1" xfId="0" quotePrefix="1" applyFont="1" applyBorder="1" applyAlignment="1">
      <alignment horizontal="left" vertical="top" wrapText="1"/>
    </xf>
    <xf numFmtId="1" fontId="14" fillId="0" borderId="6" xfId="0" applyNumberFormat="1" applyFont="1" applyBorder="1" applyAlignment="1" applyProtection="1">
      <alignment horizontal="center" vertical="top" wrapText="1"/>
      <protection locked="0"/>
    </xf>
    <xf numFmtId="164" fontId="14" fillId="0" borderId="6" xfId="0" applyNumberFormat="1" applyFont="1" applyBorder="1" applyAlignment="1" applyProtection="1">
      <alignment horizontal="center" vertical="top" wrapText="1"/>
      <protection locked="0"/>
    </xf>
    <xf numFmtId="0" fontId="21" fillId="0" borderId="1" xfId="0" applyFont="1" applyBorder="1" applyAlignment="1">
      <alignment horizontal="center" vertical="top" wrapText="1"/>
    </xf>
    <xf numFmtId="1" fontId="14" fillId="7" borderId="3" xfId="0" applyNumberFormat="1" applyFont="1" applyFill="1" applyBorder="1" applyAlignment="1" applyProtection="1">
      <alignment horizontal="center" vertical="center" wrapText="1"/>
      <protection locked="0"/>
    </xf>
    <xf numFmtId="0" fontId="21" fillId="0" borderId="0"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Fill="1" applyBorder="1" applyAlignment="1" applyProtection="1">
      <alignment vertical="top" wrapText="1"/>
    </xf>
    <xf numFmtId="0" fontId="3" fillId="0" borderId="0" xfId="0" quotePrefix="1" applyFont="1" applyBorder="1" applyAlignment="1">
      <alignment horizontal="left" vertical="top" wrapText="1"/>
    </xf>
    <xf numFmtId="0" fontId="13" fillId="0" borderId="0" xfId="0" applyFont="1" applyFill="1" applyBorder="1" applyAlignment="1" applyProtection="1">
      <alignment horizontal="center" vertical="top" wrapText="1"/>
      <protection locked="0"/>
    </xf>
    <xf numFmtId="0" fontId="13" fillId="0" borderId="0" xfId="0" applyFont="1" applyFill="1" applyBorder="1" applyAlignment="1" applyProtection="1">
      <alignment horizontal="left" vertical="top" wrapText="1"/>
      <protection locked="0"/>
    </xf>
    <xf numFmtId="0" fontId="22" fillId="5" borderId="2" xfId="0" applyFont="1" applyFill="1" applyBorder="1" applyAlignment="1">
      <alignment horizontal="center" vertical="center" wrapText="1"/>
    </xf>
    <xf numFmtId="0" fontId="24" fillId="5" borderId="1" xfId="0" applyNumberFormat="1" applyFont="1" applyFill="1" applyBorder="1" applyAlignment="1">
      <alignment horizontal="center" vertical="center" wrapText="1"/>
    </xf>
    <xf numFmtId="0" fontId="24" fillId="0" borderId="1" xfId="0" quotePrefix="1" applyNumberFormat="1" applyFont="1" applyBorder="1" applyAlignment="1">
      <alignment horizontal="center" vertical="center" wrapText="1"/>
    </xf>
    <xf numFmtId="1" fontId="13" fillId="8" borderId="1" xfId="0" applyNumberFormat="1" applyFont="1" applyFill="1" applyBorder="1" applyAlignment="1" applyProtection="1">
      <alignment horizontal="center" vertical="top" wrapText="1"/>
    </xf>
    <xf numFmtId="1" fontId="14" fillId="7" borderId="3" xfId="0" applyNumberFormat="1" applyFont="1" applyFill="1" applyBorder="1" applyAlignment="1" applyProtection="1">
      <alignment horizontal="center" vertical="center" wrapText="1"/>
      <protection locked="0"/>
    </xf>
    <xf numFmtId="0" fontId="11" fillId="0" borderId="0" xfId="3" applyBorder="1" applyAlignment="1" applyProtection="1">
      <alignment horizontal="right"/>
    </xf>
    <xf numFmtId="0" fontId="13" fillId="0" borderId="1" xfId="0" applyFont="1" applyFill="1" applyBorder="1" applyAlignment="1" applyProtection="1">
      <alignment horizontal="center" vertical="top" wrapText="1"/>
    </xf>
    <xf numFmtId="164" fontId="13" fillId="0" borderId="1" xfId="0" applyNumberFormat="1" applyFont="1" applyBorder="1" applyAlignment="1" applyProtection="1">
      <alignment horizontal="center" vertical="center"/>
    </xf>
    <xf numFmtId="0" fontId="4" fillId="0" borderId="0" xfId="0" applyFont="1" applyProtection="1"/>
    <xf numFmtId="0" fontId="2" fillId="0" borderId="0" xfId="0" applyFont="1" applyProtection="1"/>
    <xf numFmtId="0" fontId="1" fillId="0" borderId="0" xfId="0" applyFont="1" applyProtection="1"/>
    <xf numFmtId="0" fontId="1" fillId="0" borderId="0" xfId="0" applyFont="1" applyFill="1" applyProtection="1"/>
    <xf numFmtId="0" fontId="0" fillId="0" borderId="0" xfId="0" applyAlignment="1" applyProtection="1"/>
    <xf numFmtId="0" fontId="0" fillId="0" borderId="0" xfId="0" applyFont="1" applyAlignment="1" applyProtection="1">
      <alignment horizontal="right"/>
    </xf>
    <xf numFmtId="0" fontId="0" fillId="0" borderId="0" xfId="0" applyAlignment="1" applyProtection="1">
      <alignment horizontal="right"/>
    </xf>
    <xf numFmtId="0" fontId="1" fillId="0" borderId="0" xfId="0" applyFont="1" applyAlignment="1" applyProtection="1">
      <alignment vertical="center"/>
    </xf>
    <xf numFmtId="0" fontId="0" fillId="0" borderId="0" xfId="0" applyProtection="1"/>
    <xf numFmtId="0" fontId="2" fillId="0" borderId="0" xfId="0" applyFont="1" applyBorder="1" applyAlignment="1" applyProtection="1">
      <alignment horizontal="right" vertical="center"/>
    </xf>
    <xf numFmtId="164" fontId="13" fillId="0" borderId="0" xfId="0" applyNumberFormat="1" applyFont="1" applyBorder="1" applyAlignment="1" applyProtection="1">
      <alignment horizontal="center" vertical="top"/>
    </xf>
    <xf numFmtId="0" fontId="0" fillId="0" borderId="0" xfId="0" applyAlignment="1" applyProtection="1">
      <alignment horizontal="center"/>
    </xf>
    <xf numFmtId="0" fontId="0" fillId="0" borderId="0" xfId="0" applyBorder="1" applyAlignment="1" applyProtection="1"/>
    <xf numFmtId="0" fontId="5" fillId="0" borderId="0" xfId="0" applyFont="1" applyAlignment="1" applyProtection="1">
      <alignment horizontal="center"/>
    </xf>
    <xf numFmtId="0" fontId="1" fillId="3" borderId="0" xfId="0" applyFont="1" applyFill="1" applyAlignment="1" applyProtection="1">
      <alignment horizontal="center" vertical="center" wrapText="1"/>
    </xf>
    <xf numFmtId="0" fontId="1" fillId="10" borderId="0" xfId="0" applyFont="1" applyFill="1" applyAlignment="1" applyProtection="1">
      <alignment horizontal="center" vertical="center" wrapText="1"/>
    </xf>
    <xf numFmtId="0" fontId="3" fillId="0" borderId="0" xfId="0" applyFont="1" applyAlignment="1" applyProtection="1"/>
    <xf numFmtId="0" fontId="30" fillId="0" borderId="0" xfId="0" applyFont="1"/>
    <xf numFmtId="0" fontId="31" fillId="0" borderId="0" xfId="0" applyFont="1" applyAlignment="1">
      <alignment vertical="top" wrapText="1"/>
    </xf>
    <xf numFmtId="0" fontId="31" fillId="0" borderId="0" xfId="0" applyFont="1"/>
    <xf numFmtId="0" fontId="34" fillId="0" borderId="0" xfId="0" applyFont="1"/>
    <xf numFmtId="0" fontId="29" fillId="0" borderId="0" xfId="0" applyFont="1"/>
    <xf numFmtId="0" fontId="31" fillId="0" borderId="0" xfId="0" applyFont="1" applyAlignment="1"/>
    <xf numFmtId="0" fontId="35" fillId="0" borderId="0" xfId="0" applyFont="1" applyAlignment="1">
      <alignment vertical="top" wrapText="1"/>
    </xf>
    <xf numFmtId="0" fontId="0" fillId="7" borderId="0" xfId="0" applyFill="1" applyBorder="1"/>
    <xf numFmtId="0" fontId="0" fillId="7" borderId="0" xfId="0" applyFill="1" applyBorder="1" applyAlignment="1">
      <alignment horizontal="center" vertical="center"/>
    </xf>
    <xf numFmtId="0" fontId="0" fillId="5" borderId="0" xfId="0" applyFill="1" applyAlignment="1">
      <alignment horizontal="center" vertical="center"/>
    </xf>
    <xf numFmtId="0" fontId="0" fillId="7" borderId="9" xfId="0" applyFill="1" applyBorder="1"/>
    <xf numFmtId="0" fontId="0" fillId="7" borderId="10" xfId="0" applyFill="1" applyBorder="1" applyAlignment="1">
      <alignment horizontal="center" vertical="center"/>
    </xf>
    <xf numFmtId="0" fontId="0" fillId="7" borderId="10"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applyAlignment="1">
      <alignment horizontal="center" vertical="center"/>
    </xf>
    <xf numFmtId="0" fontId="0" fillId="7" borderId="15" xfId="0" applyFill="1" applyBorder="1"/>
    <xf numFmtId="0" fontId="0" fillId="7" borderId="16" xfId="0" applyFill="1" applyBorder="1"/>
    <xf numFmtId="0" fontId="36" fillId="0" borderId="0" xfId="0" applyFont="1" applyFill="1" applyAlignment="1">
      <alignment vertical="top"/>
    </xf>
    <xf numFmtId="0" fontId="39" fillId="0" borderId="1" xfId="0" applyFont="1" applyFill="1" applyBorder="1" applyAlignment="1">
      <alignment vertical="top" wrapText="1"/>
    </xf>
    <xf numFmtId="0" fontId="40" fillId="0" borderId="1" xfId="0" applyFont="1" applyFill="1" applyBorder="1" applyAlignment="1">
      <alignment vertical="top" wrapText="1"/>
    </xf>
    <xf numFmtId="0" fontId="36" fillId="0" borderId="0" xfId="0" applyFont="1" applyFill="1" applyAlignment="1">
      <alignment vertical="top" wrapText="1"/>
    </xf>
    <xf numFmtId="0" fontId="38" fillId="7" borderId="1" xfId="0" applyFont="1" applyFill="1" applyBorder="1" applyAlignment="1">
      <alignment horizontal="center" vertical="top" wrapText="1"/>
    </xf>
    <xf numFmtId="0" fontId="38" fillId="11" borderId="1" xfId="0" applyFont="1" applyFill="1" applyBorder="1" applyAlignment="1">
      <alignment horizontal="center" vertical="top" wrapText="1"/>
    </xf>
    <xf numFmtId="0" fontId="38" fillId="10" borderId="1" xfId="0" applyFont="1" applyFill="1" applyBorder="1" applyAlignment="1">
      <alignment horizontal="center" vertical="top" wrapText="1"/>
    </xf>
    <xf numFmtId="0" fontId="37" fillId="0" borderId="0" xfId="0" applyFont="1" applyFill="1" applyAlignment="1">
      <alignment horizontal="center" vertical="top" wrapText="1"/>
    </xf>
    <xf numFmtId="0" fontId="38" fillId="13" borderId="1" xfId="0" applyFont="1" applyFill="1" applyBorder="1" applyAlignment="1">
      <alignment horizontal="center" vertical="top" wrapText="1"/>
    </xf>
    <xf numFmtId="0" fontId="38" fillId="12" borderId="1" xfId="0" applyFont="1" applyFill="1" applyBorder="1" applyAlignment="1">
      <alignment horizontal="center" vertical="top" wrapText="1"/>
    </xf>
    <xf numFmtId="0" fontId="0" fillId="7" borderId="0" xfId="0" applyFill="1" applyBorder="1" applyAlignment="1">
      <alignment horizontal="center"/>
    </xf>
    <xf numFmtId="0" fontId="1" fillId="7" borderId="0" xfId="0" applyFont="1" applyFill="1" applyBorder="1" applyAlignment="1">
      <alignment vertical="center"/>
    </xf>
    <xf numFmtId="0" fontId="1" fillId="7" borderId="0" xfId="0" applyFont="1" applyFill="1" applyBorder="1"/>
    <xf numFmtId="0" fontId="0" fillId="15" borderId="17" xfId="0" applyFill="1" applyBorder="1" applyAlignment="1">
      <alignment horizontal="center" vertical="center"/>
    </xf>
    <xf numFmtId="0" fontId="11" fillId="15" borderId="18" xfId="3" applyFill="1" applyBorder="1" applyAlignment="1" applyProtection="1"/>
    <xf numFmtId="0" fontId="0" fillId="15" borderId="19" xfId="0" applyFill="1" applyBorder="1" applyAlignment="1">
      <alignment horizontal="center" vertical="center"/>
    </xf>
    <xf numFmtId="0" fontId="11" fillId="15" borderId="20" xfId="3" applyFill="1" applyBorder="1" applyAlignment="1" applyProtection="1"/>
    <xf numFmtId="0" fontId="0" fillId="15" borderId="21" xfId="0" applyFill="1" applyBorder="1" applyAlignment="1">
      <alignment horizontal="center" vertical="center"/>
    </xf>
    <xf numFmtId="0" fontId="11" fillId="15" borderId="22" xfId="3" applyFill="1" applyBorder="1" applyAlignment="1" applyProtection="1"/>
    <xf numFmtId="0" fontId="36" fillId="5" borderId="0" xfId="0" applyFont="1" applyFill="1" applyAlignment="1">
      <alignment vertical="top"/>
    </xf>
    <xf numFmtId="0" fontId="37" fillId="5" borderId="0" xfId="0" applyFont="1" applyFill="1" applyAlignment="1">
      <alignment horizontal="center" vertical="top" wrapText="1"/>
    </xf>
    <xf numFmtId="0" fontId="36" fillId="5" borderId="0" xfId="0" applyFont="1" applyFill="1" applyAlignment="1">
      <alignment vertical="top" wrapText="1"/>
    </xf>
    <xf numFmtId="0" fontId="1" fillId="20" borderId="0" xfId="0" applyFont="1" applyFill="1" applyAlignment="1" applyProtection="1">
      <alignment horizontal="center" vertical="center" wrapText="1"/>
    </xf>
    <xf numFmtId="0" fontId="1" fillId="21" borderId="0" xfId="0" applyFont="1" applyFill="1" applyAlignment="1" applyProtection="1">
      <alignment horizontal="center" vertical="center" wrapText="1"/>
    </xf>
    <xf numFmtId="164" fontId="1" fillId="0" borderId="0" xfId="0" applyNumberFormat="1" applyFont="1" applyProtection="1"/>
    <xf numFmtId="0" fontId="42" fillId="0" borderId="0" xfId="0" applyFont="1" applyAlignment="1" applyProtection="1">
      <alignment horizontal="center" vertical="center"/>
    </xf>
    <xf numFmtId="164" fontId="14" fillId="0" borderId="1" xfId="0" applyNumberFormat="1" applyFont="1" applyBorder="1" applyAlignment="1" applyProtection="1">
      <alignment horizontal="center" vertical="center"/>
    </xf>
    <xf numFmtId="0" fontId="3" fillId="0" borderId="0" xfId="0" applyNumberFormat="1" applyFont="1" applyAlignment="1">
      <alignment horizontal="center" vertical="center" wrapText="1"/>
    </xf>
    <xf numFmtId="164" fontId="45" fillId="0" borderId="0" xfId="0" applyNumberFormat="1" applyFont="1" applyAlignment="1" applyProtection="1">
      <alignment horizontal="center" vertical="center"/>
    </xf>
    <xf numFmtId="0" fontId="44" fillId="0" borderId="0" xfId="0" applyFont="1" applyAlignment="1" applyProtection="1">
      <alignment horizontal="center" vertical="center"/>
    </xf>
    <xf numFmtId="0" fontId="43" fillId="7" borderId="11" xfId="0" applyFont="1" applyFill="1" applyBorder="1" applyAlignment="1">
      <alignment horizontal="right" vertical="top"/>
    </xf>
    <xf numFmtId="164" fontId="14" fillId="0" borderId="1" xfId="0" applyNumberFormat="1" applyFont="1" applyBorder="1" applyAlignment="1" applyProtection="1">
      <alignment horizontal="center" vertical="center"/>
    </xf>
    <xf numFmtId="0" fontId="0" fillId="16" borderId="36" xfId="0" applyFill="1" applyBorder="1" applyAlignment="1">
      <alignment horizontal="center" vertical="center"/>
    </xf>
    <xf numFmtId="0" fontId="11" fillId="7" borderId="37" xfId="3" applyFill="1" applyBorder="1" applyAlignment="1" applyProtection="1">
      <alignment horizontal="center" vertical="center"/>
    </xf>
    <xf numFmtId="0" fontId="0" fillId="16" borderId="38" xfId="0" applyFill="1" applyBorder="1" applyAlignment="1">
      <alignment horizontal="center" vertical="center"/>
    </xf>
    <xf numFmtId="0" fontId="11" fillId="7" borderId="39" xfId="3" applyFill="1" applyBorder="1" applyAlignment="1" applyProtection="1">
      <alignment horizontal="center" vertical="center"/>
    </xf>
    <xf numFmtId="0" fontId="0" fillId="16" borderId="40" xfId="0" applyFill="1" applyBorder="1" applyAlignment="1">
      <alignment horizontal="center" vertical="center"/>
    </xf>
    <xf numFmtId="0" fontId="11" fillId="7" borderId="41" xfId="3" applyFill="1" applyBorder="1" applyAlignment="1" applyProtection="1">
      <alignment horizontal="center" vertical="center"/>
    </xf>
    <xf numFmtId="0" fontId="1" fillId="22" borderId="0" xfId="0" applyFont="1" applyFill="1" applyAlignment="1" applyProtection="1">
      <alignment horizontal="center" vertical="center" wrapText="1"/>
    </xf>
    <xf numFmtId="0" fontId="38" fillId="22" borderId="1" xfId="0" applyFont="1" applyFill="1" applyBorder="1" applyAlignment="1">
      <alignment horizontal="center" vertical="top" wrapText="1"/>
    </xf>
    <xf numFmtId="0" fontId="14" fillId="0" borderId="0" xfId="0" applyFont="1" applyAlignment="1">
      <alignment horizontal="center" vertical="top"/>
    </xf>
    <xf numFmtId="0" fontId="14" fillId="0" borderId="0" xfId="0" applyFont="1" applyAlignment="1">
      <alignment horizontal="center" vertical="top" wrapText="1"/>
    </xf>
    <xf numFmtId="0" fontId="13" fillId="0" borderId="0" xfId="0" applyFont="1" applyAlignment="1">
      <alignment horizontal="center" vertical="center" wrapText="1"/>
    </xf>
    <xf numFmtId="0" fontId="13" fillId="23" borderId="0" xfId="0" applyFont="1" applyFill="1" applyAlignment="1">
      <alignment horizontal="center" vertical="center"/>
    </xf>
    <xf numFmtId="0" fontId="13" fillId="0" borderId="0" xfId="0" applyFont="1" applyBorder="1" applyAlignment="1">
      <alignment vertical="top" wrapText="1"/>
    </xf>
    <xf numFmtId="0" fontId="13" fillId="0" borderId="0" xfId="0" applyFont="1" applyAlignment="1">
      <alignment horizontal="center" vertical="center"/>
    </xf>
    <xf numFmtId="0" fontId="13" fillId="0" borderId="0" xfId="0" applyFont="1" applyFill="1" applyBorder="1" applyAlignment="1">
      <alignment vertical="top" wrapText="1"/>
    </xf>
    <xf numFmtId="0" fontId="20" fillId="0" borderId="0" xfId="0" applyFont="1" applyFill="1" applyBorder="1" applyAlignment="1">
      <alignment vertical="top" wrapText="1"/>
    </xf>
    <xf numFmtId="0" fontId="0" fillId="0" borderId="0" xfId="0" applyAlignment="1">
      <alignment wrapText="1"/>
    </xf>
    <xf numFmtId="164" fontId="0" fillId="9" borderId="1" xfId="0" applyNumberFormat="1" applyFont="1" applyFill="1" applyBorder="1" applyAlignment="1" applyProtection="1">
      <alignment vertical="center"/>
    </xf>
    <xf numFmtId="0" fontId="14" fillId="0" borderId="0" xfId="0" applyFont="1" applyAlignment="1">
      <alignment horizontal="center" vertical="center" wrapText="1"/>
    </xf>
    <xf numFmtId="0" fontId="13" fillId="0" borderId="1" xfId="0" applyFont="1" applyFill="1" applyBorder="1" applyAlignment="1" applyProtection="1">
      <alignment horizontal="left" vertical="top" wrapText="1"/>
    </xf>
    <xf numFmtId="0" fontId="1" fillId="24" borderId="1" xfId="0" applyFont="1" applyFill="1" applyBorder="1" applyAlignment="1" applyProtection="1">
      <alignment horizontal="center" vertical="top" wrapText="1"/>
      <protection locked="0"/>
    </xf>
    <xf numFmtId="1" fontId="14" fillId="7" borderId="3" xfId="0" applyNumberFormat="1" applyFont="1" applyFill="1" applyBorder="1" applyAlignment="1" applyProtection="1">
      <alignment horizontal="center" vertical="center" wrapText="1"/>
      <protection locked="0"/>
    </xf>
    <xf numFmtId="0" fontId="0" fillId="0" borderId="0" xfId="0" applyAlignment="1">
      <alignment vertical="top" wrapText="1"/>
    </xf>
    <xf numFmtId="164" fontId="14" fillId="0" borderId="2" xfId="0" applyNumberFormat="1" applyFont="1" applyBorder="1" applyAlignment="1" applyProtection="1">
      <alignment horizontal="left" vertical="center"/>
    </xf>
    <xf numFmtId="0" fontId="1" fillId="0" borderId="2" xfId="0" applyFont="1" applyBorder="1" applyAlignment="1" applyProtection="1"/>
    <xf numFmtId="0" fontId="1" fillId="0" borderId="3" xfId="0" applyFont="1" applyBorder="1" applyAlignment="1" applyProtection="1"/>
    <xf numFmtId="0" fontId="0" fillId="16" borderId="42" xfId="0" applyFill="1" applyBorder="1" applyAlignment="1">
      <alignment horizontal="center" vertical="center"/>
    </xf>
    <xf numFmtId="0" fontId="11" fillId="7" borderId="43" xfId="3" applyFill="1" applyBorder="1" applyAlignment="1" applyProtection="1">
      <alignment horizontal="center" vertical="center"/>
    </xf>
    <xf numFmtId="0" fontId="0" fillId="16" borderId="21" xfId="0" applyFill="1" applyBorder="1" applyAlignment="1">
      <alignment horizontal="center" vertical="center"/>
    </xf>
    <xf numFmtId="0" fontId="11" fillId="7" borderId="22" xfId="3" applyFill="1" applyBorder="1" applyAlignment="1" applyProtection="1">
      <alignment horizontal="center" vertical="center"/>
    </xf>
    <xf numFmtId="0" fontId="3" fillId="25" borderId="1" xfId="0" quotePrefix="1" applyFont="1" applyFill="1" applyBorder="1" applyAlignment="1">
      <alignment horizontal="left" vertical="top" wrapText="1"/>
    </xf>
    <xf numFmtId="0" fontId="13" fillId="25" borderId="1" xfId="0" applyFont="1" applyFill="1" applyBorder="1" applyAlignment="1" applyProtection="1">
      <alignment horizontal="center" vertical="top" wrapText="1"/>
    </xf>
    <xf numFmtId="0" fontId="13" fillId="2" borderId="0" xfId="0" applyFont="1" applyFill="1" applyAlignment="1">
      <alignment horizontal="center" vertical="center"/>
    </xf>
    <xf numFmtId="0" fontId="13" fillId="2" borderId="0" xfId="0" applyFont="1" applyFill="1" applyBorder="1" applyAlignment="1">
      <alignment horizontal="center" vertical="top" wrapText="1"/>
    </xf>
    <xf numFmtId="0" fontId="13" fillId="2" borderId="0" xfId="0" applyFont="1" applyFill="1" applyBorder="1" applyAlignment="1" applyProtection="1">
      <alignment vertical="top" wrapText="1"/>
    </xf>
    <xf numFmtId="0" fontId="13" fillId="2" borderId="0" xfId="0" applyFont="1" applyFill="1" applyAlignment="1">
      <alignment horizontal="center" vertical="center" wrapText="1"/>
    </xf>
    <xf numFmtId="0" fontId="3" fillId="25" borderId="1" xfId="0" quotePrefix="1" applyFont="1" applyFill="1" applyBorder="1" applyAlignment="1" applyProtection="1">
      <alignment horizontal="left" vertical="top" wrapText="1"/>
    </xf>
    <xf numFmtId="1" fontId="3" fillId="8" borderId="1" xfId="0" applyNumberFormat="1" applyFont="1" applyFill="1" applyBorder="1" applyAlignment="1" applyProtection="1">
      <alignment horizontal="center" vertical="top" wrapText="1"/>
    </xf>
    <xf numFmtId="1" fontId="13" fillId="8" borderId="1" xfId="0" applyNumberFormat="1" applyFont="1" applyFill="1" applyBorder="1" applyAlignment="1" applyProtection="1">
      <alignment horizontal="center" vertical="top"/>
    </xf>
    <xf numFmtId="0" fontId="3" fillId="26" borderId="1" xfId="0" quotePrefix="1" applyFont="1" applyFill="1" applyBorder="1" applyAlignment="1">
      <alignment horizontal="left" vertical="top" wrapText="1"/>
    </xf>
    <xf numFmtId="0" fontId="13" fillId="26" borderId="1" xfId="0" applyFont="1" applyFill="1" applyBorder="1" applyAlignment="1" applyProtection="1">
      <alignment horizontal="left" vertical="top" wrapText="1"/>
    </xf>
    <xf numFmtId="0" fontId="0" fillId="0" borderId="0" xfId="0" applyFont="1" applyAlignment="1" applyProtection="1">
      <alignment horizontal="right"/>
    </xf>
    <xf numFmtId="0" fontId="0" fillId="0" borderId="0" xfId="0" applyAlignment="1" applyProtection="1">
      <alignment horizontal="right"/>
    </xf>
    <xf numFmtId="0" fontId="0" fillId="0" borderId="0" xfId="0" applyAlignment="1" applyProtection="1">
      <alignment horizontal="center"/>
    </xf>
    <xf numFmtId="0" fontId="5" fillId="0" borderId="0" xfId="0" applyFont="1" applyAlignment="1" applyProtection="1">
      <alignment horizontal="center"/>
    </xf>
    <xf numFmtId="164" fontId="14" fillId="0" borderId="2" xfId="0" applyNumberFormat="1" applyFont="1" applyBorder="1" applyAlignment="1" applyProtection="1">
      <alignment horizontal="left" vertical="center"/>
    </xf>
    <xf numFmtId="0" fontId="1" fillId="25" borderId="1" xfId="0" applyFont="1" applyFill="1" applyBorder="1" applyAlignment="1" applyProtection="1">
      <alignment horizontal="center" vertical="top" wrapText="1"/>
      <protection locked="0"/>
    </xf>
    <xf numFmtId="0" fontId="1" fillId="25" borderId="1" xfId="0" applyFont="1" applyFill="1" applyBorder="1" applyAlignment="1" applyProtection="1">
      <alignment horizontal="center" vertical="top" wrapText="1"/>
    </xf>
    <xf numFmtId="0" fontId="43" fillId="7" borderId="10" xfId="0" applyFont="1" applyFill="1" applyBorder="1" applyAlignment="1">
      <alignment horizontal="right" vertical="top"/>
    </xf>
    <xf numFmtId="0" fontId="0" fillId="18" borderId="17" xfId="0" applyFill="1" applyBorder="1" applyAlignment="1">
      <alignment horizontal="center" vertical="center"/>
    </xf>
    <xf numFmtId="0" fontId="0" fillId="18" borderId="19" xfId="0" applyFill="1" applyBorder="1" applyAlignment="1">
      <alignment horizontal="center" vertical="center"/>
    </xf>
    <xf numFmtId="0" fontId="0" fillId="18" borderId="21" xfId="0" applyFill="1" applyBorder="1" applyAlignment="1">
      <alignment horizontal="center" vertical="center"/>
    </xf>
    <xf numFmtId="0" fontId="13" fillId="0" borderId="1" xfId="0" applyFont="1" applyFill="1" applyBorder="1" applyAlignment="1" applyProtection="1">
      <alignment horizontal="left" vertical="top" wrapText="1"/>
    </xf>
    <xf numFmtId="1" fontId="14" fillId="7" borderId="3" xfId="0" applyNumberFormat="1" applyFont="1" applyFill="1" applyBorder="1" applyAlignment="1" applyProtection="1">
      <alignment horizontal="center" vertical="center" wrapText="1"/>
      <protection locked="0"/>
    </xf>
    <xf numFmtId="0" fontId="13" fillId="0" borderId="1" xfId="0" applyFont="1" applyFill="1" applyBorder="1" applyAlignment="1" applyProtection="1">
      <alignment horizontal="left" vertical="top" wrapText="1"/>
    </xf>
    <xf numFmtId="0" fontId="0" fillId="0" borderId="0" xfId="0" applyAlignment="1">
      <alignment vertical="top" wrapText="1"/>
    </xf>
    <xf numFmtId="0" fontId="21" fillId="2" borderId="0" xfId="0" applyFont="1" applyFill="1" applyBorder="1" applyAlignment="1">
      <alignment horizontal="center" vertical="top" wrapText="1"/>
    </xf>
    <xf numFmtId="1" fontId="14" fillId="7" borderId="3" xfId="0" applyNumberFormat="1" applyFont="1" applyFill="1" applyBorder="1" applyAlignment="1" applyProtection="1">
      <alignment horizontal="center" vertical="center" wrapText="1"/>
      <protection locked="0"/>
    </xf>
    <xf numFmtId="0" fontId="13" fillId="0" borderId="1" xfId="0" applyFont="1" applyFill="1" applyBorder="1" applyAlignment="1" applyProtection="1">
      <alignment horizontal="left" vertical="top" wrapText="1"/>
    </xf>
    <xf numFmtId="0" fontId="0" fillId="0" borderId="0" xfId="0" applyAlignment="1">
      <alignment vertical="top" wrapText="1"/>
    </xf>
    <xf numFmtId="0" fontId="0" fillId="0" borderId="0" xfId="0" applyFill="1" applyProtection="1"/>
    <xf numFmtId="0" fontId="0" fillId="0" borderId="0" xfId="0" applyFill="1"/>
    <xf numFmtId="0" fontId="13" fillId="0" borderId="1" xfId="0" applyFont="1" applyFill="1" applyBorder="1" applyAlignment="1" applyProtection="1">
      <alignment horizontal="left" vertical="top" wrapText="1"/>
    </xf>
    <xf numFmtId="0" fontId="43" fillId="0" borderId="1" xfId="0" applyFont="1" applyFill="1" applyBorder="1" applyAlignment="1">
      <alignment horizontal="left" vertical="center"/>
    </xf>
    <xf numFmtId="0" fontId="43" fillId="0" borderId="35" xfId="0" applyFont="1" applyFill="1" applyBorder="1" applyAlignment="1">
      <alignment horizontal="left" vertical="center"/>
    </xf>
    <xf numFmtId="0" fontId="43" fillId="0" borderId="6" xfId="0" applyFont="1" applyFill="1" applyBorder="1" applyAlignment="1">
      <alignment horizontal="left" vertical="center"/>
    </xf>
    <xf numFmtId="0" fontId="11" fillId="18" borderId="35" xfId="3" applyFill="1" applyBorder="1" applyAlignment="1" applyProtection="1">
      <alignment horizontal="left"/>
    </xf>
    <xf numFmtId="0" fontId="11" fillId="18" borderId="22" xfId="3" applyFill="1" applyBorder="1" applyAlignment="1" applyProtection="1">
      <alignment horizontal="left"/>
    </xf>
    <xf numFmtId="0" fontId="1" fillId="18" borderId="23" xfId="0" applyFont="1" applyFill="1" applyBorder="1" applyAlignment="1">
      <alignment horizontal="center"/>
    </xf>
    <xf numFmtId="0" fontId="1" fillId="18" borderId="24" xfId="0" applyFont="1" applyFill="1" applyBorder="1" applyAlignment="1">
      <alignment horizontal="center"/>
    </xf>
    <xf numFmtId="0" fontId="1" fillId="18" borderId="25" xfId="0" applyFont="1" applyFill="1" applyBorder="1" applyAlignment="1">
      <alignment horizontal="center"/>
    </xf>
    <xf numFmtId="0" fontId="1" fillId="17" borderId="23" xfId="0" applyFont="1" applyFill="1" applyBorder="1" applyAlignment="1">
      <alignment horizontal="center"/>
    </xf>
    <xf numFmtId="0" fontId="1" fillId="17" borderId="24" xfId="0" applyFont="1" applyFill="1" applyBorder="1" applyAlignment="1">
      <alignment horizontal="center"/>
    </xf>
    <xf numFmtId="0" fontId="1" fillId="17" borderId="25" xfId="0" applyFont="1" applyFill="1" applyBorder="1" applyAlignment="1">
      <alignment horizontal="center"/>
    </xf>
    <xf numFmtId="0" fontId="1" fillId="15" borderId="23" xfId="0" applyFont="1" applyFill="1" applyBorder="1" applyAlignment="1">
      <alignment horizontal="center" vertical="center"/>
    </xf>
    <xf numFmtId="0" fontId="1" fillId="15" borderId="25" xfId="0" applyFont="1" applyFill="1" applyBorder="1" applyAlignment="1">
      <alignment horizontal="center" vertical="center"/>
    </xf>
    <xf numFmtId="0" fontId="43" fillId="0" borderId="34" xfId="0" applyFont="1" applyFill="1" applyBorder="1" applyAlignment="1">
      <alignment horizontal="left" vertical="center"/>
    </xf>
    <xf numFmtId="0" fontId="1" fillId="16" borderId="23" xfId="0" applyFont="1" applyFill="1" applyBorder="1" applyAlignment="1">
      <alignment horizontal="center"/>
    </xf>
    <xf numFmtId="0" fontId="1" fillId="16" borderId="24" xfId="0" applyFont="1" applyFill="1" applyBorder="1" applyAlignment="1">
      <alignment horizontal="center"/>
    </xf>
    <xf numFmtId="0" fontId="1" fillId="16" borderId="25" xfId="0" applyFont="1" applyFill="1" applyBorder="1" applyAlignment="1">
      <alignment horizontal="center"/>
    </xf>
    <xf numFmtId="0" fontId="43" fillId="0" borderId="2" xfId="0" applyFont="1" applyFill="1" applyBorder="1" applyAlignment="1">
      <alignment horizontal="left" vertical="center"/>
    </xf>
    <xf numFmtId="0" fontId="43" fillId="0" borderId="4" xfId="0" applyFont="1" applyFill="1" applyBorder="1" applyAlignment="1">
      <alignment horizontal="left" vertical="center"/>
    </xf>
    <xf numFmtId="0" fontId="11" fillId="18" borderId="34" xfId="3" applyFill="1" applyBorder="1" applyAlignment="1" applyProtection="1">
      <alignment horizontal="left"/>
    </xf>
    <xf numFmtId="0" fontId="11" fillId="18" borderId="18" xfId="3" applyFill="1" applyBorder="1" applyAlignment="1" applyProtection="1">
      <alignment horizontal="left"/>
    </xf>
    <xf numFmtId="0" fontId="11" fillId="18" borderId="1" xfId="3" applyFill="1" applyBorder="1" applyAlignment="1" applyProtection="1">
      <alignment horizontal="left"/>
    </xf>
    <xf numFmtId="0" fontId="11" fillId="18" borderId="20" xfId="3" applyFill="1" applyBorder="1" applyAlignment="1" applyProtection="1">
      <alignment horizontal="left"/>
    </xf>
    <xf numFmtId="0" fontId="38" fillId="12" borderId="26" xfId="0" applyFont="1" applyFill="1" applyBorder="1" applyAlignment="1">
      <alignment horizontal="center" vertical="top" wrapText="1"/>
    </xf>
    <xf numFmtId="0" fontId="38" fillId="12" borderId="27" xfId="0" applyFont="1" applyFill="1" applyBorder="1" applyAlignment="1">
      <alignment horizontal="center" vertical="top" wrapText="1"/>
    </xf>
    <xf numFmtId="0" fontId="38" fillId="12" borderId="6" xfId="0" applyFont="1" applyFill="1" applyBorder="1" applyAlignment="1">
      <alignment horizontal="center" vertical="top" wrapText="1"/>
    </xf>
    <xf numFmtId="0" fontId="38" fillId="13" borderId="26" xfId="0" applyFont="1" applyFill="1" applyBorder="1" applyAlignment="1">
      <alignment horizontal="center" vertical="top" wrapText="1"/>
    </xf>
    <xf numFmtId="0" fontId="38" fillId="13" borderId="27" xfId="0" applyFont="1" applyFill="1" applyBorder="1" applyAlignment="1">
      <alignment horizontal="center" vertical="top" wrapText="1"/>
    </xf>
    <xf numFmtId="0" fontId="38" fillId="13" borderId="6" xfId="0" applyFont="1" applyFill="1" applyBorder="1" applyAlignment="1">
      <alignment horizontal="center" vertical="top" wrapText="1"/>
    </xf>
    <xf numFmtId="0" fontId="38" fillId="7" borderId="2" xfId="0" applyFont="1" applyFill="1" applyBorder="1" applyAlignment="1">
      <alignment horizontal="center" vertical="top" wrapText="1"/>
    </xf>
    <xf numFmtId="0" fontId="38" fillId="7" borderId="4" xfId="0" applyFont="1" applyFill="1" applyBorder="1" applyAlignment="1">
      <alignment horizontal="center" vertical="top" wrapText="1"/>
    </xf>
    <xf numFmtId="0" fontId="41" fillId="19" borderId="28" xfId="0" applyFont="1" applyFill="1" applyBorder="1" applyAlignment="1">
      <alignment horizontal="left" vertical="top" wrapText="1"/>
    </xf>
    <xf numFmtId="0" fontId="41" fillId="19" borderId="29" xfId="0" applyFont="1" applyFill="1" applyBorder="1" applyAlignment="1">
      <alignment horizontal="left" vertical="top" wrapText="1"/>
    </xf>
    <xf numFmtId="0" fontId="41" fillId="19" borderId="30" xfId="0" applyFont="1" applyFill="1" applyBorder="1" applyAlignment="1">
      <alignment horizontal="left" vertical="top" wrapText="1"/>
    </xf>
    <xf numFmtId="0" fontId="41" fillId="19" borderId="31" xfId="0" applyFont="1" applyFill="1" applyBorder="1" applyAlignment="1">
      <alignment horizontal="left" vertical="top" wrapText="1"/>
    </xf>
    <xf numFmtId="0" fontId="41" fillId="19" borderId="0" xfId="0" applyFont="1" applyFill="1" applyBorder="1" applyAlignment="1">
      <alignment horizontal="left" vertical="top" wrapText="1"/>
    </xf>
    <xf numFmtId="0" fontId="41" fillId="19" borderId="8" xfId="0" applyFont="1" applyFill="1" applyBorder="1" applyAlignment="1">
      <alignment horizontal="left" vertical="top" wrapText="1"/>
    </xf>
    <xf numFmtId="0" fontId="41" fillId="19" borderId="32" xfId="0" applyFont="1" applyFill="1" applyBorder="1" applyAlignment="1">
      <alignment horizontal="left" vertical="top" wrapText="1"/>
    </xf>
    <xf numFmtId="0" fontId="41" fillId="19" borderId="7" xfId="0" applyFont="1" applyFill="1" applyBorder="1" applyAlignment="1">
      <alignment horizontal="left" vertical="top" wrapText="1"/>
    </xf>
    <xf numFmtId="0" fontId="41" fillId="19" borderId="33" xfId="0" applyFont="1" applyFill="1" applyBorder="1" applyAlignment="1">
      <alignment horizontal="left" vertical="top" wrapText="1"/>
    </xf>
    <xf numFmtId="0" fontId="38" fillId="10" borderId="26" xfId="0" applyFont="1" applyFill="1" applyBorder="1" applyAlignment="1">
      <alignment horizontal="center" vertical="top" wrapText="1"/>
    </xf>
    <xf numFmtId="0" fontId="38" fillId="10" borderId="27" xfId="0" applyFont="1" applyFill="1" applyBorder="1" applyAlignment="1">
      <alignment horizontal="center" vertical="top" wrapText="1"/>
    </xf>
    <xf numFmtId="0" fontId="38" fillId="10" borderId="6" xfId="0" applyFont="1" applyFill="1" applyBorder="1" applyAlignment="1">
      <alignment horizontal="center" vertical="top" wrapText="1"/>
    </xf>
    <xf numFmtId="0" fontId="38" fillId="14" borderId="26" xfId="0" applyFont="1" applyFill="1" applyBorder="1" applyAlignment="1">
      <alignment horizontal="center" vertical="top" wrapText="1"/>
    </xf>
    <xf numFmtId="0" fontId="38" fillId="14" borderId="27" xfId="0" applyFont="1" applyFill="1" applyBorder="1" applyAlignment="1">
      <alignment horizontal="center" vertical="top" wrapText="1"/>
    </xf>
    <xf numFmtId="0" fontId="38" fillId="14" borderId="6" xfId="0" applyFont="1" applyFill="1" applyBorder="1" applyAlignment="1">
      <alignment horizontal="center" vertical="top" wrapText="1"/>
    </xf>
    <xf numFmtId="0" fontId="38" fillId="11" borderId="26" xfId="0" applyFont="1" applyFill="1" applyBorder="1" applyAlignment="1">
      <alignment horizontal="center" vertical="top" wrapText="1"/>
    </xf>
    <xf numFmtId="0" fontId="38" fillId="11" borderId="27" xfId="0" applyFont="1" applyFill="1" applyBorder="1" applyAlignment="1">
      <alignment horizontal="center" vertical="top" wrapText="1"/>
    </xf>
    <xf numFmtId="0" fontId="38" fillId="11" borderId="6" xfId="0" applyFont="1" applyFill="1" applyBorder="1" applyAlignment="1">
      <alignment horizontal="center" vertical="top" wrapText="1"/>
    </xf>
    <xf numFmtId="0" fontId="38" fillId="22" borderId="26" xfId="0" applyFont="1" applyFill="1" applyBorder="1" applyAlignment="1">
      <alignment horizontal="center" vertical="top" wrapText="1"/>
    </xf>
    <xf numFmtId="0" fontId="38" fillId="22" borderId="27" xfId="0" applyFont="1" applyFill="1" applyBorder="1" applyAlignment="1">
      <alignment horizontal="center" vertical="top" wrapText="1"/>
    </xf>
    <xf numFmtId="0" fontId="38" fillId="22" borderId="6" xfId="0" applyFont="1" applyFill="1" applyBorder="1" applyAlignment="1">
      <alignment horizontal="center" vertical="top" wrapText="1"/>
    </xf>
    <xf numFmtId="0" fontId="43" fillId="24" borderId="2" xfId="0" applyFont="1" applyFill="1" applyBorder="1" applyAlignment="1" applyProtection="1">
      <alignment horizontal="left" vertical="top" wrapText="1"/>
      <protection locked="0"/>
    </xf>
    <xf numFmtId="0" fontId="43" fillId="24" borderId="3" xfId="0" applyFont="1" applyFill="1" applyBorder="1" applyAlignment="1" applyProtection="1">
      <alignment horizontal="left" vertical="top" wrapText="1"/>
      <protection locked="0"/>
    </xf>
    <xf numFmtId="0" fontId="43" fillId="24" borderId="4" xfId="0" applyFont="1" applyFill="1" applyBorder="1" applyAlignment="1" applyProtection="1">
      <alignment horizontal="left" vertical="top" wrapText="1"/>
      <protection locked="0"/>
    </xf>
    <xf numFmtId="0" fontId="28" fillId="0" borderId="2" xfId="0" applyFont="1" applyFill="1" applyBorder="1" applyAlignment="1">
      <alignment horizontal="left" vertical="center"/>
    </xf>
    <xf numFmtId="0" fontId="28" fillId="0" borderId="3" xfId="0" applyFont="1" applyFill="1" applyBorder="1" applyAlignment="1">
      <alignment horizontal="left" vertical="center"/>
    </xf>
    <xf numFmtId="0" fontId="28" fillId="0" borderId="4" xfId="0" applyFont="1" applyFill="1" applyBorder="1" applyAlignment="1">
      <alignment horizontal="left" vertical="center"/>
    </xf>
    <xf numFmtId="164" fontId="14" fillId="0" borderId="2" xfId="0" applyNumberFormat="1" applyFont="1" applyBorder="1" applyAlignment="1" applyProtection="1">
      <alignment horizontal="left" vertical="center"/>
    </xf>
    <xf numFmtId="164" fontId="14" fillId="0" borderId="3" xfId="0" applyNumberFormat="1" applyFont="1" applyBorder="1" applyAlignment="1" applyProtection="1">
      <alignment horizontal="left" vertical="center"/>
    </xf>
    <xf numFmtId="164" fontId="14" fillId="0" borderId="26" xfId="0" applyNumberFormat="1" applyFont="1" applyBorder="1" applyAlignment="1" applyProtection="1">
      <alignment horizontal="center" vertical="center"/>
    </xf>
    <xf numFmtId="164" fontId="14" fillId="0" borderId="6" xfId="0" applyNumberFormat="1" applyFont="1" applyBorder="1" applyAlignment="1" applyProtection="1">
      <alignment horizontal="center" vertical="center"/>
    </xf>
    <xf numFmtId="0" fontId="1" fillId="0" borderId="2" xfId="0" applyFont="1" applyBorder="1" applyAlignment="1" applyProtection="1">
      <alignment horizontal="center" vertical="center" wrapText="1"/>
    </xf>
    <xf numFmtId="0" fontId="1" fillId="0" borderId="3" xfId="0" applyFont="1" applyBorder="1" applyAlignment="1" applyProtection="1">
      <alignment horizontal="center" vertical="center" wrapText="1"/>
    </xf>
    <xf numFmtId="0" fontId="1" fillId="0" borderId="4" xfId="0" applyFont="1" applyBorder="1" applyAlignment="1" applyProtection="1">
      <alignment horizontal="center" vertical="center" wrapText="1"/>
    </xf>
    <xf numFmtId="0" fontId="3" fillId="0" borderId="0" xfId="0" applyFont="1" applyAlignment="1" applyProtection="1">
      <alignment horizontal="center"/>
    </xf>
    <xf numFmtId="0" fontId="1" fillId="0" borderId="1" xfId="0" applyFont="1" applyBorder="1" applyAlignment="1" applyProtection="1">
      <alignment horizontal="center"/>
    </xf>
    <xf numFmtId="0" fontId="0" fillId="0" borderId="0" xfId="0" applyAlignment="1" applyProtection="1">
      <alignment horizontal="center"/>
    </xf>
    <xf numFmtId="0" fontId="5" fillId="0" borderId="0" xfId="0" applyFont="1" applyAlignment="1" applyProtection="1">
      <alignment horizontal="center"/>
    </xf>
    <xf numFmtId="0" fontId="46" fillId="24" borderId="1" xfId="0" applyFont="1" applyFill="1" applyBorder="1" applyAlignment="1" applyProtection="1">
      <alignment horizontal="center" vertical="top"/>
    </xf>
    <xf numFmtId="0" fontId="4" fillId="0" borderId="0" xfId="0" applyFont="1" applyAlignment="1" applyProtection="1">
      <alignment horizontal="left"/>
    </xf>
    <xf numFmtId="0" fontId="27" fillId="0" borderId="0" xfId="0" applyFont="1" applyAlignment="1" applyProtection="1">
      <alignment horizontal="right"/>
    </xf>
    <xf numFmtId="0" fontId="0" fillId="0" borderId="0" xfId="0" applyFont="1" applyAlignment="1" applyProtection="1">
      <alignment horizontal="right"/>
    </xf>
    <xf numFmtId="0" fontId="22" fillId="0" borderId="2" xfId="0" applyFont="1" applyBorder="1" applyAlignment="1" applyProtection="1">
      <alignment horizontal="right" vertical="center"/>
    </xf>
    <xf numFmtId="0" fontId="22" fillId="0" borderId="3" xfId="0" applyFont="1" applyBorder="1" applyAlignment="1" applyProtection="1">
      <alignment horizontal="right" vertical="center"/>
    </xf>
    <xf numFmtId="0" fontId="22" fillId="0" borderId="4" xfId="0" applyFont="1" applyBorder="1" applyAlignment="1" applyProtection="1">
      <alignment horizontal="right" vertical="center"/>
    </xf>
    <xf numFmtId="0" fontId="1" fillId="0" borderId="0" xfId="0" applyFont="1" applyAlignment="1" applyProtection="1">
      <alignment horizontal="center" vertical="center"/>
    </xf>
    <xf numFmtId="0" fontId="1" fillId="0" borderId="8" xfId="0" applyFont="1" applyBorder="1" applyAlignment="1" applyProtection="1">
      <alignment horizontal="center" vertical="center"/>
    </xf>
    <xf numFmtId="0" fontId="1" fillId="24" borderId="1" xfId="0" applyNumberFormat="1" applyFont="1" applyFill="1" applyBorder="1" applyAlignment="1" applyProtection="1">
      <alignment horizontal="center" vertical="center" wrapText="1"/>
      <protection locked="0"/>
    </xf>
    <xf numFmtId="0" fontId="1" fillId="24" borderId="1" xfId="0" applyFont="1" applyFill="1" applyBorder="1" applyAlignment="1" applyProtection="1">
      <alignment horizontal="center" wrapText="1"/>
      <protection locked="0"/>
    </xf>
    <xf numFmtId="165" fontId="1" fillId="24" borderId="1" xfId="0" applyNumberFormat="1" applyFont="1" applyFill="1" applyBorder="1" applyAlignment="1" applyProtection="1">
      <alignment horizontal="center" wrapText="1"/>
      <protection locked="0"/>
    </xf>
    <xf numFmtId="0" fontId="0" fillId="0" borderId="0" xfId="0" applyAlignment="1" applyProtection="1">
      <alignment horizontal="right"/>
    </xf>
    <xf numFmtId="0" fontId="0" fillId="0" borderId="8" xfId="0" applyBorder="1" applyAlignment="1" applyProtection="1">
      <alignment horizontal="right"/>
    </xf>
    <xf numFmtId="0" fontId="1" fillId="0" borderId="0" xfId="0" applyFont="1" applyBorder="1" applyAlignment="1" applyProtection="1">
      <alignment horizontal="right" vertical="center"/>
    </xf>
    <xf numFmtId="0" fontId="22" fillId="0" borderId="2" xfId="0" applyFont="1" applyBorder="1" applyAlignment="1" applyProtection="1">
      <alignment horizontal="right" vertical="center" wrapText="1"/>
    </xf>
    <xf numFmtId="0" fontId="22" fillId="0" borderId="3" xfId="0" applyFont="1" applyBorder="1" applyAlignment="1" applyProtection="1">
      <alignment horizontal="right" vertical="center" wrapText="1"/>
    </xf>
    <xf numFmtId="0" fontId="22" fillId="0" borderId="4" xfId="0" applyFont="1" applyBorder="1" applyAlignment="1" applyProtection="1">
      <alignment horizontal="right" vertical="center" wrapText="1"/>
    </xf>
    <xf numFmtId="0" fontId="44" fillId="0" borderId="7" xfId="0" applyFont="1" applyBorder="1" applyAlignment="1" applyProtection="1">
      <alignment horizontal="right" vertical="center"/>
    </xf>
    <xf numFmtId="0" fontId="1" fillId="25" borderId="1" xfId="0" applyNumberFormat="1" applyFont="1" applyFill="1" applyBorder="1" applyAlignment="1" applyProtection="1">
      <alignment horizontal="center" vertical="center" wrapText="1"/>
      <protection locked="0"/>
    </xf>
    <xf numFmtId="165" fontId="1" fillId="25" borderId="1" xfId="0" applyNumberFormat="1" applyFont="1" applyFill="1" applyBorder="1" applyAlignment="1" applyProtection="1">
      <alignment horizontal="center" wrapText="1"/>
      <protection locked="0"/>
    </xf>
    <xf numFmtId="0" fontId="43" fillId="25" borderId="2" xfId="0" applyFont="1" applyFill="1" applyBorder="1" applyAlignment="1" applyProtection="1">
      <alignment horizontal="left" vertical="top" wrapText="1"/>
      <protection locked="0"/>
    </xf>
    <xf numFmtId="0" fontId="43" fillId="25" borderId="3" xfId="0" applyFont="1" applyFill="1" applyBorder="1" applyAlignment="1" applyProtection="1">
      <alignment horizontal="left" vertical="top" wrapText="1"/>
      <protection locked="0"/>
    </xf>
    <xf numFmtId="0" fontId="43" fillId="25" borderId="4" xfId="0" applyFont="1" applyFill="1" applyBorder="1" applyAlignment="1" applyProtection="1">
      <alignment horizontal="left" vertical="top" wrapText="1"/>
      <protection locked="0"/>
    </xf>
    <xf numFmtId="0" fontId="0" fillId="0" borderId="1" xfId="0" applyBorder="1" applyAlignment="1">
      <alignment horizontal="center"/>
    </xf>
    <xf numFmtId="1" fontId="14" fillId="7" borderId="2" xfId="0" applyNumberFormat="1" applyFont="1" applyFill="1" applyBorder="1" applyAlignment="1" applyProtection="1">
      <alignment horizontal="center" vertical="center" wrapText="1"/>
      <protection locked="0"/>
    </xf>
    <xf numFmtId="1" fontId="14" fillId="7" borderId="3" xfId="0" applyNumberFormat="1" applyFont="1" applyFill="1" applyBorder="1" applyAlignment="1" applyProtection="1">
      <alignment horizontal="center" vertical="center" wrapText="1"/>
      <protection locked="0"/>
    </xf>
    <xf numFmtId="0" fontId="14" fillId="7" borderId="6" xfId="0" applyFont="1" applyFill="1" applyBorder="1" applyAlignment="1">
      <alignment horizontal="center" vertical="center" wrapText="1"/>
    </xf>
    <xf numFmtId="0" fontId="14" fillId="7" borderId="1" xfId="0" applyFont="1" applyFill="1" applyBorder="1" applyAlignment="1">
      <alignment horizontal="center" vertical="center" wrapText="1"/>
    </xf>
    <xf numFmtId="49" fontId="23" fillId="0" borderId="2" xfId="0" quotePrefix="1" applyNumberFormat="1" applyFont="1" applyBorder="1" applyAlignment="1">
      <alignment horizontal="center" vertical="center" wrapText="1"/>
    </xf>
    <xf numFmtId="49" fontId="23" fillId="0" borderId="3" xfId="0" quotePrefix="1" applyNumberFormat="1" applyFont="1" applyBorder="1" applyAlignment="1">
      <alignment horizontal="center" vertical="center" wrapText="1"/>
    </xf>
    <xf numFmtId="49" fontId="23" fillId="0" borderId="4" xfId="0" quotePrefix="1" applyNumberFormat="1" applyFont="1" applyBorder="1" applyAlignment="1">
      <alignment horizontal="center" vertical="center" wrapText="1"/>
    </xf>
    <xf numFmtId="0" fontId="13" fillId="0" borderId="26" xfId="0" applyFont="1" applyFill="1" applyBorder="1" applyAlignment="1" applyProtection="1">
      <alignment horizontal="left" vertical="top" wrapText="1"/>
    </xf>
    <xf numFmtId="0" fontId="13" fillId="0" borderId="27" xfId="0" applyFont="1" applyFill="1" applyBorder="1" applyAlignment="1" applyProtection="1">
      <alignment horizontal="left" vertical="top" wrapText="1"/>
    </xf>
    <xf numFmtId="0" fontId="13" fillId="0" borderId="6" xfId="0" applyFont="1" applyFill="1" applyBorder="1" applyAlignment="1" applyProtection="1">
      <alignment horizontal="left" vertical="top" wrapText="1"/>
    </xf>
    <xf numFmtId="0" fontId="13" fillId="0" borderId="1" xfId="0" applyFont="1" applyFill="1" applyBorder="1" applyAlignment="1" applyProtection="1">
      <alignment horizontal="left" vertical="top" wrapText="1"/>
    </xf>
    <xf numFmtId="49" fontId="24" fillId="0" borderId="0" xfId="0" quotePrefix="1" applyNumberFormat="1" applyFont="1" applyAlignment="1">
      <alignment horizontal="left" vertical="center" wrapText="1"/>
    </xf>
    <xf numFmtId="0" fontId="0" fillId="0" borderId="0" xfId="0" applyAlignment="1">
      <alignment vertical="top" wrapText="1"/>
    </xf>
    <xf numFmtId="0" fontId="0" fillId="0" borderId="0" xfId="0" applyAlignment="1">
      <alignment horizontal="center" vertical="top"/>
    </xf>
    <xf numFmtId="0" fontId="6" fillId="5" borderId="2" xfId="1" applyFont="1" applyFill="1" applyBorder="1" applyAlignment="1">
      <alignment vertical="center" wrapText="1"/>
    </xf>
    <xf numFmtId="0" fontId="6" fillId="5" borderId="4" xfId="1" applyFont="1" applyFill="1" applyBorder="1" applyAlignment="1">
      <alignment vertical="center" wrapText="1"/>
    </xf>
  </cellXfs>
  <cellStyles count="4">
    <cellStyle name="Hyperlink" xfId="3" builtinId="8"/>
    <cellStyle name="Normaali_T3 Vaatimusluettelo v0.3" xfId="2"/>
    <cellStyle name="Normal" xfId="0" builtinId="0"/>
    <cellStyle name="Normal 2" xfId="1"/>
  </cellStyles>
  <dxfs count="6636">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patternType="solid">
          <bgColor theme="9" tint="0.79998168889431442"/>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theme="8" tint="0.59996337778862885"/>
        </patternFill>
      </fill>
    </dxf>
    <dxf>
      <fill>
        <patternFill>
          <bgColor theme="5"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3" tint="0.59996337778862885"/>
        </patternFill>
      </fill>
    </dxf>
    <dxf>
      <fill>
        <patternFill>
          <bgColor theme="7" tint="0.59996337778862885"/>
        </patternFill>
      </fill>
    </dxf>
    <dxf>
      <fill>
        <patternFill>
          <bgColor rgb="FFFF3300"/>
        </patternFill>
      </fill>
    </dxf>
    <dxf>
      <fill>
        <gradientFill>
          <stop position="0">
            <color theme="9"/>
          </stop>
          <stop position="1">
            <color rgb="FFFFFF00"/>
          </stop>
        </gradientFill>
      </fill>
    </dxf>
    <dxf>
      <fill>
        <patternFill>
          <bgColor rgb="FF92D050"/>
        </patternFill>
      </fill>
    </dxf>
    <dxf>
      <fill>
        <patternFill>
          <bgColor theme="7" tint="0.59996337778862885"/>
        </patternFill>
      </fill>
    </dxf>
    <dxf>
      <fill>
        <patternFill>
          <bgColor theme="3" tint="0.59996337778862885"/>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33CC33"/>
        </patternFill>
      </fill>
    </dxf>
    <dxf>
      <fill>
        <patternFill>
          <bgColor rgb="FF00B0F0"/>
        </patternFill>
      </fill>
    </dxf>
    <dxf>
      <fill>
        <patternFill>
          <bgColor rgb="FFCC99FF"/>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33CC33"/>
        </patternFill>
      </fill>
    </dxf>
    <dxf>
      <fill>
        <patternFill>
          <bgColor rgb="FF00B0F0"/>
        </patternFill>
      </fill>
    </dxf>
    <dxf>
      <fill>
        <patternFill>
          <bgColor rgb="FFCC99FF"/>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33CC33"/>
        </patternFill>
      </fill>
    </dxf>
    <dxf>
      <fill>
        <patternFill>
          <bgColor rgb="FF00B0F0"/>
        </patternFill>
      </fill>
    </dxf>
    <dxf>
      <fill>
        <patternFill>
          <bgColor rgb="FFCC99FF"/>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33CC33"/>
        </patternFill>
      </fill>
    </dxf>
    <dxf>
      <fill>
        <patternFill>
          <bgColor rgb="FF00B0F0"/>
        </patternFill>
      </fill>
    </dxf>
    <dxf>
      <fill>
        <patternFill>
          <bgColor rgb="FFCC99FF"/>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92D050"/>
        </patternFill>
      </fill>
    </dxf>
    <dxf>
      <fill>
        <patternFill>
          <bgColor theme="3" tint="0.59996337778862885"/>
        </patternFill>
      </fill>
    </dxf>
    <dxf>
      <fill>
        <patternFill>
          <bgColor theme="7" tint="0.59996337778862885"/>
        </patternFill>
      </fill>
    </dxf>
    <dxf>
      <fill>
        <patternFill>
          <bgColor rgb="FFFFFF99"/>
        </patternFill>
      </fill>
    </dxf>
    <dxf>
      <fill>
        <patternFill>
          <bgColor theme="0" tint="-4.9989318521683403E-2"/>
        </patternFill>
      </fill>
    </dxf>
    <dxf>
      <fill>
        <patternFill>
          <bgColor rgb="FFFF3300"/>
        </patternFill>
      </fill>
    </dxf>
    <dxf>
      <fill>
        <patternFill>
          <bgColor rgb="FFFFC000"/>
        </patternFill>
      </fill>
    </dxf>
    <dxf>
      <fill>
        <patternFill>
          <bgColor rgb="FF33CC33"/>
        </patternFill>
      </fill>
    </dxf>
    <dxf>
      <fill>
        <patternFill>
          <bgColor rgb="FF00B0F0"/>
        </patternFill>
      </fill>
    </dxf>
    <dxf>
      <fill>
        <patternFill>
          <bgColor rgb="FFCC99FF"/>
        </patternFill>
      </fill>
    </dxf>
  </dxfs>
  <tableStyles count="0" defaultTableStyle="TableStyleMedium9" defaultPivotStyle="PivotStyleLight16"/>
  <colors>
    <mruColors>
      <color rgb="FFFF3300"/>
      <color rgb="FFFFFFCC"/>
      <color rgb="FFFFFF99"/>
      <color rgb="FF0066FF"/>
      <color rgb="FF0000FF"/>
      <color rgb="FFCC99FF"/>
      <color rgb="FF9653CD"/>
      <color rgb="FFB353CD"/>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1'!$E$14:$E$15</c:f>
              <c:strCache>
                <c:ptCount val="2"/>
                <c:pt idx="0">
                  <c:v>Overall per Area</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1'!$E$17:$E$39</c:f>
              <c:numCache>
                <c:formatCode>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xmlns:c16r2="http://schemas.microsoft.com/office/drawing/2015/06/chart">
            <c:ext xmlns:c16="http://schemas.microsoft.com/office/drawing/2014/chart" uri="{C3380CC4-5D6E-409C-BE32-E72D297353CC}">
              <c16:uniqueId val="{00000002-16BD-4103-80BE-30F6F8ACB5A6}"/>
            </c:ext>
          </c:extLst>
        </c:ser>
        <c:dLbls>
          <c:showLegendKey val="0"/>
          <c:showVal val="0"/>
          <c:showCatName val="0"/>
          <c:showSerName val="0"/>
          <c:showPercent val="0"/>
          <c:showBubbleSize val="0"/>
        </c:dLbls>
        <c:axId val="772212816"/>
        <c:axId val="772213992"/>
      </c:radarChart>
      <c:catAx>
        <c:axId val="772212816"/>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772213992"/>
        <c:crosses val="autoZero"/>
        <c:auto val="1"/>
        <c:lblAlgn val="ctr"/>
        <c:lblOffset val="100"/>
        <c:noMultiLvlLbl val="0"/>
      </c:catAx>
      <c:valAx>
        <c:axId val="772213992"/>
        <c:scaling>
          <c:orientation val="minMax"/>
          <c:max val="5"/>
        </c:scaling>
        <c:delete val="0"/>
        <c:axPos val="l"/>
        <c:majorGridlines/>
        <c:numFmt formatCode="General" sourceLinked="0"/>
        <c:majorTickMark val="cross"/>
        <c:minorTickMark val="none"/>
        <c:tickLblPos val="nextTo"/>
        <c:crossAx val="772212816"/>
        <c:crosses val="autoZero"/>
        <c:crossBetween val="between"/>
        <c:majorUnit val="1"/>
      </c:valAx>
    </c:plotArea>
    <c:legend>
      <c:legendPos val="t"/>
      <c:layout>
        <c:manualLayout>
          <c:xMode val="edge"/>
          <c:yMode val="edge"/>
          <c:x val="9.9331994282348558E-3"/>
          <c:y val="1.4226950100372813E-2"/>
          <c:w val="0.21407285328013886"/>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1'!$F$15</c:f>
              <c:strCache>
                <c:ptCount val="1"/>
                <c:pt idx="0">
                  <c:v>ODM: A.N Other</c:v>
                </c:pt>
              </c:strCache>
            </c:strRef>
          </c:tx>
          <c:spPr>
            <a:ln>
              <a:solidFill>
                <a:srgbClr val="0066FF"/>
              </a:solidFill>
            </a:ln>
          </c:spPr>
          <c:marker>
            <c:symbol val="none"/>
          </c:marker>
          <c:cat>
            <c:strRef>
              <c:f>'Report (OMMi) - Var 1'!$B$17:$B$26</c:f>
              <c:strCache>
                <c:ptCount val="10"/>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strCache>
            </c:strRef>
          </c:cat>
          <c:val>
            <c:numRef>
              <c:f>'Report (OMMi) - Var 1'!$F$17:$F$21</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EE3-4CAA-A77A-8DA6DB269A0A}"/>
            </c:ext>
          </c:extLst>
        </c:ser>
        <c:dLbls>
          <c:showLegendKey val="0"/>
          <c:showVal val="0"/>
          <c:showCatName val="0"/>
          <c:showSerName val="0"/>
          <c:showPercent val="0"/>
          <c:showBubbleSize val="0"/>
        </c:dLbls>
        <c:axId val="772212032"/>
        <c:axId val="772214384"/>
      </c:radarChart>
      <c:catAx>
        <c:axId val="772212032"/>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772214384"/>
        <c:crosses val="autoZero"/>
        <c:auto val="1"/>
        <c:lblAlgn val="ctr"/>
        <c:lblOffset val="100"/>
        <c:noMultiLvlLbl val="0"/>
      </c:catAx>
      <c:valAx>
        <c:axId val="772214384"/>
        <c:scaling>
          <c:orientation val="minMax"/>
          <c:max val="5"/>
        </c:scaling>
        <c:delete val="0"/>
        <c:axPos val="l"/>
        <c:majorGridlines/>
        <c:numFmt formatCode="General" sourceLinked="0"/>
        <c:majorTickMark val="cross"/>
        <c:minorTickMark val="none"/>
        <c:tickLblPos val="nextTo"/>
        <c:crossAx val="772212032"/>
        <c:crosses val="autoZero"/>
        <c:crossBetween val="between"/>
        <c:majorUnit val="1"/>
      </c:valAx>
    </c:plotArea>
    <c:legend>
      <c:legendPos val="t"/>
      <c:layout>
        <c:manualLayout>
          <c:xMode val="edge"/>
          <c:yMode val="edge"/>
          <c:x val="1.1827289788495001E-2"/>
          <c:y val="1.4226950100372813E-2"/>
          <c:w val="0.23474644577345888"/>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1'!$G$15</c:f>
              <c:strCache>
                <c:ptCount val="1"/>
                <c:pt idx="0">
                  <c:v>Service Desk Specific</c:v>
                </c:pt>
              </c:strCache>
            </c:strRef>
          </c:tx>
          <c:spPr>
            <a:ln>
              <a:solidFill>
                <a:srgbClr val="0066FF"/>
              </a:solidFill>
            </a:ln>
          </c:spPr>
          <c:marker>
            <c:symbol val="none"/>
          </c:marker>
          <c:cat>
            <c:strRef>
              <c:extLst>
                <c:ext xmlns:c15="http://schemas.microsoft.com/office/drawing/2012/chart" uri="{02D57815-91ED-43cb-92C2-25804820EDAC}">
                  <c15:fullRef>
                    <c15:sqref>'Report (OMMi) - Var 1'!$B$17:$D$39</c15:sqref>
                  </c15:fullRef>
                </c:ext>
              </c:extLst>
              <c:f>('Report (OMMi) - Var 1'!$B$22:$D$22,'Report (OMMi) - Var 1'!$B$25:$D$25,'Report (OMMi) - Var 1'!$B$27:$D$27,'Report (OMMi) - Var 1'!$B$29:$D$29,'Report (OMMi) - Var 1'!$B$38:$D$39)</c:f>
              <c:strCache>
                <c:ptCount val="6"/>
                <c:pt idx="0">
                  <c:v>06. Incident Mgmt</c:v>
                </c:pt>
                <c:pt idx="1">
                  <c:v>09. Knowledge Mgmt</c:v>
                </c:pt>
                <c:pt idx="2">
                  <c:v>11. Service Request Mgmt</c:v>
                </c:pt>
                <c:pt idx="3">
                  <c:v>13. Access Mgmt</c:v>
                </c:pt>
                <c:pt idx="4">
                  <c:v>22. Team Mgmt</c:v>
                </c:pt>
                <c:pt idx="5">
                  <c:v>23. Operational Mgmt</c:v>
                </c:pt>
              </c:strCache>
            </c:strRef>
          </c:cat>
          <c:val>
            <c:numRef>
              <c:extLst>
                <c:ext xmlns:c15="http://schemas.microsoft.com/office/drawing/2012/chart" uri="{02D57815-91ED-43cb-92C2-25804820EDAC}">
                  <c15:fullRef>
                    <c15:sqref>'Report (OMMi) - Var 1'!$G$17:$G$39</c15:sqref>
                  </c15:fullRef>
                </c:ext>
              </c:extLst>
              <c:f>('Report (OMMi) - Var 1'!$G$22,'Report (OMMi) - Var 1'!$G$25,'Report (OMMi) - Var 1'!$G$27,'Report (OMMi) - Var 1'!$G$29,'Report (OMMi) - Var 1'!$G$38:$G$39)</c:f>
              <c:numCache>
                <c:formatCode>0.0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1BDD-4434-B25C-68A11DA75715}"/>
            </c:ext>
          </c:extLst>
        </c:ser>
        <c:dLbls>
          <c:showLegendKey val="0"/>
          <c:showVal val="0"/>
          <c:showCatName val="0"/>
          <c:showSerName val="0"/>
          <c:showPercent val="0"/>
          <c:showBubbleSize val="0"/>
        </c:dLbls>
        <c:axId val="227117480"/>
        <c:axId val="227116696"/>
      </c:radarChart>
      <c:catAx>
        <c:axId val="227117480"/>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27116696"/>
        <c:crosses val="autoZero"/>
        <c:auto val="1"/>
        <c:lblAlgn val="ctr"/>
        <c:lblOffset val="100"/>
        <c:noMultiLvlLbl val="0"/>
      </c:catAx>
      <c:valAx>
        <c:axId val="227116696"/>
        <c:scaling>
          <c:orientation val="minMax"/>
          <c:max val="5"/>
        </c:scaling>
        <c:delete val="0"/>
        <c:axPos val="l"/>
        <c:majorGridlines/>
        <c:numFmt formatCode="General" sourceLinked="0"/>
        <c:majorTickMark val="cross"/>
        <c:minorTickMark val="none"/>
        <c:tickLblPos val="nextTo"/>
        <c:crossAx val="227117480"/>
        <c:crosses val="autoZero"/>
        <c:crossBetween val="between"/>
        <c:majorUnit val="1"/>
      </c:valAx>
    </c:plotArea>
    <c:legend>
      <c:legendPos val="t"/>
      <c:layout>
        <c:manualLayout>
          <c:xMode val="edge"/>
          <c:yMode val="edge"/>
          <c:x val="7.0483289678016604E-3"/>
          <c:y val="1.4226950100372813E-2"/>
          <c:w val="0.1163224422768094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1'!$H$15</c:f>
              <c:strCache>
                <c:ptCount val="1"/>
                <c:pt idx="0">
                  <c:v>Subject 1</c:v>
                </c:pt>
              </c:strCache>
            </c:strRef>
          </c:tx>
          <c:spPr>
            <a:ln>
              <a:solidFill>
                <a:srgbClr val="0066FF"/>
              </a:solidFill>
            </a:ln>
          </c:spPr>
          <c:marker>
            <c:symbol val="none"/>
          </c:marker>
          <c:cat>
            <c:strRef>
              <c:extLst>
                <c:ext xmlns:c15="http://schemas.microsoft.com/office/drawing/2012/chart" uri="{02D57815-91ED-43cb-92C2-25804820EDAC}">
                  <c15:fullRef>
                    <c15:sqref>'Report (OMMi) - Var 1'!$B$17:$D$39</c15:sqref>
                  </c15:fullRef>
                </c:ext>
              </c:extLst>
              <c:f>('Report (OMMi) - Var 1'!$B$17:$D$26,'Report (OMMi) - Var 1'!$B$28:$D$37)</c:f>
              <c:strCache>
                <c:ptCount val="20"/>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12. Vulnerability for Patch Mgmt</c:v>
                </c:pt>
                <c:pt idx="11">
                  <c:v>13. Access Mgmt</c:v>
                </c:pt>
                <c:pt idx="12">
                  <c:v>14. Back-up and Restore Mgmt</c:v>
                </c:pt>
                <c:pt idx="13">
                  <c:v>15. Asset Mgmt</c:v>
                </c:pt>
                <c:pt idx="14">
                  <c:v>16. Server Hardening</c:v>
                </c:pt>
                <c:pt idx="15">
                  <c:v>17. Environment Architecture</c:v>
                </c:pt>
                <c:pt idx="16">
                  <c:v>18. Proactive Monitoring</c:v>
                </c:pt>
                <c:pt idx="17">
                  <c:v>19. Availability Mgmt</c:v>
                </c:pt>
                <c:pt idx="18">
                  <c:v>20. Capacity Mgmt</c:v>
                </c:pt>
                <c:pt idx="19">
                  <c:v>21. Release &amp; Deployment Mgmt</c:v>
                </c:pt>
              </c:strCache>
            </c:strRef>
          </c:cat>
          <c:val>
            <c:numRef>
              <c:extLst>
                <c:ext xmlns:c15="http://schemas.microsoft.com/office/drawing/2012/chart" uri="{02D57815-91ED-43cb-92C2-25804820EDAC}">
                  <c15:fullRef>
                    <c15:sqref>'Report (OMMi) - Var 1'!$H$17:$H$39</c15:sqref>
                  </c15:fullRef>
                </c:ext>
              </c:extLst>
              <c:f>('Report (OMMi) - Var 1'!$H$17:$H$26,'Report (OMMi) - Var 1'!$H$28:$H$37)</c:f>
              <c:numCache>
                <c:formatCode>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xmlns:c16r2="http://schemas.microsoft.com/office/drawing/2015/06/chart">
            <c:ext xmlns:c16="http://schemas.microsoft.com/office/drawing/2014/chart" uri="{C3380CC4-5D6E-409C-BE32-E72D297353CC}">
              <c16:uniqueId val="{00000000-4900-4EE1-8C47-62B002BA5691}"/>
            </c:ext>
          </c:extLst>
        </c:ser>
        <c:dLbls>
          <c:showLegendKey val="0"/>
          <c:showVal val="0"/>
          <c:showCatName val="0"/>
          <c:showSerName val="0"/>
          <c:showPercent val="0"/>
          <c:showBubbleSize val="0"/>
        </c:dLbls>
        <c:axId val="219787672"/>
        <c:axId val="219784536"/>
      </c:radarChart>
      <c:catAx>
        <c:axId val="219787672"/>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19784536"/>
        <c:crosses val="autoZero"/>
        <c:auto val="1"/>
        <c:lblAlgn val="ctr"/>
        <c:lblOffset val="100"/>
        <c:noMultiLvlLbl val="0"/>
      </c:catAx>
      <c:valAx>
        <c:axId val="219784536"/>
        <c:scaling>
          <c:orientation val="minMax"/>
          <c:max val="5"/>
        </c:scaling>
        <c:delete val="0"/>
        <c:axPos val="l"/>
        <c:majorGridlines/>
        <c:numFmt formatCode="General" sourceLinked="0"/>
        <c:majorTickMark val="cross"/>
        <c:minorTickMark val="none"/>
        <c:tickLblPos val="nextTo"/>
        <c:crossAx val="219787672"/>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1'!$I$15</c:f>
              <c:strCache>
                <c:ptCount val="1"/>
                <c:pt idx="0">
                  <c:v>Subject 2</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1'!$I$17:$I$39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7897-4C90-A1B4-A7239A6229B2}"/>
            </c:ext>
          </c:extLst>
        </c:ser>
        <c:dLbls>
          <c:showLegendKey val="0"/>
          <c:showVal val="0"/>
          <c:showCatName val="0"/>
          <c:showSerName val="0"/>
          <c:showPercent val="0"/>
          <c:showBubbleSize val="0"/>
        </c:dLbls>
        <c:axId val="219786496"/>
        <c:axId val="219788064"/>
      </c:radarChart>
      <c:catAx>
        <c:axId val="219786496"/>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19788064"/>
        <c:crosses val="autoZero"/>
        <c:auto val="1"/>
        <c:lblAlgn val="ctr"/>
        <c:lblOffset val="100"/>
        <c:noMultiLvlLbl val="0"/>
      </c:catAx>
      <c:valAx>
        <c:axId val="219788064"/>
        <c:scaling>
          <c:orientation val="minMax"/>
          <c:max val="5"/>
        </c:scaling>
        <c:delete val="0"/>
        <c:axPos val="l"/>
        <c:majorGridlines/>
        <c:numFmt formatCode="General" sourceLinked="0"/>
        <c:majorTickMark val="cross"/>
        <c:minorTickMark val="none"/>
        <c:tickLblPos val="nextTo"/>
        <c:crossAx val="219786496"/>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1'!$J$15</c:f>
              <c:strCache>
                <c:ptCount val="1"/>
                <c:pt idx="0">
                  <c:v>Subject 3</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1'!$J$17:$J$39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3790-4B88-8CE6-7D0C6B3D960E}"/>
            </c:ext>
          </c:extLst>
        </c:ser>
        <c:dLbls>
          <c:showLegendKey val="0"/>
          <c:showVal val="0"/>
          <c:showCatName val="0"/>
          <c:showSerName val="0"/>
          <c:showPercent val="0"/>
          <c:showBubbleSize val="0"/>
        </c:dLbls>
        <c:axId val="219786104"/>
        <c:axId val="219787280"/>
      </c:radarChart>
      <c:catAx>
        <c:axId val="219786104"/>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19787280"/>
        <c:crosses val="autoZero"/>
        <c:auto val="1"/>
        <c:lblAlgn val="ctr"/>
        <c:lblOffset val="100"/>
        <c:noMultiLvlLbl val="0"/>
      </c:catAx>
      <c:valAx>
        <c:axId val="219787280"/>
        <c:scaling>
          <c:orientation val="minMax"/>
          <c:max val="5"/>
        </c:scaling>
        <c:delete val="0"/>
        <c:axPos val="l"/>
        <c:majorGridlines/>
        <c:numFmt formatCode="General" sourceLinked="0"/>
        <c:majorTickMark val="cross"/>
        <c:minorTickMark val="none"/>
        <c:tickLblPos val="nextTo"/>
        <c:crossAx val="219786104"/>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1'!$K$15</c:f>
              <c:strCache>
                <c:ptCount val="1"/>
                <c:pt idx="0">
                  <c:v>Subject 4</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1'!$K$17:$K$39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D407-4C0D-8C11-BEEEF8B7FE12}"/>
            </c:ext>
          </c:extLst>
        </c:ser>
        <c:dLbls>
          <c:showLegendKey val="0"/>
          <c:showVal val="0"/>
          <c:showCatName val="0"/>
          <c:showSerName val="0"/>
          <c:showPercent val="0"/>
          <c:showBubbleSize val="0"/>
        </c:dLbls>
        <c:axId val="609758992"/>
        <c:axId val="609759776"/>
      </c:radarChart>
      <c:catAx>
        <c:axId val="609758992"/>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609759776"/>
        <c:crosses val="autoZero"/>
        <c:auto val="1"/>
        <c:lblAlgn val="ctr"/>
        <c:lblOffset val="100"/>
        <c:noMultiLvlLbl val="0"/>
      </c:catAx>
      <c:valAx>
        <c:axId val="609759776"/>
        <c:scaling>
          <c:orientation val="minMax"/>
          <c:max val="5"/>
        </c:scaling>
        <c:delete val="0"/>
        <c:axPos val="l"/>
        <c:majorGridlines/>
        <c:numFmt formatCode="General" sourceLinked="0"/>
        <c:majorTickMark val="cross"/>
        <c:minorTickMark val="none"/>
        <c:tickLblPos val="nextTo"/>
        <c:crossAx val="609758992"/>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1'!$L$15</c:f>
              <c:strCache>
                <c:ptCount val="1"/>
                <c:pt idx="0">
                  <c:v>Subject 5</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1'!$L$17:$L$39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51D6-4255-A673-0BCD3DE883C4}"/>
            </c:ext>
          </c:extLst>
        </c:ser>
        <c:dLbls>
          <c:showLegendKey val="0"/>
          <c:showVal val="0"/>
          <c:showCatName val="0"/>
          <c:showSerName val="0"/>
          <c:showPercent val="0"/>
          <c:showBubbleSize val="0"/>
        </c:dLbls>
        <c:axId val="609758600"/>
        <c:axId val="609757032"/>
      </c:radarChart>
      <c:catAx>
        <c:axId val="609758600"/>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609757032"/>
        <c:crosses val="autoZero"/>
        <c:auto val="1"/>
        <c:lblAlgn val="ctr"/>
        <c:lblOffset val="100"/>
        <c:noMultiLvlLbl val="0"/>
      </c:catAx>
      <c:valAx>
        <c:axId val="609757032"/>
        <c:scaling>
          <c:orientation val="minMax"/>
          <c:max val="5"/>
        </c:scaling>
        <c:delete val="0"/>
        <c:axPos val="l"/>
        <c:majorGridlines/>
        <c:numFmt formatCode="General" sourceLinked="0"/>
        <c:majorTickMark val="cross"/>
        <c:minorTickMark val="none"/>
        <c:tickLblPos val="nextTo"/>
        <c:crossAx val="609758600"/>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1'!$M$15</c:f>
              <c:strCache>
                <c:ptCount val="1"/>
                <c:pt idx="0">
                  <c:v>Subject 6</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1'!$M$17:$M$39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E2AD-43AE-8BC7-15FB520B58A2}"/>
            </c:ext>
          </c:extLst>
        </c:ser>
        <c:dLbls>
          <c:showLegendKey val="0"/>
          <c:showVal val="0"/>
          <c:showCatName val="0"/>
          <c:showSerName val="0"/>
          <c:showPercent val="0"/>
          <c:showBubbleSize val="0"/>
        </c:dLbls>
        <c:axId val="609757424"/>
        <c:axId val="609757816"/>
      </c:radarChart>
      <c:catAx>
        <c:axId val="609757424"/>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609757816"/>
        <c:crosses val="autoZero"/>
        <c:auto val="1"/>
        <c:lblAlgn val="ctr"/>
        <c:lblOffset val="100"/>
        <c:noMultiLvlLbl val="0"/>
      </c:catAx>
      <c:valAx>
        <c:axId val="609757816"/>
        <c:scaling>
          <c:orientation val="minMax"/>
          <c:max val="5"/>
        </c:scaling>
        <c:delete val="0"/>
        <c:axPos val="l"/>
        <c:majorGridlines/>
        <c:numFmt formatCode="General" sourceLinked="0"/>
        <c:majorTickMark val="cross"/>
        <c:minorTickMark val="none"/>
        <c:tickLblPos val="nextTo"/>
        <c:crossAx val="609757424"/>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1'!$N$15</c:f>
              <c:strCache>
                <c:ptCount val="1"/>
                <c:pt idx="0">
                  <c:v>Subject 7</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1'!$N$17:$N$39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9135-4136-A001-F6C7E496C7F8}"/>
            </c:ext>
          </c:extLst>
        </c:ser>
        <c:dLbls>
          <c:showLegendKey val="0"/>
          <c:showVal val="0"/>
          <c:showCatName val="0"/>
          <c:showSerName val="0"/>
          <c:showPercent val="0"/>
          <c:showBubbleSize val="0"/>
        </c:dLbls>
        <c:axId val="219784928"/>
        <c:axId val="896647800"/>
      </c:radarChart>
      <c:catAx>
        <c:axId val="219784928"/>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896647800"/>
        <c:crosses val="autoZero"/>
        <c:auto val="1"/>
        <c:lblAlgn val="ctr"/>
        <c:lblOffset val="100"/>
        <c:noMultiLvlLbl val="0"/>
      </c:catAx>
      <c:valAx>
        <c:axId val="896647800"/>
        <c:scaling>
          <c:orientation val="minMax"/>
          <c:max val="5"/>
        </c:scaling>
        <c:delete val="0"/>
        <c:axPos val="l"/>
        <c:majorGridlines/>
        <c:numFmt formatCode="General" sourceLinked="0"/>
        <c:majorTickMark val="cross"/>
        <c:minorTickMark val="none"/>
        <c:tickLblPos val="nextTo"/>
        <c:crossAx val="219784928"/>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1'!$O$15</c:f>
              <c:strCache>
                <c:ptCount val="1"/>
                <c:pt idx="0">
                  <c:v>Subject 8 </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1'!$O$17:$O$39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F358-4490-9584-8959885998BD}"/>
            </c:ext>
          </c:extLst>
        </c:ser>
        <c:dLbls>
          <c:showLegendKey val="0"/>
          <c:showVal val="0"/>
          <c:showCatName val="0"/>
          <c:showSerName val="0"/>
          <c:showPercent val="0"/>
          <c:showBubbleSize val="0"/>
        </c:dLbls>
        <c:axId val="896649760"/>
        <c:axId val="896648192"/>
      </c:radarChart>
      <c:catAx>
        <c:axId val="896649760"/>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896648192"/>
        <c:crosses val="autoZero"/>
        <c:auto val="1"/>
        <c:lblAlgn val="ctr"/>
        <c:lblOffset val="100"/>
        <c:noMultiLvlLbl val="0"/>
      </c:catAx>
      <c:valAx>
        <c:axId val="896648192"/>
        <c:scaling>
          <c:orientation val="minMax"/>
          <c:max val="5"/>
        </c:scaling>
        <c:delete val="0"/>
        <c:axPos val="l"/>
        <c:majorGridlines/>
        <c:numFmt formatCode="General" sourceLinked="0"/>
        <c:majorTickMark val="cross"/>
        <c:minorTickMark val="none"/>
        <c:tickLblPos val="nextTo"/>
        <c:crossAx val="896649760"/>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1'!$P$15</c:f>
              <c:strCache>
                <c:ptCount val="1"/>
                <c:pt idx="0">
                  <c:v>Subject 9</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1'!$P$17:$P$39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3A2A-493E-BB78-CB95F1F6293A}"/>
            </c:ext>
          </c:extLst>
        </c:ser>
        <c:dLbls>
          <c:showLegendKey val="0"/>
          <c:showVal val="0"/>
          <c:showCatName val="0"/>
          <c:showSerName val="0"/>
          <c:showPercent val="0"/>
          <c:showBubbleSize val="0"/>
        </c:dLbls>
        <c:axId val="896646624"/>
        <c:axId val="896647408"/>
      </c:radarChart>
      <c:catAx>
        <c:axId val="896646624"/>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896647408"/>
        <c:crosses val="autoZero"/>
        <c:auto val="1"/>
        <c:lblAlgn val="ctr"/>
        <c:lblOffset val="100"/>
        <c:noMultiLvlLbl val="0"/>
      </c:catAx>
      <c:valAx>
        <c:axId val="896647408"/>
        <c:scaling>
          <c:orientation val="minMax"/>
          <c:max val="5"/>
        </c:scaling>
        <c:delete val="0"/>
        <c:axPos val="l"/>
        <c:majorGridlines/>
        <c:numFmt formatCode="General" sourceLinked="0"/>
        <c:majorTickMark val="cross"/>
        <c:minorTickMark val="none"/>
        <c:tickLblPos val="nextTo"/>
        <c:crossAx val="896646624"/>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1'!$Q$15</c:f>
              <c:strCache>
                <c:ptCount val="1"/>
                <c:pt idx="0">
                  <c:v>Subject 10</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1'!$Q$17:$Q$39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3822-4F16-81FC-47DBDECACF82}"/>
            </c:ext>
          </c:extLst>
        </c:ser>
        <c:dLbls>
          <c:showLegendKey val="0"/>
          <c:showVal val="0"/>
          <c:showCatName val="0"/>
          <c:showSerName val="0"/>
          <c:showPercent val="0"/>
          <c:showBubbleSize val="0"/>
        </c:dLbls>
        <c:axId val="896649368"/>
        <c:axId val="896646232"/>
      </c:radarChart>
      <c:catAx>
        <c:axId val="896649368"/>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896646232"/>
        <c:crosses val="autoZero"/>
        <c:auto val="1"/>
        <c:lblAlgn val="ctr"/>
        <c:lblOffset val="100"/>
        <c:noMultiLvlLbl val="0"/>
      </c:catAx>
      <c:valAx>
        <c:axId val="896646232"/>
        <c:scaling>
          <c:orientation val="minMax"/>
          <c:max val="5"/>
        </c:scaling>
        <c:delete val="0"/>
        <c:axPos val="l"/>
        <c:majorGridlines/>
        <c:numFmt formatCode="General" sourceLinked="0"/>
        <c:majorTickMark val="cross"/>
        <c:minorTickMark val="none"/>
        <c:tickLblPos val="nextTo"/>
        <c:crossAx val="896649368"/>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1'!$R$15</c:f>
              <c:strCache>
                <c:ptCount val="1"/>
                <c:pt idx="0">
                  <c:v>Subject 11</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1'!$R$17:$R$39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0602-4149-A282-D948E0F0CF64}"/>
            </c:ext>
          </c:extLst>
        </c:ser>
        <c:dLbls>
          <c:showLegendKey val="0"/>
          <c:showVal val="0"/>
          <c:showCatName val="0"/>
          <c:showSerName val="0"/>
          <c:showPercent val="0"/>
          <c:showBubbleSize val="0"/>
        </c:dLbls>
        <c:axId val="224773728"/>
        <c:axId val="224774512"/>
      </c:radarChart>
      <c:catAx>
        <c:axId val="224773728"/>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24774512"/>
        <c:crosses val="autoZero"/>
        <c:auto val="1"/>
        <c:lblAlgn val="ctr"/>
        <c:lblOffset val="100"/>
        <c:noMultiLvlLbl val="0"/>
      </c:catAx>
      <c:valAx>
        <c:axId val="224774512"/>
        <c:scaling>
          <c:orientation val="minMax"/>
          <c:max val="5"/>
        </c:scaling>
        <c:delete val="0"/>
        <c:axPos val="l"/>
        <c:majorGridlines/>
        <c:numFmt formatCode="General" sourceLinked="0"/>
        <c:majorTickMark val="cross"/>
        <c:minorTickMark val="none"/>
        <c:tickLblPos val="nextTo"/>
        <c:crossAx val="224773728"/>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1'!$S$15</c:f>
              <c:strCache>
                <c:ptCount val="1"/>
                <c:pt idx="0">
                  <c:v>Subject 12</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1'!$S$17:$S$39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ED0E-47CF-92A1-60A38B2207D4}"/>
            </c:ext>
          </c:extLst>
        </c:ser>
        <c:dLbls>
          <c:showLegendKey val="0"/>
          <c:showVal val="0"/>
          <c:showCatName val="0"/>
          <c:showSerName val="0"/>
          <c:showPercent val="0"/>
          <c:showBubbleSize val="0"/>
        </c:dLbls>
        <c:axId val="224774120"/>
        <c:axId val="224774904"/>
      </c:radarChart>
      <c:catAx>
        <c:axId val="224774120"/>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24774904"/>
        <c:crosses val="autoZero"/>
        <c:auto val="1"/>
        <c:lblAlgn val="ctr"/>
        <c:lblOffset val="100"/>
        <c:noMultiLvlLbl val="0"/>
      </c:catAx>
      <c:valAx>
        <c:axId val="224774904"/>
        <c:scaling>
          <c:orientation val="minMax"/>
          <c:max val="5"/>
        </c:scaling>
        <c:delete val="0"/>
        <c:axPos val="l"/>
        <c:majorGridlines/>
        <c:numFmt formatCode="General" sourceLinked="0"/>
        <c:majorTickMark val="cross"/>
        <c:minorTickMark val="none"/>
        <c:tickLblPos val="nextTo"/>
        <c:crossAx val="224774120"/>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1'!$T$15</c:f>
              <c:strCache>
                <c:ptCount val="1"/>
                <c:pt idx="0">
                  <c:v>Subject 13</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1'!$T$17:$T$39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3695-4C9C-8686-21299BADF7B4}"/>
            </c:ext>
          </c:extLst>
        </c:ser>
        <c:dLbls>
          <c:showLegendKey val="0"/>
          <c:showVal val="0"/>
          <c:showCatName val="0"/>
          <c:showSerName val="0"/>
          <c:showPercent val="0"/>
          <c:showBubbleSize val="0"/>
        </c:dLbls>
        <c:axId val="224775296"/>
        <c:axId val="224775688"/>
      </c:radarChart>
      <c:catAx>
        <c:axId val="224775296"/>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224775688"/>
        <c:crosses val="autoZero"/>
        <c:auto val="1"/>
        <c:lblAlgn val="ctr"/>
        <c:lblOffset val="100"/>
        <c:noMultiLvlLbl val="0"/>
      </c:catAx>
      <c:valAx>
        <c:axId val="224775688"/>
        <c:scaling>
          <c:orientation val="minMax"/>
          <c:max val="5"/>
        </c:scaling>
        <c:delete val="0"/>
        <c:axPos val="l"/>
        <c:majorGridlines/>
        <c:numFmt formatCode="General" sourceLinked="0"/>
        <c:majorTickMark val="cross"/>
        <c:minorTickMark val="none"/>
        <c:tickLblPos val="nextTo"/>
        <c:crossAx val="224775296"/>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1'!$U$15</c:f>
              <c:strCache>
                <c:ptCount val="1"/>
                <c:pt idx="0">
                  <c:v>Subject 14</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1'!$U$17:$U$39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A44D-4CA0-8CB1-CE2EBC553C84}"/>
            </c:ext>
          </c:extLst>
        </c:ser>
        <c:dLbls>
          <c:showLegendKey val="0"/>
          <c:showVal val="0"/>
          <c:showCatName val="0"/>
          <c:showSerName val="0"/>
          <c:showPercent val="0"/>
          <c:showBubbleSize val="0"/>
        </c:dLbls>
        <c:axId val="774044400"/>
        <c:axId val="774045576"/>
      </c:radarChart>
      <c:catAx>
        <c:axId val="774044400"/>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774045576"/>
        <c:crosses val="autoZero"/>
        <c:auto val="1"/>
        <c:lblAlgn val="ctr"/>
        <c:lblOffset val="100"/>
        <c:noMultiLvlLbl val="0"/>
      </c:catAx>
      <c:valAx>
        <c:axId val="774045576"/>
        <c:scaling>
          <c:orientation val="minMax"/>
          <c:max val="5"/>
        </c:scaling>
        <c:delete val="0"/>
        <c:axPos val="l"/>
        <c:majorGridlines/>
        <c:numFmt formatCode="General" sourceLinked="0"/>
        <c:majorTickMark val="cross"/>
        <c:minorTickMark val="none"/>
        <c:tickLblPos val="nextTo"/>
        <c:crossAx val="774044400"/>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2"/>
          <c:order val="0"/>
          <c:tx>
            <c:strRef>
              <c:f>'Report (OMMi) - Var 1'!$V$15</c:f>
              <c:strCache>
                <c:ptCount val="1"/>
                <c:pt idx="0">
                  <c:v>Subject 15</c:v>
                </c:pt>
              </c:strCache>
            </c:strRef>
          </c:tx>
          <c:spPr>
            <a:ln>
              <a:solidFill>
                <a:srgbClr val="0066FF"/>
              </a:solidFill>
            </a:ln>
          </c:spPr>
          <c:marker>
            <c:symbol val="none"/>
          </c:marker>
          <c:cat>
            <c:strRef>
              <c:f>'Report (OMMi) - Var 1'!$B$17:$D$39</c:f>
              <c:strCache>
                <c:ptCount val="23"/>
                <c:pt idx="0">
                  <c:v>01. Service Delivery &amp; Operation Mgmt</c:v>
                </c:pt>
                <c:pt idx="1">
                  <c:v>02. Contract SLA / KPI Mgmt</c:v>
                </c:pt>
                <c:pt idx="2">
                  <c:v>03. Risk Mgmt</c:v>
                </c:pt>
                <c:pt idx="3">
                  <c:v>04. Configuration Mgmt</c:v>
                </c:pt>
                <c:pt idx="4">
                  <c:v>05. Service Continuity Mgmt</c:v>
                </c:pt>
                <c:pt idx="5">
                  <c:v>06. Incident Mgmt</c:v>
                </c:pt>
                <c:pt idx="6">
                  <c:v>07. Problem Mgmt</c:v>
                </c:pt>
                <c:pt idx="7">
                  <c:v>08. Change Mgmt</c:v>
                </c:pt>
                <c:pt idx="8">
                  <c:v>09. Knowledge Mgmt</c:v>
                </c:pt>
                <c:pt idx="9">
                  <c:v>10. Skill Assessment &amp; Training Mgmt</c:v>
                </c:pt>
                <c:pt idx="10">
                  <c:v>11. Service Request Mgmt</c:v>
                </c:pt>
                <c:pt idx="11">
                  <c:v>12. Vulnerability for Patch Mgmt</c:v>
                </c:pt>
                <c:pt idx="12">
                  <c:v>13. Access Mgmt</c:v>
                </c:pt>
                <c:pt idx="13">
                  <c:v>14. Back-up and Restore Mgmt</c:v>
                </c:pt>
                <c:pt idx="14">
                  <c:v>15. Asset Mgmt</c:v>
                </c:pt>
                <c:pt idx="15">
                  <c:v>16. Server Hardening</c:v>
                </c:pt>
                <c:pt idx="16">
                  <c:v>17. Environment Architecture</c:v>
                </c:pt>
                <c:pt idx="17">
                  <c:v>18. Proactive Monitoring</c:v>
                </c:pt>
                <c:pt idx="18">
                  <c:v>19. Availability Mgmt</c:v>
                </c:pt>
                <c:pt idx="19">
                  <c:v>20. Capacity Mgmt</c:v>
                </c:pt>
                <c:pt idx="20">
                  <c:v>21. Release &amp; Deployment Mgmt</c:v>
                </c:pt>
                <c:pt idx="21">
                  <c:v>22. Team Mgmt</c:v>
                </c:pt>
                <c:pt idx="22">
                  <c:v>23. Operational Mgmt</c:v>
                </c:pt>
              </c:strCache>
            </c:strRef>
          </c:cat>
          <c:val>
            <c:numRef>
              <c:f>'Report (OMMi) - Var 1'!$V$17:$V$39</c:f>
              <c:numCache>
                <c:formatCode>0.0</c:formatCode>
                <c:ptCount val="23"/>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3C18-4EAD-A2FE-8222E99A3192}"/>
            </c:ext>
          </c:extLst>
        </c:ser>
        <c:dLbls>
          <c:showLegendKey val="0"/>
          <c:showVal val="0"/>
          <c:showCatName val="0"/>
          <c:showSerName val="0"/>
          <c:showPercent val="0"/>
          <c:showBubbleSize val="0"/>
        </c:dLbls>
        <c:axId val="774045184"/>
        <c:axId val="774045968"/>
      </c:radarChart>
      <c:catAx>
        <c:axId val="774045184"/>
        <c:scaling>
          <c:orientation val="minMax"/>
        </c:scaling>
        <c:delete val="0"/>
        <c:axPos val="b"/>
        <c:majorGridlines/>
        <c:numFmt formatCode="@" sourceLinked="0"/>
        <c:majorTickMark val="out"/>
        <c:minorTickMark val="none"/>
        <c:tickLblPos val="nextTo"/>
        <c:txPr>
          <a:bodyPr rot="0"/>
          <a:lstStyle/>
          <a:p>
            <a:pPr>
              <a:defRPr sz="1000" baseline="0"/>
            </a:pPr>
            <a:endParaRPr lang="en-US"/>
          </a:p>
        </c:txPr>
        <c:crossAx val="774045968"/>
        <c:crosses val="autoZero"/>
        <c:auto val="1"/>
        <c:lblAlgn val="ctr"/>
        <c:lblOffset val="100"/>
        <c:noMultiLvlLbl val="0"/>
      </c:catAx>
      <c:valAx>
        <c:axId val="774045968"/>
        <c:scaling>
          <c:orientation val="minMax"/>
          <c:max val="5"/>
        </c:scaling>
        <c:delete val="0"/>
        <c:axPos val="l"/>
        <c:majorGridlines/>
        <c:numFmt formatCode="General" sourceLinked="0"/>
        <c:majorTickMark val="cross"/>
        <c:minorTickMark val="none"/>
        <c:tickLblPos val="nextTo"/>
        <c:crossAx val="774045184"/>
        <c:crosses val="autoZero"/>
        <c:crossBetween val="between"/>
        <c:majorUnit val="1"/>
      </c:valAx>
    </c:plotArea>
    <c:legend>
      <c:legendPos val="t"/>
      <c:layout>
        <c:manualLayout>
          <c:xMode val="edge"/>
          <c:yMode val="edge"/>
          <c:x val="9.133043530054126E-3"/>
          <c:y val="1.4226950100372813E-2"/>
          <c:w val="0.1163279265984225"/>
          <c:h val="4.2877451068253511E-2"/>
        </c:manualLayout>
      </c:layout>
      <c:overlay val="0"/>
      <c:spPr>
        <a:noFill/>
        <a:ln w="25400">
          <a:solidFill>
            <a:srgbClr val="FF0000"/>
          </a:solidFill>
        </a:ln>
      </c:spPr>
    </c:legend>
    <c:plotVisOnly val="1"/>
    <c:dispBlanksAs val="gap"/>
    <c:showDLblsOverMax val="0"/>
  </c:chart>
  <c:printSettings>
    <c:headerFooter/>
    <c:pageMargins b="0.75000000000001155" l="0.70000000000000062" r="0.70000000000000062" t="0.750000000000011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18" Type="http://schemas.openxmlformats.org/officeDocument/2006/relationships/chart" Target="../charts/chart16.xml"/><Relationship Id="rId3" Type="http://schemas.openxmlformats.org/officeDocument/2006/relationships/chart" Target="../charts/chart2.xml"/><Relationship Id="rId7" Type="http://schemas.openxmlformats.org/officeDocument/2006/relationships/chart" Target="../charts/chart5.xml"/><Relationship Id="rId12" Type="http://schemas.openxmlformats.org/officeDocument/2006/relationships/chart" Target="../charts/chart10.xml"/><Relationship Id="rId17" Type="http://schemas.openxmlformats.org/officeDocument/2006/relationships/chart" Target="../charts/chart15.xml"/><Relationship Id="rId2" Type="http://schemas.openxmlformats.org/officeDocument/2006/relationships/chart" Target="../charts/chart1.xml"/><Relationship Id="rId16" Type="http://schemas.openxmlformats.org/officeDocument/2006/relationships/chart" Target="../charts/chart14.xml"/><Relationship Id="rId20" Type="http://schemas.openxmlformats.org/officeDocument/2006/relationships/chart" Target="../charts/chart18.xml"/><Relationship Id="rId1" Type="http://schemas.openxmlformats.org/officeDocument/2006/relationships/image" Target="../media/image4.png"/><Relationship Id="rId6" Type="http://schemas.openxmlformats.org/officeDocument/2006/relationships/image" Target="../media/image3.png"/><Relationship Id="rId11" Type="http://schemas.openxmlformats.org/officeDocument/2006/relationships/chart" Target="../charts/chart9.xml"/><Relationship Id="rId5" Type="http://schemas.openxmlformats.org/officeDocument/2006/relationships/chart" Target="../charts/chart4.xml"/><Relationship Id="rId15" Type="http://schemas.openxmlformats.org/officeDocument/2006/relationships/chart" Target="../charts/chart13.xml"/><Relationship Id="rId10" Type="http://schemas.openxmlformats.org/officeDocument/2006/relationships/chart" Target="../charts/chart8.xml"/><Relationship Id="rId19" Type="http://schemas.openxmlformats.org/officeDocument/2006/relationships/chart" Target="../charts/chart17.xml"/><Relationship Id="rId4" Type="http://schemas.openxmlformats.org/officeDocument/2006/relationships/chart" Target="../charts/chart3.xml"/><Relationship Id="rId9" Type="http://schemas.openxmlformats.org/officeDocument/2006/relationships/chart" Target="../charts/chart7.xml"/><Relationship Id="rId1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3" Type="http://schemas.openxmlformats.org/officeDocument/2006/relationships/hyperlink" Target="#'6. 20k-1 2011_9k 2015 (ISO)'!F12"/><Relationship Id="rId18" Type="http://schemas.openxmlformats.org/officeDocument/2006/relationships/hyperlink" Target="#'6. 20k-1 2011_9k 2015 (ISO)'!F84"/><Relationship Id="rId26" Type="http://schemas.openxmlformats.org/officeDocument/2006/relationships/hyperlink" Target="#'6. 20k-1 2011_9k 2015 (ISO)'!F19"/><Relationship Id="rId39" Type="http://schemas.openxmlformats.org/officeDocument/2006/relationships/hyperlink" Target="#'6. 20k-1 2011_9k 2015 (ISO)'!F138"/><Relationship Id="rId21" Type="http://schemas.openxmlformats.org/officeDocument/2006/relationships/hyperlink" Target="#'6. 20k-1 2011_9k 2015 (ISO)'!F83"/><Relationship Id="rId34" Type="http://schemas.openxmlformats.org/officeDocument/2006/relationships/hyperlink" Target="#'6. 20k-1 2011_9k 2015 (ISO)'!F22"/><Relationship Id="rId42" Type="http://schemas.openxmlformats.org/officeDocument/2006/relationships/hyperlink" Target="#'6. 20k-1 2011_9k 2015 (ISO)'!F27"/><Relationship Id="rId47" Type="http://schemas.openxmlformats.org/officeDocument/2006/relationships/hyperlink" Target="#'6. 20k-1 2011_9k 2015 (ISO)'!F31"/><Relationship Id="rId50" Type="http://schemas.openxmlformats.org/officeDocument/2006/relationships/hyperlink" Target="#'6. 20k-1 2011_9k 2015 (ISO)'!F32"/><Relationship Id="rId55" Type="http://schemas.openxmlformats.org/officeDocument/2006/relationships/hyperlink" Target="#'6. 20k-1 2011_9k 2015 (ISO)'!F127"/><Relationship Id="rId63" Type="http://schemas.openxmlformats.org/officeDocument/2006/relationships/hyperlink" Target="#'6. 20k-1 2011_9k 2015 (ISO)'!F118"/><Relationship Id="rId68" Type="http://schemas.openxmlformats.org/officeDocument/2006/relationships/hyperlink" Target="#'6. 20k-1 2011_9k 2015 (ISO)'!F56"/><Relationship Id="rId7" Type="http://schemas.openxmlformats.org/officeDocument/2006/relationships/hyperlink" Target="#'6. 20k-1 2011_9k 2015 (ISO)'!F6"/><Relationship Id="rId2" Type="http://schemas.openxmlformats.org/officeDocument/2006/relationships/hyperlink" Target="#'6. 20k-1 2011_9k 2015 (ISO)'!F11"/><Relationship Id="rId16" Type="http://schemas.openxmlformats.org/officeDocument/2006/relationships/hyperlink" Target="#'6. 20k-1 2011_9k 2015 (ISO)'!F82"/><Relationship Id="rId29" Type="http://schemas.openxmlformats.org/officeDocument/2006/relationships/hyperlink" Target="#'6. 20k-1 2011_9k 2015 (ISO)'!F72"/><Relationship Id="rId1" Type="http://schemas.openxmlformats.org/officeDocument/2006/relationships/hyperlink" Target="#'6. 20k-1 2011_9k 2015 (ISO)'!F93"/><Relationship Id="rId6" Type="http://schemas.openxmlformats.org/officeDocument/2006/relationships/hyperlink" Target="#'6. 20k-1 2011_9k 2015 (ISO)'!F67"/><Relationship Id="rId11" Type="http://schemas.openxmlformats.org/officeDocument/2006/relationships/hyperlink" Target="#'6. 20k-1 2011_9k 2015 (ISO)'!F115"/><Relationship Id="rId24" Type="http://schemas.openxmlformats.org/officeDocument/2006/relationships/hyperlink" Target="#'6. 20k-1 2011_9k 2015 (ISO)'!F18"/><Relationship Id="rId32" Type="http://schemas.openxmlformats.org/officeDocument/2006/relationships/hyperlink" Target="#'6. 20k-1 2011_9k 2015 (ISO)'!F21"/><Relationship Id="rId37" Type="http://schemas.openxmlformats.org/officeDocument/2006/relationships/hyperlink" Target="#'6. 20k-1 2011_9k 2015 (ISO)'!F135"/><Relationship Id="rId40" Type="http://schemas.openxmlformats.org/officeDocument/2006/relationships/hyperlink" Target="#'6. 20k-1 2011_9k 2015 (ISO)'!F25"/><Relationship Id="rId45" Type="http://schemas.openxmlformats.org/officeDocument/2006/relationships/hyperlink" Target="#'6. 20k-1 2011_9k 2015 (ISO)'!F147"/><Relationship Id="rId53" Type="http://schemas.openxmlformats.org/officeDocument/2006/relationships/hyperlink" Target="#'6. 20k-1 2011_9k 2015 (ISO)'!F124"/><Relationship Id="rId58" Type="http://schemas.openxmlformats.org/officeDocument/2006/relationships/hyperlink" Target="#'6. 20k-1 2011_9k 2015 (ISO)'!F133"/><Relationship Id="rId66" Type="http://schemas.openxmlformats.org/officeDocument/2006/relationships/hyperlink" Target="#'6. 20k-1 2011_9k 2015 (ISO)'!F55"/><Relationship Id="rId5" Type="http://schemas.openxmlformats.org/officeDocument/2006/relationships/hyperlink" Target="#'6. 20k-1 2011_9k 2015 (ISO)'!F66"/><Relationship Id="rId15" Type="http://schemas.openxmlformats.org/officeDocument/2006/relationships/hyperlink" Target="#'6. 20k-1 2011_9k 2015 (ISO)'!F81"/><Relationship Id="rId23" Type="http://schemas.openxmlformats.org/officeDocument/2006/relationships/hyperlink" Target="#'6. 20k-1 2011_9k 2015 (ISO)'!F59"/><Relationship Id="rId28" Type="http://schemas.openxmlformats.org/officeDocument/2006/relationships/hyperlink" Target="#'6. 20k-1 2011_9k 2015 (ISO)'!F64"/><Relationship Id="rId36" Type="http://schemas.openxmlformats.org/officeDocument/2006/relationships/hyperlink" Target="#'6. 20k-1 2011_9k 2015 (ISO)'!F23"/><Relationship Id="rId49" Type="http://schemas.openxmlformats.org/officeDocument/2006/relationships/hyperlink" Target="#'6. 20k-1 2011_9k 2015 (ISO)'!F112"/><Relationship Id="rId57" Type="http://schemas.openxmlformats.org/officeDocument/2006/relationships/hyperlink" Target="#'6. 20k-1 2011_9k 2015 (ISO)'!F130"/><Relationship Id="rId61" Type="http://schemas.openxmlformats.org/officeDocument/2006/relationships/hyperlink" Target="#'6. 20k-1 2011_9k 2015 (ISO)'!F116"/><Relationship Id="rId10" Type="http://schemas.openxmlformats.org/officeDocument/2006/relationships/hyperlink" Target="#'6. 20k-1 2011_9k 2015 (ISO)'!F8"/><Relationship Id="rId19" Type="http://schemas.openxmlformats.org/officeDocument/2006/relationships/hyperlink" Target="#'6. 20k-1 2011_9k 2015 (ISO)'!F85"/><Relationship Id="rId31" Type="http://schemas.openxmlformats.org/officeDocument/2006/relationships/hyperlink" Target="#'6. 20k-1 2011_9k 2015 (ISO)'!F20"/><Relationship Id="rId44" Type="http://schemas.openxmlformats.org/officeDocument/2006/relationships/hyperlink" Target="#'6. 20k-1 2011_9k 2015 (ISO)'!F144"/><Relationship Id="rId52" Type="http://schemas.openxmlformats.org/officeDocument/2006/relationships/hyperlink" Target="#'6. 20k-1 2011_9k 2015 (ISO)'!F33"/><Relationship Id="rId60" Type="http://schemas.openxmlformats.org/officeDocument/2006/relationships/hyperlink" Target="#'6. 20k-1 2011_9k 2015 (ISO)'!F49"/><Relationship Id="rId65" Type="http://schemas.openxmlformats.org/officeDocument/2006/relationships/hyperlink" Target="#'6. 20k-1 2011_9k 2015 (ISO)'!F125"/><Relationship Id="rId4" Type="http://schemas.openxmlformats.org/officeDocument/2006/relationships/hyperlink" Target="#'6. 20k-1 2011_9k 2015 (ISO)'!F5"/><Relationship Id="rId9" Type="http://schemas.openxmlformats.org/officeDocument/2006/relationships/hyperlink" Target="#'6. 20k-1 2011_9k 2015 (ISO)'!F71"/><Relationship Id="rId14" Type="http://schemas.openxmlformats.org/officeDocument/2006/relationships/hyperlink" Target="#'6. 20k-1 2011_9k 2015 (ISO)'!F14"/><Relationship Id="rId22" Type="http://schemas.openxmlformats.org/officeDocument/2006/relationships/hyperlink" Target="#'6. 20k-1 2011_9k 2015 (ISO)'!F17"/><Relationship Id="rId27" Type="http://schemas.openxmlformats.org/officeDocument/2006/relationships/hyperlink" Target="#'6. 20k-1 2011_9k 2015 (ISO)'!F57"/><Relationship Id="rId30" Type="http://schemas.openxmlformats.org/officeDocument/2006/relationships/hyperlink" Target="#'6. 20k-1 2011_9k 2015 (ISO)'!F80"/><Relationship Id="rId35" Type="http://schemas.openxmlformats.org/officeDocument/2006/relationships/hyperlink" Target="#'6. 20k-1 2011_9k 2015 (ISO)'!F132"/><Relationship Id="rId43" Type="http://schemas.openxmlformats.org/officeDocument/2006/relationships/hyperlink" Target="#'6. 20k-1 2011_9k 2015 (ISO)'!F143"/><Relationship Id="rId48" Type="http://schemas.openxmlformats.org/officeDocument/2006/relationships/hyperlink" Target="#'6. 20k-1 2011_9k 2015 (ISO)'!F111"/><Relationship Id="rId56" Type="http://schemas.openxmlformats.org/officeDocument/2006/relationships/hyperlink" Target="#'6. 20k-1 2011_9k 2015 (ISO)'!F36"/><Relationship Id="rId64" Type="http://schemas.openxmlformats.org/officeDocument/2006/relationships/hyperlink" Target="#'6. 20k-1 2011_9k 2015 (ISO)'!F52"/><Relationship Id="rId69" Type="http://schemas.openxmlformats.org/officeDocument/2006/relationships/image" Target="../media/image3.png"/><Relationship Id="rId8" Type="http://schemas.openxmlformats.org/officeDocument/2006/relationships/hyperlink" Target="#'6. 20k-1 2011_9k 2015 (ISO)'!F7"/><Relationship Id="rId51" Type="http://schemas.openxmlformats.org/officeDocument/2006/relationships/hyperlink" Target="#'6. 20k-1 2011_9k 2015 (ISO)'!F113"/><Relationship Id="rId3" Type="http://schemas.openxmlformats.org/officeDocument/2006/relationships/hyperlink" Target="#'6. 20k-1 2011_9k 2015 (ISO)'!F65"/><Relationship Id="rId12" Type="http://schemas.openxmlformats.org/officeDocument/2006/relationships/hyperlink" Target="#'6. 20k-1 2011_9k 2015 (ISO)'!F10"/><Relationship Id="rId17" Type="http://schemas.openxmlformats.org/officeDocument/2006/relationships/hyperlink" Target="#'6. 20k-1 2011_9k 2015 (ISO)'!F15"/><Relationship Id="rId25" Type="http://schemas.openxmlformats.org/officeDocument/2006/relationships/hyperlink" Target="#'6. 20k-1 2011_9k 2015 (ISO)'!F60"/><Relationship Id="rId33" Type="http://schemas.openxmlformats.org/officeDocument/2006/relationships/hyperlink" Target="#'6. 20k-1 2011_9k 2015 (ISO)'!F131"/><Relationship Id="rId38" Type="http://schemas.openxmlformats.org/officeDocument/2006/relationships/hyperlink" Target="#'6. 20k-1 2011_9k 2015 (ISO)'!F24"/><Relationship Id="rId46" Type="http://schemas.openxmlformats.org/officeDocument/2006/relationships/hyperlink" Target="#'6. 20k-1 2011_9k 2015 (ISO)'!F110"/><Relationship Id="rId59" Type="http://schemas.openxmlformats.org/officeDocument/2006/relationships/hyperlink" Target="#'6. 20k-1 2011_9k 2015 (ISO)'!F134"/><Relationship Id="rId67" Type="http://schemas.openxmlformats.org/officeDocument/2006/relationships/hyperlink" Target="#'6. 20k-1 2011_9k 2015 (ISO)'!F126"/><Relationship Id="rId20" Type="http://schemas.openxmlformats.org/officeDocument/2006/relationships/hyperlink" Target="#'6. 20k-1 2011_9k 2015 (ISO)'!F16"/><Relationship Id="rId41" Type="http://schemas.openxmlformats.org/officeDocument/2006/relationships/hyperlink" Target="#'6. 20k-1 2011_9k 2015 (ISO)'!F142"/><Relationship Id="rId54" Type="http://schemas.openxmlformats.org/officeDocument/2006/relationships/hyperlink" Target="#'6. 20k-1 2011_9k 2015 (ISO)'!F35"/><Relationship Id="rId62" Type="http://schemas.openxmlformats.org/officeDocument/2006/relationships/hyperlink" Target="#'6. 20k-1 2011_9k 2015 (ISO)'!F117"/></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14</xdr:col>
      <xdr:colOff>276225</xdr:colOff>
      <xdr:row>23</xdr:row>
      <xdr:rowOff>95250</xdr:rowOff>
    </xdr:from>
    <xdr:to>
      <xdr:col>14</xdr:col>
      <xdr:colOff>628651</xdr:colOff>
      <xdr:row>29</xdr:row>
      <xdr:rowOff>180023</xdr:rowOff>
    </xdr:to>
    <xdr:pic macro="[0]!Click_UnProt">
      <xdr:nvPicPr>
        <xdr:cNvPr id="6" name="Graphic 5" descr="Forbidden">
          <a:extLst>
            <a:ext uri="{FF2B5EF4-FFF2-40B4-BE49-F238E27FC236}">
              <a16:creationId xmlns:a16="http://schemas.microsoft.com/office/drawing/2014/main" xmlns="" id="{78DDA207-192F-4CB0-BCA7-04EB029656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1020425" y="4295775"/>
          <a:ext cx="352426" cy="284798"/>
        </a:xfrm>
        <a:prstGeom prst="rect">
          <a:avLst/>
        </a:prstGeom>
      </xdr:spPr>
    </xdr:pic>
    <xdr:clientData/>
  </xdr:twoCellAnchor>
  <xdr:twoCellAnchor editAs="oneCell">
    <xdr:from>
      <xdr:col>1</xdr:col>
      <xdr:colOff>571500</xdr:colOff>
      <xdr:row>23</xdr:row>
      <xdr:rowOff>114300</xdr:rowOff>
    </xdr:from>
    <xdr:to>
      <xdr:col>2</xdr:col>
      <xdr:colOff>428625</xdr:colOff>
      <xdr:row>30</xdr:row>
      <xdr:rowOff>18098</xdr:rowOff>
    </xdr:to>
    <xdr:pic macro="[0]!Click_Prot">
      <xdr:nvPicPr>
        <xdr:cNvPr id="7" name="Graphic 6" descr="Forbidden">
          <a:extLst>
            <a:ext uri="{FF2B5EF4-FFF2-40B4-BE49-F238E27FC236}">
              <a16:creationId xmlns:a16="http://schemas.microsoft.com/office/drawing/2014/main" xmlns="" id="{A0F6311B-ABC7-403F-848E-274E5F85C5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1181100" y="4314825"/>
          <a:ext cx="428625" cy="3038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200025</xdr:colOff>
      <xdr:row>1</xdr:row>
      <xdr:rowOff>38100</xdr:rowOff>
    </xdr:from>
    <xdr:to>
      <xdr:col>3</xdr:col>
      <xdr:colOff>457199</xdr:colOff>
      <xdr:row>1</xdr:row>
      <xdr:rowOff>352424</xdr:rowOff>
    </xdr:to>
    <xdr:pic macro="[0]!GotoCtrlPanel">
      <xdr:nvPicPr>
        <xdr:cNvPr id="2" name="Picture 1">
          <a:extLst>
            <a:ext uri="{FF2B5EF4-FFF2-40B4-BE49-F238E27FC236}">
              <a16:creationId xmlns:a16="http://schemas.microsoft.com/office/drawing/2014/main" xmlns="" id="{D77A7AD7-B75D-4F8A-B11E-9A344197101D}"/>
            </a:ext>
          </a:extLst>
        </xdr:cNvPr>
        <xdr:cNvPicPr>
          <a:picLocks noChangeAspect="1"/>
        </xdr:cNvPicPr>
      </xdr:nvPicPr>
      <xdr:blipFill>
        <a:blip xmlns:r="http://schemas.openxmlformats.org/officeDocument/2006/relationships" r:embed="rId1"/>
        <a:stretch>
          <a:fillRect/>
        </a:stretch>
      </xdr:blipFill>
      <xdr:spPr>
        <a:xfrm>
          <a:off x="6991350" y="190500"/>
          <a:ext cx="866774" cy="3143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190500</xdr:colOff>
      <xdr:row>1</xdr:row>
      <xdr:rowOff>28575</xdr:rowOff>
    </xdr:from>
    <xdr:to>
      <xdr:col>3</xdr:col>
      <xdr:colOff>447674</xdr:colOff>
      <xdr:row>1</xdr:row>
      <xdr:rowOff>342899</xdr:rowOff>
    </xdr:to>
    <xdr:pic macro="[0]!GotoCtrlPanel">
      <xdr:nvPicPr>
        <xdr:cNvPr id="2" name="Picture 1">
          <a:extLst>
            <a:ext uri="{FF2B5EF4-FFF2-40B4-BE49-F238E27FC236}">
              <a16:creationId xmlns:a16="http://schemas.microsoft.com/office/drawing/2014/main" xmlns="" id="{FC004F06-BE36-459F-8D1F-70E32C9889A1}"/>
            </a:ext>
          </a:extLst>
        </xdr:cNvPr>
        <xdr:cNvPicPr>
          <a:picLocks noChangeAspect="1"/>
        </xdr:cNvPicPr>
      </xdr:nvPicPr>
      <xdr:blipFill>
        <a:blip xmlns:r="http://schemas.openxmlformats.org/officeDocument/2006/relationships" r:embed="rId1"/>
        <a:stretch>
          <a:fillRect/>
        </a:stretch>
      </xdr:blipFill>
      <xdr:spPr>
        <a:xfrm>
          <a:off x="6877050" y="219075"/>
          <a:ext cx="866774" cy="3143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552450</xdr:colOff>
      <xdr:row>6</xdr:row>
      <xdr:rowOff>95250</xdr:rowOff>
    </xdr:from>
    <xdr:to>
      <xdr:col>10</xdr:col>
      <xdr:colOff>200024</xdr:colOff>
      <xdr:row>7</xdr:row>
      <xdr:rowOff>123824</xdr:rowOff>
    </xdr:to>
    <xdr:pic macro="[0]!GotoCtrlPanel">
      <xdr:nvPicPr>
        <xdr:cNvPr id="2" name="Picture 1">
          <a:extLst>
            <a:ext uri="{FF2B5EF4-FFF2-40B4-BE49-F238E27FC236}">
              <a16:creationId xmlns:a16="http://schemas.microsoft.com/office/drawing/2014/main" xmlns="" id="{A1D26DD1-D7E1-4DA5-AAD8-200321F045C9}"/>
            </a:ext>
          </a:extLst>
        </xdr:cNvPr>
        <xdr:cNvPicPr>
          <a:picLocks noChangeAspect="1"/>
        </xdr:cNvPicPr>
      </xdr:nvPicPr>
      <xdr:blipFill>
        <a:blip xmlns:r="http://schemas.openxmlformats.org/officeDocument/2006/relationships" r:embed="rId1"/>
        <a:stretch>
          <a:fillRect/>
        </a:stretch>
      </xdr:blipFill>
      <xdr:spPr>
        <a:xfrm>
          <a:off x="10687050" y="1647825"/>
          <a:ext cx="866774" cy="3143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436401</xdr:colOff>
      <xdr:row>45</xdr:row>
      <xdr:rowOff>35538</xdr:rowOff>
    </xdr:from>
    <xdr:to>
      <xdr:col>6</xdr:col>
      <xdr:colOff>164215</xdr:colOff>
      <xdr:row>46</xdr:row>
      <xdr:rowOff>22004</xdr:rowOff>
    </xdr:to>
    <xdr:pic>
      <xdr:nvPicPr>
        <xdr:cNvPr id="2049" name="Picture 1" descr="File:Spectrum.svg">
          <a:extLst>
            <a:ext uri="{FF2B5EF4-FFF2-40B4-BE49-F238E27FC236}">
              <a16:creationId xmlns:a16="http://schemas.microsoft.com/office/drawing/2014/main" xmlns="" id="{00000000-0008-0000-0300-000001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rot="10800000">
          <a:off x="1955578" y="7149146"/>
          <a:ext cx="4791738" cy="179377"/>
        </a:xfrm>
        <a:prstGeom prst="rect">
          <a:avLst/>
        </a:prstGeom>
        <a:noFill/>
      </xdr:spPr>
    </xdr:pic>
    <xdr:clientData/>
  </xdr:twoCellAnchor>
  <xdr:twoCellAnchor>
    <xdr:from>
      <xdr:col>1</xdr:col>
      <xdr:colOff>12057</xdr:colOff>
      <xdr:row>47</xdr:row>
      <xdr:rowOff>190169</xdr:rowOff>
    </xdr:from>
    <xdr:to>
      <xdr:col>7</xdr:col>
      <xdr:colOff>819873</xdr:colOff>
      <xdr:row>75</xdr:row>
      <xdr:rowOff>144682</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12053</xdr:colOff>
      <xdr:row>48</xdr:row>
      <xdr:rowOff>0</xdr:rowOff>
    </xdr:from>
    <xdr:to>
      <xdr:col>14</xdr:col>
      <xdr:colOff>12056</xdr:colOff>
      <xdr:row>75</xdr:row>
      <xdr:rowOff>147425</xdr:rowOff>
    </xdr:to>
    <xdr:graphicFrame macro="">
      <xdr:nvGraphicFramePr>
        <xdr:cNvPr id="6" name="Chart 5">
          <a:extLst>
            <a:ext uri="{FF2B5EF4-FFF2-40B4-BE49-F238E27FC236}">
              <a16:creationId xmlns:a16="http://schemas.microsoft.com/office/drawing/2014/main" xmlns="" id="{4B30BE60-1659-4A46-89CB-E0F14AF5C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506376</xdr:colOff>
      <xdr:row>48</xdr:row>
      <xdr:rowOff>0</xdr:rowOff>
    </xdr:from>
    <xdr:to>
      <xdr:col>21</xdr:col>
      <xdr:colOff>783703</xdr:colOff>
      <xdr:row>75</xdr:row>
      <xdr:rowOff>147425</xdr:rowOff>
    </xdr:to>
    <xdr:graphicFrame macro="">
      <xdr:nvGraphicFramePr>
        <xdr:cNvPr id="8" name="Chart 7">
          <a:extLst>
            <a:ext uri="{FF2B5EF4-FFF2-40B4-BE49-F238E27FC236}">
              <a16:creationId xmlns:a16="http://schemas.microsoft.com/office/drawing/2014/main" xmlns="" id="{E920B238-0E38-48FC-A7A1-82B1B64FE6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48</xdr:row>
      <xdr:rowOff>0</xdr:rowOff>
    </xdr:from>
    <xdr:to>
      <xdr:col>35</xdr:col>
      <xdr:colOff>48241</xdr:colOff>
      <xdr:row>75</xdr:row>
      <xdr:rowOff>147425</xdr:rowOff>
    </xdr:to>
    <xdr:graphicFrame macro="">
      <xdr:nvGraphicFramePr>
        <xdr:cNvPr id="10" name="Chart 9">
          <a:extLst>
            <a:ext uri="{FF2B5EF4-FFF2-40B4-BE49-F238E27FC236}">
              <a16:creationId xmlns:a16="http://schemas.microsoft.com/office/drawing/2014/main" xmlns="" id="{B9FC0067-B34F-4E8D-B934-D403ACB499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217026</xdr:colOff>
      <xdr:row>1</xdr:row>
      <xdr:rowOff>24113</xdr:rowOff>
    </xdr:from>
    <xdr:to>
      <xdr:col>7</xdr:col>
      <xdr:colOff>1083800</xdr:colOff>
      <xdr:row>2</xdr:row>
      <xdr:rowOff>842</xdr:rowOff>
    </xdr:to>
    <xdr:pic macro="[0]!GotoCtrlPanel">
      <xdr:nvPicPr>
        <xdr:cNvPr id="26" name="Picture 25">
          <a:extLst>
            <a:ext uri="{FF2B5EF4-FFF2-40B4-BE49-F238E27FC236}">
              <a16:creationId xmlns:a16="http://schemas.microsoft.com/office/drawing/2014/main" xmlns="" id="{A2DA76F5-6C98-4C2A-8905-E5832A92E74A}"/>
            </a:ext>
          </a:extLst>
        </xdr:cNvPr>
        <xdr:cNvPicPr>
          <a:picLocks noChangeAspect="1"/>
        </xdr:cNvPicPr>
      </xdr:nvPicPr>
      <xdr:blipFill>
        <a:blip xmlns:r="http://schemas.openxmlformats.org/officeDocument/2006/relationships" r:embed="rId6"/>
        <a:stretch>
          <a:fillRect/>
        </a:stretch>
      </xdr:blipFill>
      <xdr:spPr>
        <a:xfrm>
          <a:off x="8090222" y="217024"/>
          <a:ext cx="866774" cy="314324"/>
        </a:xfrm>
        <a:prstGeom prst="rect">
          <a:avLst/>
        </a:prstGeom>
      </xdr:spPr>
    </xdr:pic>
    <xdr:clientData/>
  </xdr:twoCellAnchor>
  <xdr:twoCellAnchor>
    <xdr:from>
      <xdr:col>36</xdr:col>
      <xdr:colOff>0</xdr:colOff>
      <xdr:row>48</xdr:row>
      <xdr:rowOff>0</xdr:rowOff>
    </xdr:from>
    <xdr:to>
      <xdr:col>49</xdr:col>
      <xdr:colOff>48241</xdr:colOff>
      <xdr:row>75</xdr:row>
      <xdr:rowOff>147425</xdr:rowOff>
    </xdr:to>
    <xdr:graphicFrame macro="">
      <xdr:nvGraphicFramePr>
        <xdr:cNvPr id="23" name="Chart 22">
          <a:extLst>
            <a:ext uri="{FF2B5EF4-FFF2-40B4-BE49-F238E27FC236}">
              <a16:creationId xmlns:a16="http://schemas.microsoft.com/office/drawing/2014/main" xmlns="" id="{9FD5BB8D-6661-4A1A-BB29-318DA11D96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50</xdr:col>
      <xdr:colOff>0</xdr:colOff>
      <xdr:row>48</xdr:row>
      <xdr:rowOff>0</xdr:rowOff>
    </xdr:from>
    <xdr:to>
      <xdr:col>63</xdr:col>
      <xdr:colOff>48241</xdr:colOff>
      <xdr:row>75</xdr:row>
      <xdr:rowOff>147425</xdr:rowOff>
    </xdr:to>
    <xdr:graphicFrame macro="">
      <xdr:nvGraphicFramePr>
        <xdr:cNvPr id="25" name="Chart 24">
          <a:extLst>
            <a:ext uri="{FF2B5EF4-FFF2-40B4-BE49-F238E27FC236}">
              <a16:creationId xmlns:a16="http://schemas.microsoft.com/office/drawing/2014/main" xmlns="" id="{DDB78526-4671-4B48-82DA-25D2F1351F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0</xdr:colOff>
      <xdr:row>48</xdr:row>
      <xdr:rowOff>0</xdr:rowOff>
    </xdr:from>
    <xdr:to>
      <xdr:col>77</xdr:col>
      <xdr:colOff>48241</xdr:colOff>
      <xdr:row>75</xdr:row>
      <xdr:rowOff>147425</xdr:rowOff>
    </xdr:to>
    <xdr:graphicFrame macro="">
      <xdr:nvGraphicFramePr>
        <xdr:cNvPr id="34" name="Chart 33">
          <a:extLst>
            <a:ext uri="{FF2B5EF4-FFF2-40B4-BE49-F238E27FC236}">
              <a16:creationId xmlns:a16="http://schemas.microsoft.com/office/drawing/2014/main" xmlns="" id="{5E363301-195C-4C05-9015-44E00DCEC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78</xdr:col>
      <xdr:colOff>0</xdr:colOff>
      <xdr:row>48</xdr:row>
      <xdr:rowOff>0</xdr:rowOff>
    </xdr:from>
    <xdr:to>
      <xdr:col>91</xdr:col>
      <xdr:colOff>48241</xdr:colOff>
      <xdr:row>75</xdr:row>
      <xdr:rowOff>147425</xdr:rowOff>
    </xdr:to>
    <xdr:graphicFrame macro="">
      <xdr:nvGraphicFramePr>
        <xdr:cNvPr id="35" name="Chart 34">
          <a:extLst>
            <a:ext uri="{FF2B5EF4-FFF2-40B4-BE49-F238E27FC236}">
              <a16:creationId xmlns:a16="http://schemas.microsoft.com/office/drawing/2014/main" xmlns="" id="{9D7431B7-DD94-4F27-BB8A-B3D01C172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92</xdr:col>
      <xdr:colOff>0</xdr:colOff>
      <xdr:row>48</xdr:row>
      <xdr:rowOff>0</xdr:rowOff>
    </xdr:from>
    <xdr:to>
      <xdr:col>105</xdr:col>
      <xdr:colOff>48242</xdr:colOff>
      <xdr:row>75</xdr:row>
      <xdr:rowOff>147425</xdr:rowOff>
    </xdr:to>
    <xdr:graphicFrame macro="">
      <xdr:nvGraphicFramePr>
        <xdr:cNvPr id="36" name="Chart 35">
          <a:extLst>
            <a:ext uri="{FF2B5EF4-FFF2-40B4-BE49-F238E27FC236}">
              <a16:creationId xmlns:a16="http://schemas.microsoft.com/office/drawing/2014/main" xmlns="" id="{CDAE2B70-253F-4BDF-B073-59D68C30D9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106</xdr:col>
      <xdr:colOff>0</xdr:colOff>
      <xdr:row>48</xdr:row>
      <xdr:rowOff>0</xdr:rowOff>
    </xdr:from>
    <xdr:to>
      <xdr:col>119</xdr:col>
      <xdr:colOff>48242</xdr:colOff>
      <xdr:row>75</xdr:row>
      <xdr:rowOff>147425</xdr:rowOff>
    </xdr:to>
    <xdr:graphicFrame macro="">
      <xdr:nvGraphicFramePr>
        <xdr:cNvPr id="37" name="Chart 36">
          <a:extLst>
            <a:ext uri="{FF2B5EF4-FFF2-40B4-BE49-F238E27FC236}">
              <a16:creationId xmlns:a16="http://schemas.microsoft.com/office/drawing/2014/main" xmlns="" id="{F5C5BB4A-3A2E-40FA-94E1-1748584A26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0</xdr:colOff>
      <xdr:row>48</xdr:row>
      <xdr:rowOff>0</xdr:rowOff>
    </xdr:from>
    <xdr:to>
      <xdr:col>133</xdr:col>
      <xdr:colOff>48241</xdr:colOff>
      <xdr:row>75</xdr:row>
      <xdr:rowOff>147425</xdr:rowOff>
    </xdr:to>
    <xdr:graphicFrame macro="">
      <xdr:nvGraphicFramePr>
        <xdr:cNvPr id="38" name="Chart 37">
          <a:extLst>
            <a:ext uri="{FF2B5EF4-FFF2-40B4-BE49-F238E27FC236}">
              <a16:creationId xmlns:a16="http://schemas.microsoft.com/office/drawing/2014/main" xmlns="" id="{5D26C740-E4F9-467E-9F88-2AAFDC92D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134</xdr:col>
      <xdr:colOff>0</xdr:colOff>
      <xdr:row>48</xdr:row>
      <xdr:rowOff>0</xdr:rowOff>
    </xdr:from>
    <xdr:to>
      <xdr:col>147</xdr:col>
      <xdr:colOff>48241</xdr:colOff>
      <xdr:row>75</xdr:row>
      <xdr:rowOff>147425</xdr:rowOff>
    </xdr:to>
    <xdr:graphicFrame macro="">
      <xdr:nvGraphicFramePr>
        <xdr:cNvPr id="39" name="Chart 38">
          <a:extLst>
            <a:ext uri="{FF2B5EF4-FFF2-40B4-BE49-F238E27FC236}">
              <a16:creationId xmlns:a16="http://schemas.microsoft.com/office/drawing/2014/main" xmlns="" id="{8782A0B2-AB7B-42F0-A278-FA93A1ED2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148</xdr:col>
      <xdr:colOff>0</xdr:colOff>
      <xdr:row>48</xdr:row>
      <xdr:rowOff>0</xdr:rowOff>
    </xdr:from>
    <xdr:to>
      <xdr:col>161</xdr:col>
      <xdr:colOff>48241</xdr:colOff>
      <xdr:row>75</xdr:row>
      <xdr:rowOff>147425</xdr:rowOff>
    </xdr:to>
    <xdr:graphicFrame macro="">
      <xdr:nvGraphicFramePr>
        <xdr:cNvPr id="40" name="Chart 39">
          <a:extLst>
            <a:ext uri="{FF2B5EF4-FFF2-40B4-BE49-F238E27FC236}">
              <a16:creationId xmlns:a16="http://schemas.microsoft.com/office/drawing/2014/main" xmlns="" id="{53F46604-5657-447A-8C3D-4C4466615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162</xdr:col>
      <xdr:colOff>0</xdr:colOff>
      <xdr:row>48</xdr:row>
      <xdr:rowOff>0</xdr:rowOff>
    </xdr:from>
    <xdr:to>
      <xdr:col>175</xdr:col>
      <xdr:colOff>48241</xdr:colOff>
      <xdr:row>75</xdr:row>
      <xdr:rowOff>147425</xdr:rowOff>
    </xdr:to>
    <xdr:graphicFrame macro="">
      <xdr:nvGraphicFramePr>
        <xdr:cNvPr id="41" name="Chart 40">
          <a:extLst>
            <a:ext uri="{FF2B5EF4-FFF2-40B4-BE49-F238E27FC236}">
              <a16:creationId xmlns:a16="http://schemas.microsoft.com/office/drawing/2014/main" xmlns="" id="{8F90ED0D-C503-4A46-A9C7-14797F9BF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176</xdr:col>
      <xdr:colOff>0</xdr:colOff>
      <xdr:row>48</xdr:row>
      <xdr:rowOff>0</xdr:rowOff>
    </xdr:from>
    <xdr:to>
      <xdr:col>189</xdr:col>
      <xdr:colOff>48241</xdr:colOff>
      <xdr:row>75</xdr:row>
      <xdr:rowOff>147425</xdr:rowOff>
    </xdr:to>
    <xdr:graphicFrame macro="">
      <xdr:nvGraphicFramePr>
        <xdr:cNvPr id="42" name="Chart 41">
          <a:extLst>
            <a:ext uri="{FF2B5EF4-FFF2-40B4-BE49-F238E27FC236}">
              <a16:creationId xmlns:a16="http://schemas.microsoft.com/office/drawing/2014/main" xmlns="" id="{21EA2C3A-0888-46F8-8298-270D607924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190</xdr:col>
      <xdr:colOff>0</xdr:colOff>
      <xdr:row>48</xdr:row>
      <xdr:rowOff>0</xdr:rowOff>
    </xdr:from>
    <xdr:to>
      <xdr:col>203</xdr:col>
      <xdr:colOff>48241</xdr:colOff>
      <xdr:row>75</xdr:row>
      <xdr:rowOff>147425</xdr:rowOff>
    </xdr:to>
    <xdr:graphicFrame macro="">
      <xdr:nvGraphicFramePr>
        <xdr:cNvPr id="43" name="Chart 42">
          <a:extLst>
            <a:ext uri="{FF2B5EF4-FFF2-40B4-BE49-F238E27FC236}">
              <a16:creationId xmlns:a16="http://schemas.microsoft.com/office/drawing/2014/main" xmlns="" id="{FAF8DEC0-9EE7-4331-8EF8-C9A557B451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204</xdr:col>
      <xdr:colOff>0</xdr:colOff>
      <xdr:row>48</xdr:row>
      <xdr:rowOff>0</xdr:rowOff>
    </xdr:from>
    <xdr:to>
      <xdr:col>217</xdr:col>
      <xdr:colOff>48241</xdr:colOff>
      <xdr:row>75</xdr:row>
      <xdr:rowOff>147425</xdr:rowOff>
    </xdr:to>
    <xdr:graphicFrame macro="">
      <xdr:nvGraphicFramePr>
        <xdr:cNvPr id="44" name="Chart 43">
          <a:extLst>
            <a:ext uri="{FF2B5EF4-FFF2-40B4-BE49-F238E27FC236}">
              <a16:creationId xmlns:a16="http://schemas.microsoft.com/office/drawing/2014/main" xmlns="" id="{76710967-6D81-4505-AE5A-BD8E1655D1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218</xdr:col>
      <xdr:colOff>0</xdr:colOff>
      <xdr:row>48</xdr:row>
      <xdr:rowOff>0</xdr:rowOff>
    </xdr:from>
    <xdr:to>
      <xdr:col>231</xdr:col>
      <xdr:colOff>48242</xdr:colOff>
      <xdr:row>75</xdr:row>
      <xdr:rowOff>147425</xdr:rowOff>
    </xdr:to>
    <xdr:graphicFrame macro="">
      <xdr:nvGraphicFramePr>
        <xdr:cNvPr id="45" name="Chart 44">
          <a:extLst>
            <a:ext uri="{FF2B5EF4-FFF2-40B4-BE49-F238E27FC236}">
              <a16:creationId xmlns:a16="http://schemas.microsoft.com/office/drawing/2014/main" xmlns="" id="{E8A28D35-372F-49EC-87BB-BA88F0CC1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217025</xdr:colOff>
      <xdr:row>1</xdr:row>
      <xdr:rowOff>24114</xdr:rowOff>
    </xdr:from>
    <xdr:to>
      <xdr:col>7</xdr:col>
      <xdr:colOff>1083799</xdr:colOff>
      <xdr:row>2</xdr:row>
      <xdr:rowOff>843</xdr:rowOff>
    </xdr:to>
    <xdr:pic macro="[0]!GotoCtrlPanel">
      <xdr:nvPicPr>
        <xdr:cNvPr id="2" name="Picture 1">
          <a:extLst>
            <a:ext uri="{FF2B5EF4-FFF2-40B4-BE49-F238E27FC236}">
              <a16:creationId xmlns:a16="http://schemas.microsoft.com/office/drawing/2014/main" xmlns="" id="{43E872C2-0121-43B9-8938-6883CF530D99}"/>
            </a:ext>
          </a:extLst>
        </xdr:cNvPr>
        <xdr:cNvPicPr>
          <a:picLocks noChangeAspect="1"/>
        </xdr:cNvPicPr>
      </xdr:nvPicPr>
      <xdr:blipFill>
        <a:blip xmlns:r="http://schemas.openxmlformats.org/officeDocument/2006/relationships" r:embed="rId1"/>
        <a:stretch>
          <a:fillRect/>
        </a:stretch>
      </xdr:blipFill>
      <xdr:spPr>
        <a:xfrm>
          <a:off x="8102278" y="217025"/>
          <a:ext cx="866774" cy="31432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217025</xdr:colOff>
      <xdr:row>1</xdr:row>
      <xdr:rowOff>24114</xdr:rowOff>
    </xdr:from>
    <xdr:to>
      <xdr:col>7</xdr:col>
      <xdr:colOff>1083799</xdr:colOff>
      <xdr:row>2</xdr:row>
      <xdr:rowOff>843</xdr:rowOff>
    </xdr:to>
    <xdr:pic macro="[0]!GotoCtrlPanel">
      <xdr:nvPicPr>
        <xdr:cNvPr id="2" name="Picture 1">
          <a:extLst>
            <a:ext uri="{FF2B5EF4-FFF2-40B4-BE49-F238E27FC236}">
              <a16:creationId xmlns:a16="http://schemas.microsoft.com/office/drawing/2014/main" xmlns="" id="{7E56DA84-7CC8-486B-AC0F-79B31CBF817C}"/>
            </a:ext>
          </a:extLst>
        </xdr:cNvPr>
        <xdr:cNvPicPr>
          <a:picLocks noChangeAspect="1"/>
        </xdr:cNvPicPr>
      </xdr:nvPicPr>
      <xdr:blipFill>
        <a:blip xmlns:r="http://schemas.openxmlformats.org/officeDocument/2006/relationships" r:embed="rId1"/>
        <a:stretch>
          <a:fillRect/>
        </a:stretch>
      </xdr:blipFill>
      <xdr:spPr>
        <a:xfrm>
          <a:off x="8102278" y="217025"/>
          <a:ext cx="866774" cy="31432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57151</xdr:colOff>
      <xdr:row>1</xdr:row>
      <xdr:rowOff>57151</xdr:rowOff>
    </xdr:from>
    <xdr:to>
      <xdr:col>1</xdr:col>
      <xdr:colOff>923925</xdr:colOff>
      <xdr:row>1</xdr:row>
      <xdr:rowOff>371475</xdr:rowOff>
    </xdr:to>
    <xdr:pic macro="[0]!GotoCtrlPanel">
      <xdr:nvPicPr>
        <xdr:cNvPr id="2" name="Picture 1">
          <a:extLst>
            <a:ext uri="{FF2B5EF4-FFF2-40B4-BE49-F238E27FC236}">
              <a16:creationId xmlns:a16="http://schemas.microsoft.com/office/drawing/2014/main" xmlns="" id="{504908D3-2B35-4F43-A3F3-7E38314397C7}"/>
            </a:ext>
          </a:extLst>
        </xdr:cNvPr>
        <xdr:cNvPicPr>
          <a:picLocks noChangeAspect="1"/>
        </xdr:cNvPicPr>
      </xdr:nvPicPr>
      <xdr:blipFill>
        <a:blip xmlns:r="http://schemas.openxmlformats.org/officeDocument/2006/relationships" r:embed="rId1"/>
        <a:stretch>
          <a:fillRect/>
        </a:stretch>
      </xdr:blipFill>
      <xdr:spPr>
        <a:xfrm>
          <a:off x="114301" y="161926"/>
          <a:ext cx="866774" cy="3143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983476CE-D5CF-49BA-BE66-0AB7FC10B0FD}"/>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DF92323E-0D4B-484B-946F-05B03797CDD1}"/>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60EF911C-B917-4C9C-900D-57E46229A7BF}"/>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BFBA6FCD-6475-4499-B731-C9021308087D}"/>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6D3888C3-276B-4E33-BCB5-C3556BC0B728}"/>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32CD1F54-DA98-48B7-BB79-2D974D69F8D9}"/>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FEC766D6-1204-4CD9-B665-83C39D7BB2C3}"/>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3" name="Picture 2">
          <a:extLst>
            <a:ext uri="{FF2B5EF4-FFF2-40B4-BE49-F238E27FC236}">
              <a16:creationId xmlns:a16="http://schemas.microsoft.com/office/drawing/2014/main" xmlns="" id="{E287C94A-2396-4D1D-98E3-CC853F6E4842}"/>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8EB50F00-0712-46EE-AB42-0174F147F509}"/>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60837996-5510-4197-8FC6-EA913933CD99}"/>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C45DCE6B-6791-48F6-B81D-483FADDE31B1}"/>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10C04B23-13E3-4C88-AA89-1DE736E7253D}"/>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CCB51B70-7FBA-4584-9C99-F5F0A499E284}"/>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AC8C363C-6A89-4524-94C3-3917E5AF3D62}"/>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7D1105AD-9432-495C-BB48-34151A33DE13}"/>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57150</xdr:colOff>
      <xdr:row>1</xdr:row>
      <xdr:rowOff>57150</xdr:rowOff>
    </xdr:from>
    <xdr:to>
      <xdr:col>1</xdr:col>
      <xdr:colOff>923924</xdr:colOff>
      <xdr:row>1</xdr:row>
      <xdr:rowOff>371474</xdr:rowOff>
    </xdr:to>
    <xdr:pic macro="[0]!GotoCtrlPanel">
      <xdr:nvPicPr>
        <xdr:cNvPr id="2" name="Picture 1">
          <a:extLst>
            <a:ext uri="{FF2B5EF4-FFF2-40B4-BE49-F238E27FC236}">
              <a16:creationId xmlns:a16="http://schemas.microsoft.com/office/drawing/2014/main" xmlns="" id="{2AF91D46-F51B-4CFA-888D-AEFA4BDD9359}"/>
            </a:ext>
          </a:extLst>
        </xdr:cNvPr>
        <xdr:cNvPicPr>
          <a:picLocks noChangeAspect="1"/>
        </xdr:cNvPicPr>
      </xdr:nvPicPr>
      <xdr:blipFill>
        <a:blip xmlns:r="http://schemas.openxmlformats.org/officeDocument/2006/relationships" r:embed="rId1"/>
        <a:stretch>
          <a:fillRect/>
        </a:stretch>
      </xdr:blipFill>
      <xdr:spPr>
        <a:xfrm>
          <a:off x="114300" y="161925"/>
          <a:ext cx="866774" cy="31432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xdr:col>
      <xdr:colOff>47625</xdr:colOff>
      <xdr:row>13</xdr:row>
      <xdr:rowOff>32047</xdr:rowOff>
    </xdr:from>
    <xdr:to>
      <xdr:col>5</xdr:col>
      <xdr:colOff>866774</xdr:colOff>
      <xdr:row>13</xdr:row>
      <xdr:rowOff>200025</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xmlns="" id="{00000000-0008-0000-0500-000005000000}"/>
            </a:ext>
          </a:extLst>
        </xdr:cNvPr>
        <xdr:cNvSpPr/>
      </xdr:nvSpPr>
      <xdr:spPr>
        <a:xfrm>
          <a:off x="11172825" y="12024022"/>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- 7.5</a:t>
          </a:r>
        </a:p>
      </xdr:txBody>
    </xdr:sp>
    <xdr:clientData/>
  </xdr:twoCellAnchor>
  <xdr:twoCellAnchor>
    <xdr:from>
      <xdr:col>5</xdr:col>
      <xdr:colOff>47625</xdr:colOff>
      <xdr:row>92</xdr:row>
      <xdr:rowOff>28575</xdr:rowOff>
    </xdr:from>
    <xdr:to>
      <xdr:col>5</xdr:col>
      <xdr:colOff>866774</xdr:colOff>
      <xdr:row>92</xdr:row>
      <xdr:rowOff>196553</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xmlns="" id="{00000000-0008-0000-0500-000007000000}"/>
            </a:ext>
          </a:extLst>
        </xdr:cNvPr>
        <xdr:cNvSpPr/>
      </xdr:nvSpPr>
      <xdr:spPr>
        <a:xfrm>
          <a:off x="11172825" y="1156430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- 4.3</a:t>
          </a:r>
        </a:p>
      </xdr:txBody>
    </xdr:sp>
    <xdr:clientData/>
  </xdr:twoCellAnchor>
  <xdr:twoCellAnchor>
    <xdr:from>
      <xdr:col>5</xdr:col>
      <xdr:colOff>47625</xdr:colOff>
      <xdr:row>4</xdr:row>
      <xdr:rowOff>28575</xdr:rowOff>
    </xdr:from>
    <xdr:to>
      <xdr:col>5</xdr:col>
      <xdr:colOff>866774</xdr:colOff>
      <xdr:row>4</xdr:row>
      <xdr:rowOff>196553</xdr:rowOff>
    </xdr:to>
    <xdr:sp macro="" textlink="">
      <xdr:nvSpPr>
        <xdr:cNvPr id="8" name="Rounded Rectangle 7">
          <a:hlinkClick xmlns:r="http://schemas.openxmlformats.org/officeDocument/2006/relationships" r:id="rId3"/>
          <a:extLst>
            <a:ext uri="{FF2B5EF4-FFF2-40B4-BE49-F238E27FC236}">
              <a16:creationId xmlns:a16="http://schemas.microsoft.com/office/drawing/2014/main" xmlns="" id="{00000000-0008-0000-0500-000008000000}"/>
            </a:ext>
          </a:extLst>
        </xdr:cNvPr>
        <xdr:cNvSpPr/>
      </xdr:nvSpPr>
      <xdr:spPr>
        <a:xfrm>
          <a:off x="11172825" y="16002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- 5.1</a:t>
          </a:r>
        </a:p>
      </xdr:txBody>
    </xdr:sp>
    <xdr:clientData/>
  </xdr:twoCellAnchor>
  <xdr:twoCellAnchor>
    <xdr:from>
      <xdr:col>5</xdr:col>
      <xdr:colOff>47625</xdr:colOff>
      <xdr:row>64</xdr:row>
      <xdr:rowOff>28575</xdr:rowOff>
    </xdr:from>
    <xdr:to>
      <xdr:col>5</xdr:col>
      <xdr:colOff>866774</xdr:colOff>
      <xdr:row>64</xdr:row>
      <xdr:rowOff>196553</xdr:rowOff>
    </xdr:to>
    <xdr:sp macro="" textlink="">
      <xdr:nvSpPr>
        <xdr:cNvPr id="9" name="Rounded Rectangle 8">
          <a:hlinkClick xmlns:r="http://schemas.openxmlformats.org/officeDocument/2006/relationships" r:id="rId4"/>
          <a:extLst>
            <a:ext uri="{FF2B5EF4-FFF2-40B4-BE49-F238E27FC236}">
              <a16:creationId xmlns:a16="http://schemas.microsoft.com/office/drawing/2014/main" xmlns="" id="{00000000-0008-0000-0500-000009000000}"/>
            </a:ext>
          </a:extLst>
        </xdr:cNvPr>
        <xdr:cNvSpPr/>
      </xdr:nvSpPr>
      <xdr:spPr>
        <a:xfrm>
          <a:off x="11172825" y="897826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- 4.1</a:t>
          </a:r>
        </a:p>
      </xdr:txBody>
    </xdr:sp>
    <xdr:clientData/>
  </xdr:twoCellAnchor>
  <xdr:twoCellAnchor>
    <xdr:from>
      <xdr:col>5</xdr:col>
      <xdr:colOff>47625</xdr:colOff>
      <xdr:row>5</xdr:row>
      <xdr:rowOff>28575</xdr:rowOff>
    </xdr:from>
    <xdr:to>
      <xdr:col>5</xdr:col>
      <xdr:colOff>866774</xdr:colOff>
      <xdr:row>5</xdr:row>
      <xdr:rowOff>196553</xdr:rowOff>
    </xdr:to>
    <xdr:sp macro="" textlink="">
      <xdr:nvSpPr>
        <xdr:cNvPr id="10" name="Rounded Rectangle 9">
          <a:hlinkClick xmlns:r="http://schemas.openxmlformats.org/officeDocument/2006/relationships" r:id="rId5"/>
          <a:extLst>
            <a:ext uri="{FF2B5EF4-FFF2-40B4-BE49-F238E27FC236}">
              <a16:creationId xmlns:a16="http://schemas.microsoft.com/office/drawing/2014/main" xmlns="" id="{00000000-0008-0000-0500-00000A000000}"/>
            </a:ext>
          </a:extLst>
        </xdr:cNvPr>
        <xdr:cNvSpPr/>
      </xdr:nvSpPr>
      <xdr:spPr>
        <a:xfrm>
          <a:off x="11172825" y="18478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- 5.1.1</a:t>
          </a:r>
        </a:p>
      </xdr:txBody>
    </xdr:sp>
    <xdr:clientData/>
  </xdr:twoCellAnchor>
  <xdr:twoCellAnchor>
    <xdr:from>
      <xdr:col>5</xdr:col>
      <xdr:colOff>47625</xdr:colOff>
      <xdr:row>6</xdr:row>
      <xdr:rowOff>28575</xdr:rowOff>
    </xdr:from>
    <xdr:to>
      <xdr:col>5</xdr:col>
      <xdr:colOff>866774</xdr:colOff>
      <xdr:row>6</xdr:row>
      <xdr:rowOff>196553</xdr:rowOff>
    </xdr:to>
    <xdr:sp macro="" textlink="">
      <xdr:nvSpPr>
        <xdr:cNvPr id="11" name="Rounded Rectangle 10">
          <a:hlinkClick xmlns:r="http://schemas.openxmlformats.org/officeDocument/2006/relationships" r:id="rId6"/>
          <a:extLst>
            <a:ext uri="{FF2B5EF4-FFF2-40B4-BE49-F238E27FC236}">
              <a16:creationId xmlns:a16="http://schemas.microsoft.com/office/drawing/2014/main" xmlns="" id="{00000000-0008-0000-0500-00000B000000}"/>
            </a:ext>
          </a:extLst>
        </xdr:cNvPr>
        <xdr:cNvSpPr/>
      </xdr:nvSpPr>
      <xdr:spPr>
        <a:xfrm>
          <a:off x="11172825" y="34671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- 5.1.2</a:t>
          </a:r>
        </a:p>
      </xdr:txBody>
    </xdr:sp>
    <xdr:clientData/>
  </xdr:twoCellAnchor>
  <xdr:twoCellAnchor>
    <xdr:from>
      <xdr:col>5</xdr:col>
      <xdr:colOff>47625</xdr:colOff>
      <xdr:row>65</xdr:row>
      <xdr:rowOff>38100</xdr:rowOff>
    </xdr:from>
    <xdr:to>
      <xdr:col>5</xdr:col>
      <xdr:colOff>866774</xdr:colOff>
      <xdr:row>65</xdr:row>
      <xdr:rowOff>206078</xdr:rowOff>
    </xdr:to>
    <xdr:sp macro="" textlink="">
      <xdr:nvSpPr>
        <xdr:cNvPr id="12" name="Rounded Rectangle 11">
          <a:hlinkClick xmlns:r="http://schemas.openxmlformats.org/officeDocument/2006/relationships" r:id="rId7"/>
          <a:extLst>
            <a:ext uri="{FF2B5EF4-FFF2-40B4-BE49-F238E27FC236}">
              <a16:creationId xmlns:a16="http://schemas.microsoft.com/office/drawing/2014/main" xmlns="" id="{00000000-0008-0000-0500-00000C000000}"/>
            </a:ext>
          </a:extLst>
        </xdr:cNvPr>
        <xdr:cNvSpPr/>
      </xdr:nvSpPr>
      <xdr:spPr>
        <a:xfrm>
          <a:off x="11172825" y="900398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- 4.1.1</a:t>
          </a:r>
        </a:p>
      </xdr:txBody>
    </xdr:sp>
    <xdr:clientData/>
  </xdr:twoCellAnchor>
  <xdr:twoCellAnchor>
    <xdr:from>
      <xdr:col>5</xdr:col>
      <xdr:colOff>47625</xdr:colOff>
      <xdr:row>66</xdr:row>
      <xdr:rowOff>38100</xdr:rowOff>
    </xdr:from>
    <xdr:to>
      <xdr:col>5</xdr:col>
      <xdr:colOff>866774</xdr:colOff>
      <xdr:row>66</xdr:row>
      <xdr:rowOff>206078</xdr:rowOff>
    </xdr:to>
    <xdr:sp macro="" textlink="">
      <xdr:nvSpPr>
        <xdr:cNvPr id="13" name="Rounded Rectangle 12">
          <a:hlinkClick xmlns:r="http://schemas.openxmlformats.org/officeDocument/2006/relationships" r:id="rId8"/>
          <a:extLst>
            <a:ext uri="{FF2B5EF4-FFF2-40B4-BE49-F238E27FC236}">
              <a16:creationId xmlns:a16="http://schemas.microsoft.com/office/drawing/2014/main" xmlns="" id="{00000000-0008-0000-0500-00000D000000}"/>
            </a:ext>
          </a:extLst>
        </xdr:cNvPr>
        <xdr:cNvSpPr/>
      </xdr:nvSpPr>
      <xdr:spPr>
        <a:xfrm>
          <a:off x="11172825" y="923067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- 4.1.2</a:t>
          </a:r>
        </a:p>
      </xdr:txBody>
    </xdr:sp>
    <xdr:clientData/>
  </xdr:twoCellAnchor>
  <xdr:twoCellAnchor>
    <xdr:from>
      <xdr:col>5</xdr:col>
      <xdr:colOff>47625</xdr:colOff>
      <xdr:row>7</xdr:row>
      <xdr:rowOff>38100</xdr:rowOff>
    </xdr:from>
    <xdr:to>
      <xdr:col>5</xdr:col>
      <xdr:colOff>866774</xdr:colOff>
      <xdr:row>7</xdr:row>
      <xdr:rowOff>206078</xdr:rowOff>
    </xdr:to>
    <xdr:sp macro="" textlink="">
      <xdr:nvSpPr>
        <xdr:cNvPr id="15" name="Rounded Rectangle 14">
          <a:hlinkClick xmlns:r="http://schemas.openxmlformats.org/officeDocument/2006/relationships" r:id="rId9"/>
          <a:extLst>
            <a:ext uri="{FF2B5EF4-FFF2-40B4-BE49-F238E27FC236}">
              <a16:creationId xmlns:a16="http://schemas.microsoft.com/office/drawing/2014/main" xmlns="" id="{00000000-0008-0000-0500-00000F000000}"/>
            </a:ext>
          </a:extLst>
        </xdr:cNvPr>
        <xdr:cNvSpPr/>
      </xdr:nvSpPr>
      <xdr:spPr>
        <a:xfrm>
          <a:off x="11172825" y="47720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- 5.3</a:t>
          </a:r>
        </a:p>
      </xdr:txBody>
    </xdr:sp>
    <xdr:clientData/>
  </xdr:twoCellAnchor>
  <xdr:twoCellAnchor>
    <xdr:from>
      <xdr:col>5</xdr:col>
      <xdr:colOff>47625</xdr:colOff>
      <xdr:row>70</xdr:row>
      <xdr:rowOff>38100</xdr:rowOff>
    </xdr:from>
    <xdr:to>
      <xdr:col>5</xdr:col>
      <xdr:colOff>866774</xdr:colOff>
      <xdr:row>70</xdr:row>
      <xdr:rowOff>206078</xdr:rowOff>
    </xdr:to>
    <xdr:sp macro="" textlink="">
      <xdr:nvSpPr>
        <xdr:cNvPr id="16" name="Rounded Rectangle 15">
          <a:hlinkClick xmlns:r="http://schemas.openxmlformats.org/officeDocument/2006/relationships" r:id="rId10"/>
          <a:extLst>
            <a:ext uri="{FF2B5EF4-FFF2-40B4-BE49-F238E27FC236}">
              <a16:creationId xmlns:a16="http://schemas.microsoft.com/office/drawing/2014/main" xmlns="" id="{00000000-0008-0000-0500-000010000000}"/>
            </a:ext>
          </a:extLst>
        </xdr:cNvPr>
        <xdr:cNvSpPr/>
      </xdr:nvSpPr>
      <xdr:spPr>
        <a:xfrm>
          <a:off x="11172825" y="949261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- 4.1.3</a:t>
          </a:r>
        </a:p>
      </xdr:txBody>
    </xdr:sp>
    <xdr:clientData/>
  </xdr:twoCellAnchor>
  <xdr:twoCellAnchor>
    <xdr:from>
      <xdr:col>5</xdr:col>
      <xdr:colOff>38100</xdr:colOff>
      <xdr:row>9</xdr:row>
      <xdr:rowOff>38100</xdr:rowOff>
    </xdr:from>
    <xdr:to>
      <xdr:col>5</xdr:col>
      <xdr:colOff>857249</xdr:colOff>
      <xdr:row>9</xdr:row>
      <xdr:rowOff>206078</xdr:rowOff>
    </xdr:to>
    <xdr:sp macro="" textlink="">
      <xdr:nvSpPr>
        <xdr:cNvPr id="17" name="Rounded Rectangle 16">
          <a:hlinkClick xmlns:r="http://schemas.openxmlformats.org/officeDocument/2006/relationships" r:id="rId11"/>
          <a:extLst>
            <a:ext uri="{FF2B5EF4-FFF2-40B4-BE49-F238E27FC236}">
              <a16:creationId xmlns:a16="http://schemas.microsoft.com/office/drawing/2014/main" xmlns="" id="{00000000-0008-0000-0500-000011000000}"/>
            </a:ext>
          </a:extLst>
        </xdr:cNvPr>
        <xdr:cNvSpPr/>
      </xdr:nvSpPr>
      <xdr:spPr>
        <a:xfrm>
          <a:off x="11163300" y="67151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- 8.4</a:t>
          </a:r>
        </a:p>
      </xdr:txBody>
    </xdr:sp>
    <xdr:clientData/>
  </xdr:twoCellAnchor>
  <xdr:twoCellAnchor>
    <xdr:from>
      <xdr:col>5</xdr:col>
      <xdr:colOff>47625</xdr:colOff>
      <xdr:row>114</xdr:row>
      <xdr:rowOff>38100</xdr:rowOff>
    </xdr:from>
    <xdr:to>
      <xdr:col>5</xdr:col>
      <xdr:colOff>866774</xdr:colOff>
      <xdr:row>114</xdr:row>
      <xdr:rowOff>206078</xdr:rowOff>
    </xdr:to>
    <xdr:sp macro="" textlink="">
      <xdr:nvSpPr>
        <xdr:cNvPr id="18" name="Rounded Rectangle 17">
          <a:hlinkClick xmlns:r="http://schemas.openxmlformats.org/officeDocument/2006/relationships" r:id="rId12"/>
          <a:extLst>
            <a:ext uri="{FF2B5EF4-FFF2-40B4-BE49-F238E27FC236}">
              <a16:creationId xmlns:a16="http://schemas.microsoft.com/office/drawing/2014/main" xmlns="" id="{00000000-0008-0000-0500-000012000000}"/>
            </a:ext>
          </a:extLst>
        </xdr:cNvPr>
        <xdr:cNvSpPr/>
      </xdr:nvSpPr>
      <xdr:spPr>
        <a:xfrm>
          <a:off x="11172825" y="1353693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- 4.2</a:t>
          </a:r>
        </a:p>
      </xdr:txBody>
    </xdr:sp>
    <xdr:clientData/>
  </xdr:twoCellAnchor>
  <xdr:twoCellAnchor>
    <xdr:from>
      <xdr:col>5</xdr:col>
      <xdr:colOff>47625</xdr:colOff>
      <xdr:row>10</xdr:row>
      <xdr:rowOff>38100</xdr:rowOff>
    </xdr:from>
    <xdr:to>
      <xdr:col>5</xdr:col>
      <xdr:colOff>866774</xdr:colOff>
      <xdr:row>10</xdr:row>
      <xdr:rowOff>206078</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xmlns="" id="{00000000-0008-0000-0500-000013000000}"/>
            </a:ext>
          </a:extLst>
        </xdr:cNvPr>
        <xdr:cNvSpPr/>
      </xdr:nvSpPr>
      <xdr:spPr>
        <a:xfrm>
          <a:off x="11172825" y="83343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- 7.5</a:t>
          </a:r>
        </a:p>
      </xdr:txBody>
    </xdr:sp>
    <xdr:clientData/>
  </xdr:twoCellAnchor>
  <xdr:twoCellAnchor>
    <xdr:from>
      <xdr:col>5</xdr:col>
      <xdr:colOff>47625</xdr:colOff>
      <xdr:row>92</xdr:row>
      <xdr:rowOff>247650</xdr:rowOff>
    </xdr:from>
    <xdr:to>
      <xdr:col>5</xdr:col>
      <xdr:colOff>866774</xdr:colOff>
      <xdr:row>92</xdr:row>
      <xdr:rowOff>415628</xdr:rowOff>
    </xdr:to>
    <xdr:sp macro="" textlink="">
      <xdr:nvSpPr>
        <xdr:cNvPr id="20" name="Rounded Rectangle 19">
          <a:hlinkClick xmlns:r="http://schemas.openxmlformats.org/officeDocument/2006/relationships" r:id="rId13"/>
          <a:extLst>
            <a:ext uri="{FF2B5EF4-FFF2-40B4-BE49-F238E27FC236}">
              <a16:creationId xmlns:a16="http://schemas.microsoft.com/office/drawing/2014/main" xmlns="" id="{00000000-0008-0000-0500-000014000000}"/>
            </a:ext>
          </a:extLst>
        </xdr:cNvPr>
        <xdr:cNvSpPr/>
      </xdr:nvSpPr>
      <xdr:spPr>
        <a:xfrm>
          <a:off x="11172825" y="1160335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- 4.3.1</a:t>
          </a:r>
        </a:p>
      </xdr:txBody>
    </xdr:sp>
    <xdr:clientData/>
  </xdr:twoCellAnchor>
  <xdr:twoCellAnchor>
    <xdr:from>
      <xdr:col>5</xdr:col>
      <xdr:colOff>47625</xdr:colOff>
      <xdr:row>11</xdr:row>
      <xdr:rowOff>38100</xdr:rowOff>
    </xdr:from>
    <xdr:to>
      <xdr:col>5</xdr:col>
      <xdr:colOff>866774</xdr:colOff>
      <xdr:row>11</xdr:row>
      <xdr:rowOff>206078</xdr:rowOff>
    </xdr:to>
    <xdr:sp macro="" textlink="">
      <xdr:nvSpPr>
        <xdr:cNvPr id="21" name="Rounded Rectangle 20">
          <a:hlinkClick xmlns:r="http://schemas.openxmlformats.org/officeDocument/2006/relationships" r:id="rId1"/>
          <a:extLst>
            <a:ext uri="{FF2B5EF4-FFF2-40B4-BE49-F238E27FC236}">
              <a16:creationId xmlns:a16="http://schemas.microsoft.com/office/drawing/2014/main" xmlns="" id="{00000000-0008-0000-0500-000015000000}"/>
            </a:ext>
          </a:extLst>
        </xdr:cNvPr>
        <xdr:cNvSpPr/>
      </xdr:nvSpPr>
      <xdr:spPr>
        <a:xfrm>
          <a:off x="11172825" y="85820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- 7.5</a:t>
          </a:r>
        </a:p>
      </xdr:txBody>
    </xdr:sp>
    <xdr:clientData/>
  </xdr:twoCellAnchor>
  <xdr:twoCellAnchor>
    <xdr:from>
      <xdr:col>5</xdr:col>
      <xdr:colOff>47625</xdr:colOff>
      <xdr:row>92</xdr:row>
      <xdr:rowOff>476250</xdr:rowOff>
    </xdr:from>
    <xdr:to>
      <xdr:col>5</xdr:col>
      <xdr:colOff>866774</xdr:colOff>
      <xdr:row>92</xdr:row>
      <xdr:rowOff>644228</xdr:rowOff>
    </xdr:to>
    <xdr:sp macro="" textlink="">
      <xdr:nvSpPr>
        <xdr:cNvPr id="22" name="Rounded Rectangle 21">
          <a:hlinkClick xmlns:r="http://schemas.openxmlformats.org/officeDocument/2006/relationships" r:id="rId14"/>
          <a:extLst>
            <a:ext uri="{FF2B5EF4-FFF2-40B4-BE49-F238E27FC236}">
              <a16:creationId xmlns:a16="http://schemas.microsoft.com/office/drawing/2014/main" xmlns="" id="{00000000-0008-0000-0500-000016000000}"/>
            </a:ext>
          </a:extLst>
        </xdr:cNvPr>
        <xdr:cNvSpPr/>
      </xdr:nvSpPr>
      <xdr:spPr>
        <a:xfrm>
          <a:off x="11172825" y="1162621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- 4.3.3</a:t>
          </a:r>
        </a:p>
      </xdr:txBody>
    </xdr:sp>
    <xdr:clientData/>
  </xdr:twoCellAnchor>
  <xdr:twoCellAnchor>
    <xdr:from>
      <xdr:col>5</xdr:col>
      <xdr:colOff>47625</xdr:colOff>
      <xdr:row>14</xdr:row>
      <xdr:rowOff>38100</xdr:rowOff>
    </xdr:from>
    <xdr:to>
      <xdr:col>5</xdr:col>
      <xdr:colOff>866774</xdr:colOff>
      <xdr:row>14</xdr:row>
      <xdr:rowOff>206078</xdr:rowOff>
    </xdr:to>
    <xdr:sp macro="" textlink="">
      <xdr:nvSpPr>
        <xdr:cNvPr id="23" name="Rounded Rectangle 22">
          <a:hlinkClick xmlns:r="http://schemas.openxmlformats.org/officeDocument/2006/relationships" r:id="rId15"/>
          <a:extLst>
            <a:ext uri="{FF2B5EF4-FFF2-40B4-BE49-F238E27FC236}">
              <a16:creationId xmlns:a16="http://schemas.microsoft.com/office/drawing/2014/main" xmlns="" id="{00000000-0008-0000-0500-000017000000}"/>
            </a:ext>
          </a:extLst>
        </xdr:cNvPr>
        <xdr:cNvSpPr/>
      </xdr:nvSpPr>
      <xdr:spPr>
        <a:xfrm>
          <a:off x="11172825" y="126301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a:t>
          </a:r>
        </a:p>
      </xdr:txBody>
    </xdr:sp>
    <xdr:clientData/>
  </xdr:twoCellAnchor>
  <xdr:twoCellAnchor>
    <xdr:from>
      <xdr:col>5</xdr:col>
      <xdr:colOff>38100</xdr:colOff>
      <xdr:row>14</xdr:row>
      <xdr:rowOff>266700</xdr:rowOff>
    </xdr:from>
    <xdr:to>
      <xdr:col>5</xdr:col>
      <xdr:colOff>857249</xdr:colOff>
      <xdr:row>14</xdr:row>
      <xdr:rowOff>434678</xdr:rowOff>
    </xdr:to>
    <xdr:sp macro="" textlink="">
      <xdr:nvSpPr>
        <xdr:cNvPr id="24" name="Rounded Rectangle 23">
          <a:hlinkClick xmlns:r="http://schemas.openxmlformats.org/officeDocument/2006/relationships" r:id="rId16"/>
          <a:extLst>
            <a:ext uri="{FF2B5EF4-FFF2-40B4-BE49-F238E27FC236}">
              <a16:creationId xmlns:a16="http://schemas.microsoft.com/office/drawing/2014/main" xmlns="" id="{00000000-0008-0000-0500-000018000000}"/>
            </a:ext>
          </a:extLst>
        </xdr:cNvPr>
        <xdr:cNvSpPr/>
      </xdr:nvSpPr>
      <xdr:spPr>
        <a:xfrm>
          <a:off x="11163300" y="128587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- 7.1.1</a:t>
          </a:r>
        </a:p>
      </xdr:txBody>
    </xdr:sp>
    <xdr:clientData/>
  </xdr:twoCellAnchor>
  <xdr:twoCellAnchor>
    <xdr:from>
      <xdr:col>5</xdr:col>
      <xdr:colOff>47625</xdr:colOff>
      <xdr:row>80</xdr:row>
      <xdr:rowOff>38100</xdr:rowOff>
    </xdr:from>
    <xdr:to>
      <xdr:col>5</xdr:col>
      <xdr:colOff>866774</xdr:colOff>
      <xdr:row>80</xdr:row>
      <xdr:rowOff>206078</xdr:rowOff>
    </xdr:to>
    <xdr:sp macro="" textlink="">
      <xdr:nvSpPr>
        <xdr:cNvPr id="26" name="Rounded Rectangle 25">
          <a:hlinkClick xmlns:r="http://schemas.openxmlformats.org/officeDocument/2006/relationships" r:id="rId17"/>
          <a:extLst>
            <a:ext uri="{FF2B5EF4-FFF2-40B4-BE49-F238E27FC236}">
              <a16:creationId xmlns:a16="http://schemas.microsoft.com/office/drawing/2014/main" xmlns="" id="{00000000-0008-0000-0500-00001A000000}"/>
            </a:ext>
          </a:extLst>
        </xdr:cNvPr>
        <xdr:cNvSpPr/>
      </xdr:nvSpPr>
      <xdr:spPr>
        <a:xfrm>
          <a:off x="11172825" y="1044225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- 4.4</a:t>
          </a:r>
        </a:p>
      </xdr:txBody>
    </xdr:sp>
    <xdr:clientData/>
  </xdr:twoCellAnchor>
  <xdr:twoCellAnchor>
    <xdr:from>
      <xdr:col>5</xdr:col>
      <xdr:colOff>47625</xdr:colOff>
      <xdr:row>81</xdr:row>
      <xdr:rowOff>38100</xdr:rowOff>
    </xdr:from>
    <xdr:to>
      <xdr:col>5</xdr:col>
      <xdr:colOff>866774</xdr:colOff>
      <xdr:row>81</xdr:row>
      <xdr:rowOff>206078</xdr:rowOff>
    </xdr:to>
    <xdr:sp macro="" textlink="">
      <xdr:nvSpPr>
        <xdr:cNvPr id="28" name="Rounded Rectangle 27">
          <a:hlinkClick xmlns:r="http://schemas.openxmlformats.org/officeDocument/2006/relationships" r:id="rId17"/>
          <a:extLst>
            <a:ext uri="{FF2B5EF4-FFF2-40B4-BE49-F238E27FC236}">
              <a16:creationId xmlns:a16="http://schemas.microsoft.com/office/drawing/2014/main" xmlns="" id="{00000000-0008-0000-0500-00001C000000}"/>
            </a:ext>
          </a:extLst>
        </xdr:cNvPr>
        <xdr:cNvSpPr/>
      </xdr:nvSpPr>
      <xdr:spPr>
        <a:xfrm>
          <a:off x="11172825" y="1046702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- 4.4</a:t>
          </a:r>
        </a:p>
      </xdr:txBody>
    </xdr:sp>
    <xdr:clientData/>
  </xdr:twoCellAnchor>
  <xdr:twoCellAnchor>
    <xdr:from>
      <xdr:col>5</xdr:col>
      <xdr:colOff>47625</xdr:colOff>
      <xdr:row>15</xdr:row>
      <xdr:rowOff>38100</xdr:rowOff>
    </xdr:from>
    <xdr:to>
      <xdr:col>5</xdr:col>
      <xdr:colOff>866774</xdr:colOff>
      <xdr:row>15</xdr:row>
      <xdr:rowOff>206078</xdr:rowOff>
    </xdr:to>
    <xdr:sp macro="" textlink="">
      <xdr:nvSpPr>
        <xdr:cNvPr id="29" name="Rounded Rectangle 28">
          <a:hlinkClick xmlns:r="http://schemas.openxmlformats.org/officeDocument/2006/relationships" r:id="rId18"/>
          <a:extLst>
            <a:ext uri="{FF2B5EF4-FFF2-40B4-BE49-F238E27FC236}">
              <a16:creationId xmlns:a16="http://schemas.microsoft.com/office/drawing/2014/main" xmlns="" id="{00000000-0008-0000-0500-00001D000000}"/>
            </a:ext>
          </a:extLst>
        </xdr:cNvPr>
        <xdr:cNvSpPr/>
      </xdr:nvSpPr>
      <xdr:spPr>
        <a:xfrm>
          <a:off x="11172825" y="131064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- 7.1.3</a:t>
          </a:r>
        </a:p>
      </xdr:txBody>
    </xdr:sp>
    <xdr:clientData/>
  </xdr:twoCellAnchor>
  <xdr:twoCellAnchor>
    <xdr:from>
      <xdr:col>5</xdr:col>
      <xdr:colOff>47625</xdr:colOff>
      <xdr:row>15</xdr:row>
      <xdr:rowOff>266700</xdr:rowOff>
    </xdr:from>
    <xdr:to>
      <xdr:col>5</xdr:col>
      <xdr:colOff>866774</xdr:colOff>
      <xdr:row>15</xdr:row>
      <xdr:rowOff>434678</xdr:rowOff>
    </xdr:to>
    <xdr:sp macro="" textlink="">
      <xdr:nvSpPr>
        <xdr:cNvPr id="30" name="Rounded Rectangle 29">
          <a:hlinkClick xmlns:r="http://schemas.openxmlformats.org/officeDocument/2006/relationships" r:id="rId19"/>
          <a:extLst>
            <a:ext uri="{FF2B5EF4-FFF2-40B4-BE49-F238E27FC236}">
              <a16:creationId xmlns:a16="http://schemas.microsoft.com/office/drawing/2014/main" xmlns="" id="{00000000-0008-0000-0500-00001E000000}"/>
            </a:ext>
          </a:extLst>
        </xdr:cNvPr>
        <xdr:cNvSpPr/>
      </xdr:nvSpPr>
      <xdr:spPr>
        <a:xfrm>
          <a:off x="11172825" y="133350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- 7.1.4</a:t>
          </a:r>
        </a:p>
      </xdr:txBody>
    </xdr:sp>
    <xdr:clientData/>
  </xdr:twoCellAnchor>
  <xdr:twoCellAnchor>
    <xdr:from>
      <xdr:col>5</xdr:col>
      <xdr:colOff>47625</xdr:colOff>
      <xdr:row>83</xdr:row>
      <xdr:rowOff>38100</xdr:rowOff>
    </xdr:from>
    <xdr:to>
      <xdr:col>5</xdr:col>
      <xdr:colOff>866774</xdr:colOff>
      <xdr:row>83</xdr:row>
      <xdr:rowOff>206078</xdr:rowOff>
    </xdr:to>
    <xdr:sp macro="" textlink="">
      <xdr:nvSpPr>
        <xdr:cNvPr id="31" name="Rounded Rectangle 30">
          <a:hlinkClick xmlns:r="http://schemas.openxmlformats.org/officeDocument/2006/relationships" r:id="rId20"/>
          <a:extLst>
            <a:ext uri="{FF2B5EF4-FFF2-40B4-BE49-F238E27FC236}">
              <a16:creationId xmlns:a16="http://schemas.microsoft.com/office/drawing/2014/main" xmlns="" id="{00000000-0008-0000-0500-00001F000000}"/>
            </a:ext>
          </a:extLst>
        </xdr:cNvPr>
        <xdr:cNvSpPr/>
      </xdr:nvSpPr>
      <xdr:spPr>
        <a:xfrm>
          <a:off x="11172825" y="1058037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- 4.4.1</a:t>
          </a:r>
        </a:p>
      </xdr:txBody>
    </xdr:sp>
    <xdr:clientData/>
  </xdr:twoCellAnchor>
  <xdr:twoCellAnchor>
    <xdr:from>
      <xdr:col>5</xdr:col>
      <xdr:colOff>47625</xdr:colOff>
      <xdr:row>84</xdr:row>
      <xdr:rowOff>38100</xdr:rowOff>
    </xdr:from>
    <xdr:to>
      <xdr:col>5</xdr:col>
      <xdr:colOff>866774</xdr:colOff>
      <xdr:row>84</xdr:row>
      <xdr:rowOff>206078</xdr:rowOff>
    </xdr:to>
    <xdr:sp macro="" textlink="">
      <xdr:nvSpPr>
        <xdr:cNvPr id="32" name="Rounded Rectangle 31">
          <a:hlinkClick xmlns:r="http://schemas.openxmlformats.org/officeDocument/2006/relationships" r:id="rId20"/>
          <a:extLst>
            <a:ext uri="{FF2B5EF4-FFF2-40B4-BE49-F238E27FC236}">
              <a16:creationId xmlns:a16="http://schemas.microsoft.com/office/drawing/2014/main" xmlns="" id="{00000000-0008-0000-0500-000020000000}"/>
            </a:ext>
          </a:extLst>
        </xdr:cNvPr>
        <xdr:cNvSpPr/>
      </xdr:nvSpPr>
      <xdr:spPr>
        <a:xfrm>
          <a:off x="11172825" y="1069371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- 4.4.1</a:t>
          </a:r>
        </a:p>
      </xdr:txBody>
    </xdr:sp>
    <xdr:clientData/>
  </xdr:twoCellAnchor>
  <xdr:twoCellAnchor>
    <xdr:from>
      <xdr:col>5</xdr:col>
      <xdr:colOff>47625</xdr:colOff>
      <xdr:row>16</xdr:row>
      <xdr:rowOff>38100</xdr:rowOff>
    </xdr:from>
    <xdr:to>
      <xdr:col>5</xdr:col>
      <xdr:colOff>866774</xdr:colOff>
      <xdr:row>16</xdr:row>
      <xdr:rowOff>206078</xdr:rowOff>
    </xdr:to>
    <xdr:sp macro="" textlink="">
      <xdr:nvSpPr>
        <xdr:cNvPr id="33" name="Rounded Rectangle 32">
          <a:hlinkClick xmlns:r="http://schemas.openxmlformats.org/officeDocument/2006/relationships" r:id="rId21"/>
          <a:extLst>
            <a:ext uri="{FF2B5EF4-FFF2-40B4-BE49-F238E27FC236}">
              <a16:creationId xmlns:a16="http://schemas.microsoft.com/office/drawing/2014/main" xmlns="" id="{00000000-0008-0000-0500-000021000000}"/>
            </a:ext>
          </a:extLst>
        </xdr:cNvPr>
        <xdr:cNvSpPr/>
      </xdr:nvSpPr>
      <xdr:spPr>
        <a:xfrm>
          <a:off x="11172825" y="135921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- 7.1.2</a:t>
          </a:r>
        </a:p>
      </xdr:txBody>
    </xdr:sp>
    <xdr:clientData/>
  </xdr:twoCellAnchor>
  <xdr:twoCellAnchor>
    <xdr:from>
      <xdr:col>5</xdr:col>
      <xdr:colOff>47625</xdr:colOff>
      <xdr:row>82</xdr:row>
      <xdr:rowOff>47625</xdr:rowOff>
    </xdr:from>
    <xdr:to>
      <xdr:col>5</xdr:col>
      <xdr:colOff>866774</xdr:colOff>
      <xdr:row>82</xdr:row>
      <xdr:rowOff>215603</xdr:rowOff>
    </xdr:to>
    <xdr:sp macro="" textlink="">
      <xdr:nvSpPr>
        <xdr:cNvPr id="34" name="Rounded Rectangle 33">
          <a:hlinkClick xmlns:r="http://schemas.openxmlformats.org/officeDocument/2006/relationships" r:id="rId22"/>
          <a:extLst>
            <a:ext uri="{FF2B5EF4-FFF2-40B4-BE49-F238E27FC236}">
              <a16:creationId xmlns:a16="http://schemas.microsoft.com/office/drawing/2014/main" xmlns="" id="{00000000-0008-0000-0500-000022000000}"/>
            </a:ext>
          </a:extLst>
        </xdr:cNvPr>
        <xdr:cNvSpPr/>
      </xdr:nvSpPr>
      <xdr:spPr>
        <a:xfrm>
          <a:off x="11172825" y="1054893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- 4.4.2</a:t>
          </a:r>
        </a:p>
      </xdr:txBody>
    </xdr:sp>
    <xdr:clientData/>
  </xdr:twoCellAnchor>
  <xdr:twoCellAnchor>
    <xdr:from>
      <xdr:col>5</xdr:col>
      <xdr:colOff>47625</xdr:colOff>
      <xdr:row>17</xdr:row>
      <xdr:rowOff>38100</xdr:rowOff>
    </xdr:from>
    <xdr:to>
      <xdr:col>5</xdr:col>
      <xdr:colOff>866774</xdr:colOff>
      <xdr:row>17</xdr:row>
      <xdr:rowOff>206078</xdr:rowOff>
    </xdr:to>
    <xdr:sp macro="" textlink="">
      <xdr:nvSpPr>
        <xdr:cNvPr id="35" name="Rounded Rectangle 34">
          <a:hlinkClick xmlns:r="http://schemas.openxmlformats.org/officeDocument/2006/relationships" r:id="rId23"/>
          <a:extLst>
            <a:ext uri="{FF2B5EF4-FFF2-40B4-BE49-F238E27FC236}">
              <a16:creationId xmlns:a16="http://schemas.microsoft.com/office/drawing/2014/main" xmlns="" id="{00000000-0008-0000-0500-000023000000}"/>
            </a:ext>
          </a:extLst>
        </xdr:cNvPr>
        <xdr:cNvSpPr/>
      </xdr:nvSpPr>
      <xdr:spPr>
        <a:xfrm>
          <a:off x="11172825" y="148875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- 4.2</a:t>
          </a:r>
        </a:p>
      </xdr:txBody>
    </xdr:sp>
    <xdr:clientData/>
  </xdr:twoCellAnchor>
  <xdr:twoCellAnchor>
    <xdr:from>
      <xdr:col>5</xdr:col>
      <xdr:colOff>47625</xdr:colOff>
      <xdr:row>58</xdr:row>
      <xdr:rowOff>38100</xdr:rowOff>
    </xdr:from>
    <xdr:to>
      <xdr:col>5</xdr:col>
      <xdr:colOff>866774</xdr:colOff>
      <xdr:row>58</xdr:row>
      <xdr:rowOff>206078</xdr:rowOff>
    </xdr:to>
    <xdr:sp macro="" textlink="">
      <xdr:nvSpPr>
        <xdr:cNvPr id="36" name="Rounded Rectangle 35">
          <a:hlinkClick xmlns:r="http://schemas.openxmlformats.org/officeDocument/2006/relationships" r:id="rId24"/>
          <a:extLst>
            <a:ext uri="{FF2B5EF4-FFF2-40B4-BE49-F238E27FC236}">
              <a16:creationId xmlns:a16="http://schemas.microsoft.com/office/drawing/2014/main" xmlns="" id="{00000000-0008-0000-0500-000024000000}"/>
            </a:ext>
          </a:extLst>
        </xdr:cNvPr>
        <xdr:cNvSpPr/>
      </xdr:nvSpPr>
      <xdr:spPr>
        <a:xfrm>
          <a:off x="11172825" y="845248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a:t>
          </a:r>
        </a:p>
      </xdr:txBody>
    </xdr:sp>
    <xdr:clientData/>
  </xdr:twoCellAnchor>
  <xdr:twoCellAnchor>
    <xdr:from>
      <xdr:col>5</xdr:col>
      <xdr:colOff>47625</xdr:colOff>
      <xdr:row>18</xdr:row>
      <xdr:rowOff>38100</xdr:rowOff>
    </xdr:from>
    <xdr:to>
      <xdr:col>5</xdr:col>
      <xdr:colOff>866774</xdr:colOff>
      <xdr:row>18</xdr:row>
      <xdr:rowOff>206078</xdr:rowOff>
    </xdr:to>
    <xdr:sp macro="" textlink="">
      <xdr:nvSpPr>
        <xdr:cNvPr id="37" name="Rounded Rectangle 36">
          <a:hlinkClick xmlns:r="http://schemas.openxmlformats.org/officeDocument/2006/relationships" r:id="rId25"/>
          <a:extLst>
            <a:ext uri="{FF2B5EF4-FFF2-40B4-BE49-F238E27FC236}">
              <a16:creationId xmlns:a16="http://schemas.microsoft.com/office/drawing/2014/main" xmlns="" id="{00000000-0008-0000-0500-000025000000}"/>
            </a:ext>
          </a:extLst>
        </xdr:cNvPr>
        <xdr:cNvSpPr/>
      </xdr:nvSpPr>
      <xdr:spPr>
        <a:xfrm>
          <a:off x="11172825" y="151352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- 4.3</a:t>
          </a:r>
        </a:p>
      </xdr:txBody>
    </xdr:sp>
    <xdr:clientData/>
  </xdr:twoCellAnchor>
  <xdr:twoCellAnchor>
    <xdr:from>
      <xdr:col>5</xdr:col>
      <xdr:colOff>47625</xdr:colOff>
      <xdr:row>59</xdr:row>
      <xdr:rowOff>38100</xdr:rowOff>
    </xdr:from>
    <xdr:to>
      <xdr:col>5</xdr:col>
      <xdr:colOff>866774</xdr:colOff>
      <xdr:row>59</xdr:row>
      <xdr:rowOff>206078</xdr:rowOff>
    </xdr:to>
    <xdr:sp macro="" textlink="">
      <xdr:nvSpPr>
        <xdr:cNvPr id="38" name="Rounded Rectangle 37">
          <a:hlinkClick xmlns:r="http://schemas.openxmlformats.org/officeDocument/2006/relationships" r:id="rId26"/>
          <a:extLst>
            <a:ext uri="{FF2B5EF4-FFF2-40B4-BE49-F238E27FC236}">
              <a16:creationId xmlns:a16="http://schemas.microsoft.com/office/drawing/2014/main" xmlns="" id="{00000000-0008-0000-0500-000026000000}"/>
            </a:ext>
          </a:extLst>
        </xdr:cNvPr>
        <xdr:cNvSpPr/>
      </xdr:nvSpPr>
      <xdr:spPr>
        <a:xfrm>
          <a:off x="11172825" y="853344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- 4.5.1</a:t>
          </a:r>
        </a:p>
      </xdr:txBody>
    </xdr:sp>
    <xdr:clientData/>
  </xdr:twoCellAnchor>
  <xdr:twoCellAnchor>
    <xdr:from>
      <xdr:col>5</xdr:col>
      <xdr:colOff>47625</xdr:colOff>
      <xdr:row>19</xdr:row>
      <xdr:rowOff>38100</xdr:rowOff>
    </xdr:from>
    <xdr:to>
      <xdr:col>5</xdr:col>
      <xdr:colOff>866774</xdr:colOff>
      <xdr:row>19</xdr:row>
      <xdr:rowOff>206078</xdr:rowOff>
    </xdr:to>
    <xdr:sp macro="" textlink="">
      <xdr:nvSpPr>
        <xdr:cNvPr id="39" name="Rounded Rectangle 38">
          <a:hlinkClick xmlns:r="http://schemas.openxmlformats.org/officeDocument/2006/relationships" r:id="rId27"/>
          <a:extLst>
            <a:ext uri="{FF2B5EF4-FFF2-40B4-BE49-F238E27FC236}">
              <a16:creationId xmlns:a16="http://schemas.microsoft.com/office/drawing/2014/main" xmlns="" id="{00000000-0008-0000-0500-000027000000}"/>
            </a:ext>
          </a:extLst>
        </xdr:cNvPr>
        <xdr:cNvSpPr/>
      </xdr:nvSpPr>
      <xdr:spPr>
        <a:xfrm>
          <a:off x="11172825" y="161067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- 4</a:t>
          </a:r>
        </a:p>
      </xdr:txBody>
    </xdr:sp>
    <xdr:clientData/>
  </xdr:twoCellAnchor>
  <xdr:twoCellAnchor>
    <xdr:from>
      <xdr:col>5</xdr:col>
      <xdr:colOff>47625</xdr:colOff>
      <xdr:row>19</xdr:row>
      <xdr:rowOff>276225</xdr:rowOff>
    </xdr:from>
    <xdr:to>
      <xdr:col>5</xdr:col>
      <xdr:colOff>866774</xdr:colOff>
      <xdr:row>19</xdr:row>
      <xdr:rowOff>444203</xdr:rowOff>
    </xdr:to>
    <xdr:sp macro="" textlink="">
      <xdr:nvSpPr>
        <xdr:cNvPr id="40" name="Rounded Rectangle 39">
          <a:hlinkClick xmlns:r="http://schemas.openxmlformats.org/officeDocument/2006/relationships" r:id="rId28"/>
          <a:extLst>
            <a:ext uri="{FF2B5EF4-FFF2-40B4-BE49-F238E27FC236}">
              <a16:creationId xmlns:a16="http://schemas.microsoft.com/office/drawing/2014/main" xmlns="" id="{00000000-0008-0000-0500-000028000000}"/>
            </a:ext>
          </a:extLst>
        </xdr:cNvPr>
        <xdr:cNvSpPr/>
      </xdr:nvSpPr>
      <xdr:spPr>
        <a:xfrm>
          <a:off x="11172825" y="163449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- 5</a:t>
          </a:r>
        </a:p>
      </xdr:txBody>
    </xdr:sp>
    <xdr:clientData/>
  </xdr:twoCellAnchor>
  <xdr:twoCellAnchor>
    <xdr:from>
      <xdr:col>5</xdr:col>
      <xdr:colOff>47625</xdr:colOff>
      <xdr:row>19</xdr:row>
      <xdr:rowOff>514350</xdr:rowOff>
    </xdr:from>
    <xdr:to>
      <xdr:col>5</xdr:col>
      <xdr:colOff>866774</xdr:colOff>
      <xdr:row>19</xdr:row>
      <xdr:rowOff>682328</xdr:rowOff>
    </xdr:to>
    <xdr:sp macro="" textlink="">
      <xdr:nvSpPr>
        <xdr:cNvPr id="41" name="Rounded Rectangle 40">
          <a:hlinkClick xmlns:r="http://schemas.openxmlformats.org/officeDocument/2006/relationships" r:id="rId29"/>
          <a:extLst>
            <a:ext uri="{FF2B5EF4-FFF2-40B4-BE49-F238E27FC236}">
              <a16:creationId xmlns:a16="http://schemas.microsoft.com/office/drawing/2014/main" xmlns="" id="{00000000-0008-0000-0500-000029000000}"/>
            </a:ext>
          </a:extLst>
        </xdr:cNvPr>
        <xdr:cNvSpPr/>
      </xdr:nvSpPr>
      <xdr:spPr>
        <a:xfrm>
          <a:off x="11172825" y="165830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- 6</a:t>
          </a:r>
        </a:p>
      </xdr:txBody>
    </xdr:sp>
    <xdr:clientData/>
  </xdr:twoCellAnchor>
  <xdr:twoCellAnchor>
    <xdr:from>
      <xdr:col>5</xdr:col>
      <xdr:colOff>47625</xdr:colOff>
      <xdr:row>19</xdr:row>
      <xdr:rowOff>752475</xdr:rowOff>
    </xdr:from>
    <xdr:to>
      <xdr:col>5</xdr:col>
      <xdr:colOff>866774</xdr:colOff>
      <xdr:row>19</xdr:row>
      <xdr:rowOff>920453</xdr:rowOff>
    </xdr:to>
    <xdr:sp macro="" textlink="">
      <xdr:nvSpPr>
        <xdr:cNvPr id="42" name="Rounded Rectangle 41">
          <a:hlinkClick xmlns:r="http://schemas.openxmlformats.org/officeDocument/2006/relationships" r:id="rId30"/>
          <a:extLst>
            <a:ext uri="{FF2B5EF4-FFF2-40B4-BE49-F238E27FC236}">
              <a16:creationId xmlns:a16="http://schemas.microsoft.com/office/drawing/2014/main" xmlns="" id="{00000000-0008-0000-0500-00002A000000}"/>
            </a:ext>
          </a:extLst>
        </xdr:cNvPr>
        <xdr:cNvSpPr/>
      </xdr:nvSpPr>
      <xdr:spPr>
        <a:xfrm>
          <a:off x="11172825" y="168211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a:t>
          </a:r>
        </a:p>
      </xdr:txBody>
    </xdr:sp>
    <xdr:clientData/>
  </xdr:twoCellAnchor>
  <xdr:twoCellAnchor>
    <xdr:from>
      <xdr:col>5</xdr:col>
      <xdr:colOff>47625</xdr:colOff>
      <xdr:row>56</xdr:row>
      <xdr:rowOff>38100</xdr:rowOff>
    </xdr:from>
    <xdr:to>
      <xdr:col>5</xdr:col>
      <xdr:colOff>866774</xdr:colOff>
      <xdr:row>56</xdr:row>
      <xdr:rowOff>206078</xdr:rowOff>
    </xdr:to>
    <xdr:sp macro="" textlink="">
      <xdr:nvSpPr>
        <xdr:cNvPr id="43" name="Rounded Rectangle 42">
          <a:hlinkClick xmlns:r="http://schemas.openxmlformats.org/officeDocument/2006/relationships" r:id="rId31"/>
          <a:extLst>
            <a:ext uri="{FF2B5EF4-FFF2-40B4-BE49-F238E27FC236}">
              <a16:creationId xmlns:a16="http://schemas.microsoft.com/office/drawing/2014/main" xmlns="" id="{00000000-0008-0000-0500-00002B000000}"/>
            </a:ext>
          </a:extLst>
        </xdr:cNvPr>
        <xdr:cNvSpPr/>
      </xdr:nvSpPr>
      <xdr:spPr>
        <a:xfrm>
          <a:off x="11172825" y="830294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- 4,5.2</a:t>
          </a:r>
        </a:p>
      </xdr:txBody>
    </xdr:sp>
    <xdr:clientData/>
  </xdr:twoCellAnchor>
  <xdr:twoCellAnchor>
    <xdr:from>
      <xdr:col>5</xdr:col>
      <xdr:colOff>47625</xdr:colOff>
      <xdr:row>63</xdr:row>
      <xdr:rowOff>28575</xdr:rowOff>
    </xdr:from>
    <xdr:to>
      <xdr:col>5</xdr:col>
      <xdr:colOff>866774</xdr:colOff>
      <xdr:row>63</xdr:row>
      <xdr:rowOff>196553</xdr:rowOff>
    </xdr:to>
    <xdr:sp macro="" textlink="">
      <xdr:nvSpPr>
        <xdr:cNvPr id="44" name="Rounded Rectangle 43">
          <a:hlinkClick xmlns:r="http://schemas.openxmlformats.org/officeDocument/2006/relationships" r:id="rId31"/>
          <a:extLst>
            <a:ext uri="{FF2B5EF4-FFF2-40B4-BE49-F238E27FC236}">
              <a16:creationId xmlns:a16="http://schemas.microsoft.com/office/drawing/2014/main" xmlns="" id="{00000000-0008-0000-0500-00002C000000}"/>
            </a:ext>
          </a:extLst>
        </xdr:cNvPr>
        <xdr:cNvSpPr/>
      </xdr:nvSpPr>
      <xdr:spPr>
        <a:xfrm>
          <a:off x="11172825" y="899064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- 4.5.2</a:t>
          </a:r>
        </a:p>
      </xdr:txBody>
    </xdr:sp>
    <xdr:clientData/>
  </xdr:twoCellAnchor>
  <xdr:twoCellAnchor>
    <xdr:from>
      <xdr:col>5</xdr:col>
      <xdr:colOff>47625</xdr:colOff>
      <xdr:row>71</xdr:row>
      <xdr:rowOff>38100</xdr:rowOff>
    </xdr:from>
    <xdr:to>
      <xdr:col>5</xdr:col>
      <xdr:colOff>866774</xdr:colOff>
      <xdr:row>71</xdr:row>
      <xdr:rowOff>206078</xdr:rowOff>
    </xdr:to>
    <xdr:sp macro="" textlink="">
      <xdr:nvSpPr>
        <xdr:cNvPr id="45" name="Rounded Rectangle 44">
          <a:hlinkClick xmlns:r="http://schemas.openxmlformats.org/officeDocument/2006/relationships" r:id="rId31"/>
          <a:extLst>
            <a:ext uri="{FF2B5EF4-FFF2-40B4-BE49-F238E27FC236}">
              <a16:creationId xmlns:a16="http://schemas.microsoft.com/office/drawing/2014/main" xmlns="" id="{00000000-0008-0000-0500-00002D000000}"/>
            </a:ext>
          </a:extLst>
        </xdr:cNvPr>
        <xdr:cNvSpPr/>
      </xdr:nvSpPr>
      <xdr:spPr>
        <a:xfrm>
          <a:off x="11172825" y="969168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- 4.5.2</a:t>
          </a:r>
        </a:p>
      </xdr:txBody>
    </xdr:sp>
    <xdr:clientData/>
  </xdr:twoCellAnchor>
  <xdr:twoCellAnchor>
    <xdr:from>
      <xdr:col>5</xdr:col>
      <xdr:colOff>47625</xdr:colOff>
      <xdr:row>79</xdr:row>
      <xdr:rowOff>38100</xdr:rowOff>
    </xdr:from>
    <xdr:to>
      <xdr:col>5</xdr:col>
      <xdr:colOff>866774</xdr:colOff>
      <xdr:row>79</xdr:row>
      <xdr:rowOff>206078</xdr:rowOff>
    </xdr:to>
    <xdr:sp macro="" textlink="">
      <xdr:nvSpPr>
        <xdr:cNvPr id="46" name="Rounded Rectangle 45">
          <a:hlinkClick xmlns:r="http://schemas.openxmlformats.org/officeDocument/2006/relationships" r:id="rId31"/>
          <a:extLst>
            <a:ext uri="{FF2B5EF4-FFF2-40B4-BE49-F238E27FC236}">
              <a16:creationId xmlns:a16="http://schemas.microsoft.com/office/drawing/2014/main" xmlns="" id="{00000000-0008-0000-0500-00002E000000}"/>
            </a:ext>
          </a:extLst>
        </xdr:cNvPr>
        <xdr:cNvSpPr/>
      </xdr:nvSpPr>
      <xdr:spPr>
        <a:xfrm>
          <a:off x="11172825" y="1044511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- 4.5.2</a:t>
          </a:r>
        </a:p>
      </xdr:txBody>
    </xdr:sp>
    <xdr:clientData/>
  </xdr:twoCellAnchor>
  <xdr:twoCellAnchor>
    <xdr:from>
      <xdr:col>5</xdr:col>
      <xdr:colOff>38100</xdr:colOff>
      <xdr:row>20</xdr:row>
      <xdr:rowOff>38100</xdr:rowOff>
    </xdr:from>
    <xdr:to>
      <xdr:col>5</xdr:col>
      <xdr:colOff>857249</xdr:colOff>
      <xdr:row>20</xdr:row>
      <xdr:rowOff>206078</xdr:rowOff>
    </xdr:to>
    <xdr:sp macro="" textlink="">
      <xdr:nvSpPr>
        <xdr:cNvPr id="47" name="Rounded Rectangle 46">
          <a:hlinkClick xmlns:r="http://schemas.openxmlformats.org/officeDocument/2006/relationships" r:id="rId15"/>
          <a:extLst>
            <a:ext uri="{FF2B5EF4-FFF2-40B4-BE49-F238E27FC236}">
              <a16:creationId xmlns:a16="http://schemas.microsoft.com/office/drawing/2014/main" xmlns="" id="{00000000-0008-0000-0500-00002F000000}"/>
            </a:ext>
          </a:extLst>
        </xdr:cNvPr>
        <xdr:cNvSpPr/>
      </xdr:nvSpPr>
      <xdr:spPr>
        <a:xfrm>
          <a:off x="11163300" y="190214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- 7.1</a:t>
          </a:r>
        </a:p>
      </xdr:txBody>
    </xdr:sp>
    <xdr:clientData/>
  </xdr:twoCellAnchor>
  <xdr:twoCellAnchor>
    <xdr:from>
      <xdr:col>5</xdr:col>
      <xdr:colOff>47625</xdr:colOff>
      <xdr:row>80</xdr:row>
      <xdr:rowOff>257175</xdr:rowOff>
    </xdr:from>
    <xdr:to>
      <xdr:col>5</xdr:col>
      <xdr:colOff>866774</xdr:colOff>
      <xdr:row>80</xdr:row>
      <xdr:rowOff>425153</xdr:rowOff>
    </xdr:to>
    <xdr:sp macro="" textlink="">
      <xdr:nvSpPr>
        <xdr:cNvPr id="48" name="Rounded Rectangle 47">
          <a:hlinkClick xmlns:r="http://schemas.openxmlformats.org/officeDocument/2006/relationships" r:id="rId32"/>
          <a:extLst>
            <a:ext uri="{FF2B5EF4-FFF2-40B4-BE49-F238E27FC236}">
              <a16:creationId xmlns:a16="http://schemas.microsoft.com/office/drawing/2014/main" xmlns="" id="{00000000-0008-0000-0500-000030000000}"/>
            </a:ext>
          </a:extLst>
        </xdr:cNvPr>
        <xdr:cNvSpPr/>
      </xdr:nvSpPr>
      <xdr:spPr>
        <a:xfrm>
          <a:off x="11172825" y="1049178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- 4.5.3</a:t>
          </a:r>
        </a:p>
      </xdr:txBody>
    </xdr:sp>
    <xdr:clientData/>
  </xdr:twoCellAnchor>
  <xdr:twoCellAnchor>
    <xdr:from>
      <xdr:col>5</xdr:col>
      <xdr:colOff>38100</xdr:colOff>
      <xdr:row>21</xdr:row>
      <xdr:rowOff>28575</xdr:rowOff>
    </xdr:from>
    <xdr:to>
      <xdr:col>5</xdr:col>
      <xdr:colOff>857249</xdr:colOff>
      <xdr:row>21</xdr:row>
      <xdr:rowOff>196553</xdr:rowOff>
    </xdr:to>
    <xdr:sp macro="" textlink="">
      <xdr:nvSpPr>
        <xdr:cNvPr id="49" name="Rounded Rectangle 48">
          <a:hlinkClick xmlns:r="http://schemas.openxmlformats.org/officeDocument/2006/relationships" r:id="rId33"/>
          <a:extLst>
            <a:ext uri="{FF2B5EF4-FFF2-40B4-BE49-F238E27FC236}">
              <a16:creationId xmlns:a16="http://schemas.microsoft.com/office/drawing/2014/main" xmlns="" id="{00000000-0008-0000-0500-000031000000}"/>
            </a:ext>
          </a:extLst>
        </xdr:cNvPr>
        <xdr:cNvSpPr/>
      </xdr:nvSpPr>
      <xdr:spPr>
        <a:xfrm>
          <a:off x="11163300" y="203073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a:t>
          </a:r>
        </a:p>
      </xdr:txBody>
    </xdr:sp>
    <xdr:clientData/>
  </xdr:twoCellAnchor>
  <xdr:twoCellAnchor>
    <xdr:from>
      <xdr:col>5</xdr:col>
      <xdr:colOff>47625</xdr:colOff>
      <xdr:row>130</xdr:row>
      <xdr:rowOff>38100</xdr:rowOff>
    </xdr:from>
    <xdr:to>
      <xdr:col>5</xdr:col>
      <xdr:colOff>866774</xdr:colOff>
      <xdr:row>130</xdr:row>
      <xdr:rowOff>206078</xdr:rowOff>
    </xdr:to>
    <xdr:sp macro="" textlink="">
      <xdr:nvSpPr>
        <xdr:cNvPr id="50" name="Rounded Rectangle 49">
          <a:hlinkClick xmlns:r="http://schemas.openxmlformats.org/officeDocument/2006/relationships" r:id="rId34"/>
          <a:extLst>
            <a:ext uri="{FF2B5EF4-FFF2-40B4-BE49-F238E27FC236}">
              <a16:creationId xmlns:a16="http://schemas.microsoft.com/office/drawing/2014/main" xmlns="" id="{00000000-0008-0000-0500-000032000000}"/>
            </a:ext>
          </a:extLst>
        </xdr:cNvPr>
        <xdr:cNvSpPr/>
      </xdr:nvSpPr>
      <xdr:spPr>
        <a:xfrm>
          <a:off x="11172825" y="1516284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- 4.5.4</a:t>
          </a:r>
        </a:p>
      </xdr:txBody>
    </xdr:sp>
    <xdr:clientData/>
  </xdr:twoCellAnchor>
  <xdr:twoCellAnchor>
    <xdr:from>
      <xdr:col>5</xdr:col>
      <xdr:colOff>47625</xdr:colOff>
      <xdr:row>22</xdr:row>
      <xdr:rowOff>38100</xdr:rowOff>
    </xdr:from>
    <xdr:to>
      <xdr:col>5</xdr:col>
      <xdr:colOff>866774</xdr:colOff>
      <xdr:row>22</xdr:row>
      <xdr:rowOff>206078</xdr:rowOff>
    </xdr:to>
    <xdr:sp macro="" textlink="">
      <xdr:nvSpPr>
        <xdr:cNvPr id="51" name="Rounded Rectangle 50">
          <a:hlinkClick xmlns:r="http://schemas.openxmlformats.org/officeDocument/2006/relationships" r:id="rId35"/>
          <a:extLst>
            <a:ext uri="{FF2B5EF4-FFF2-40B4-BE49-F238E27FC236}">
              <a16:creationId xmlns:a16="http://schemas.microsoft.com/office/drawing/2014/main" xmlns="" id="{00000000-0008-0000-0500-000033000000}"/>
            </a:ext>
          </a:extLst>
        </xdr:cNvPr>
        <xdr:cNvSpPr/>
      </xdr:nvSpPr>
      <xdr:spPr>
        <a:xfrm>
          <a:off x="11172825" y="205644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- 9.1.1</a:t>
          </a:r>
        </a:p>
      </xdr:txBody>
    </xdr:sp>
    <xdr:clientData/>
  </xdr:twoCellAnchor>
  <xdr:twoCellAnchor>
    <xdr:from>
      <xdr:col>5</xdr:col>
      <xdr:colOff>47625</xdr:colOff>
      <xdr:row>131</xdr:row>
      <xdr:rowOff>38100</xdr:rowOff>
    </xdr:from>
    <xdr:to>
      <xdr:col>5</xdr:col>
      <xdr:colOff>866774</xdr:colOff>
      <xdr:row>131</xdr:row>
      <xdr:rowOff>206078</xdr:rowOff>
    </xdr:to>
    <xdr:sp macro="" textlink="">
      <xdr:nvSpPr>
        <xdr:cNvPr id="52" name="Rounded Rectangle 51">
          <a:hlinkClick xmlns:r="http://schemas.openxmlformats.org/officeDocument/2006/relationships" r:id="rId36"/>
          <a:extLst>
            <a:ext uri="{FF2B5EF4-FFF2-40B4-BE49-F238E27FC236}">
              <a16:creationId xmlns:a16="http://schemas.microsoft.com/office/drawing/2014/main" xmlns="" id="{00000000-0008-0000-0500-000034000000}"/>
            </a:ext>
          </a:extLst>
        </xdr:cNvPr>
        <xdr:cNvSpPr/>
      </xdr:nvSpPr>
      <xdr:spPr>
        <a:xfrm>
          <a:off x="11172825" y="1519523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- 4.5.4.1</a:t>
          </a:r>
        </a:p>
      </xdr:txBody>
    </xdr:sp>
    <xdr:clientData/>
  </xdr:twoCellAnchor>
  <xdr:twoCellAnchor>
    <xdr:from>
      <xdr:col>5</xdr:col>
      <xdr:colOff>47625</xdr:colOff>
      <xdr:row>23</xdr:row>
      <xdr:rowOff>38100</xdr:rowOff>
    </xdr:from>
    <xdr:to>
      <xdr:col>5</xdr:col>
      <xdr:colOff>866774</xdr:colOff>
      <xdr:row>23</xdr:row>
      <xdr:rowOff>206078</xdr:rowOff>
    </xdr:to>
    <xdr:sp macro="" textlink="">
      <xdr:nvSpPr>
        <xdr:cNvPr id="53" name="Rounded Rectangle 52">
          <a:hlinkClick xmlns:r="http://schemas.openxmlformats.org/officeDocument/2006/relationships" r:id="rId37"/>
          <a:extLst>
            <a:ext uri="{FF2B5EF4-FFF2-40B4-BE49-F238E27FC236}">
              <a16:creationId xmlns:a16="http://schemas.microsoft.com/office/drawing/2014/main" xmlns="" id="{00000000-0008-0000-0500-000035000000}"/>
            </a:ext>
          </a:extLst>
        </xdr:cNvPr>
        <xdr:cNvSpPr/>
      </xdr:nvSpPr>
      <xdr:spPr>
        <a:xfrm>
          <a:off x="11172825" y="218598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- 9.2</a:t>
          </a:r>
        </a:p>
      </xdr:txBody>
    </xdr:sp>
    <xdr:clientData/>
  </xdr:twoCellAnchor>
  <xdr:twoCellAnchor>
    <xdr:from>
      <xdr:col>5</xdr:col>
      <xdr:colOff>47625</xdr:colOff>
      <xdr:row>134</xdr:row>
      <xdr:rowOff>38100</xdr:rowOff>
    </xdr:from>
    <xdr:to>
      <xdr:col>5</xdr:col>
      <xdr:colOff>866774</xdr:colOff>
      <xdr:row>134</xdr:row>
      <xdr:rowOff>206078</xdr:rowOff>
    </xdr:to>
    <xdr:sp macro="" textlink="">
      <xdr:nvSpPr>
        <xdr:cNvPr id="54" name="Rounded Rectangle 53">
          <a:hlinkClick xmlns:r="http://schemas.openxmlformats.org/officeDocument/2006/relationships" r:id="rId38"/>
          <a:extLst>
            <a:ext uri="{FF2B5EF4-FFF2-40B4-BE49-F238E27FC236}">
              <a16:creationId xmlns:a16="http://schemas.microsoft.com/office/drawing/2014/main" xmlns="" id="{00000000-0008-0000-0500-000036000000}"/>
            </a:ext>
          </a:extLst>
        </xdr:cNvPr>
        <xdr:cNvSpPr/>
      </xdr:nvSpPr>
      <xdr:spPr>
        <a:xfrm>
          <a:off x="11172825" y="1553527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- 4.5.4.2</a:t>
          </a:r>
        </a:p>
      </xdr:txBody>
    </xdr:sp>
    <xdr:clientData/>
  </xdr:twoCellAnchor>
  <xdr:twoCellAnchor>
    <xdr:from>
      <xdr:col>5</xdr:col>
      <xdr:colOff>47625</xdr:colOff>
      <xdr:row>24</xdr:row>
      <xdr:rowOff>38100</xdr:rowOff>
    </xdr:from>
    <xdr:to>
      <xdr:col>5</xdr:col>
      <xdr:colOff>866774</xdr:colOff>
      <xdr:row>24</xdr:row>
      <xdr:rowOff>206078</xdr:rowOff>
    </xdr:to>
    <xdr:sp macro="" textlink="">
      <xdr:nvSpPr>
        <xdr:cNvPr id="55" name="Rounded Rectangle 54">
          <a:hlinkClick xmlns:r="http://schemas.openxmlformats.org/officeDocument/2006/relationships" r:id="rId39"/>
          <a:extLst>
            <a:ext uri="{FF2B5EF4-FFF2-40B4-BE49-F238E27FC236}">
              <a16:creationId xmlns:a16="http://schemas.microsoft.com/office/drawing/2014/main" xmlns="" id="{00000000-0008-0000-0500-000037000000}"/>
            </a:ext>
          </a:extLst>
        </xdr:cNvPr>
        <xdr:cNvSpPr/>
      </xdr:nvSpPr>
      <xdr:spPr>
        <a:xfrm>
          <a:off x="11172825" y="239649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- 9.3</a:t>
          </a:r>
        </a:p>
      </xdr:txBody>
    </xdr:sp>
    <xdr:clientData/>
  </xdr:twoCellAnchor>
  <xdr:twoCellAnchor>
    <xdr:from>
      <xdr:col>5</xdr:col>
      <xdr:colOff>47625</xdr:colOff>
      <xdr:row>137</xdr:row>
      <xdr:rowOff>38100</xdr:rowOff>
    </xdr:from>
    <xdr:to>
      <xdr:col>5</xdr:col>
      <xdr:colOff>866774</xdr:colOff>
      <xdr:row>137</xdr:row>
      <xdr:rowOff>206078</xdr:rowOff>
    </xdr:to>
    <xdr:sp macro="" textlink="">
      <xdr:nvSpPr>
        <xdr:cNvPr id="56" name="Rounded Rectangle 55">
          <a:hlinkClick xmlns:r="http://schemas.openxmlformats.org/officeDocument/2006/relationships" r:id="rId40"/>
          <a:extLst>
            <a:ext uri="{FF2B5EF4-FFF2-40B4-BE49-F238E27FC236}">
              <a16:creationId xmlns:a16="http://schemas.microsoft.com/office/drawing/2014/main" xmlns="" id="{00000000-0008-0000-0500-000038000000}"/>
            </a:ext>
          </a:extLst>
        </xdr:cNvPr>
        <xdr:cNvSpPr/>
      </xdr:nvSpPr>
      <xdr:spPr>
        <a:xfrm>
          <a:off x="11172825" y="1575435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- 4.5.4.3</a:t>
          </a:r>
        </a:p>
      </xdr:txBody>
    </xdr:sp>
    <xdr:clientData/>
  </xdr:twoCellAnchor>
  <xdr:twoCellAnchor>
    <xdr:from>
      <xdr:col>5</xdr:col>
      <xdr:colOff>47625</xdr:colOff>
      <xdr:row>26</xdr:row>
      <xdr:rowOff>38100</xdr:rowOff>
    </xdr:from>
    <xdr:to>
      <xdr:col>5</xdr:col>
      <xdr:colOff>866774</xdr:colOff>
      <xdr:row>26</xdr:row>
      <xdr:rowOff>206078</xdr:rowOff>
    </xdr:to>
    <xdr:sp macro="" textlink="">
      <xdr:nvSpPr>
        <xdr:cNvPr id="57" name="Rounded Rectangle 56">
          <a:hlinkClick xmlns:r="http://schemas.openxmlformats.org/officeDocument/2006/relationships" r:id="rId41"/>
          <a:extLst>
            <a:ext uri="{FF2B5EF4-FFF2-40B4-BE49-F238E27FC236}">
              <a16:creationId xmlns:a16="http://schemas.microsoft.com/office/drawing/2014/main" xmlns="" id="{00000000-0008-0000-0500-000039000000}"/>
            </a:ext>
          </a:extLst>
        </xdr:cNvPr>
        <xdr:cNvSpPr/>
      </xdr:nvSpPr>
      <xdr:spPr>
        <a:xfrm>
          <a:off x="11172825" y="267462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- 10</a:t>
          </a:r>
        </a:p>
      </xdr:txBody>
    </xdr:sp>
    <xdr:clientData/>
  </xdr:twoCellAnchor>
  <xdr:twoCellAnchor>
    <xdr:from>
      <xdr:col>5</xdr:col>
      <xdr:colOff>38100</xdr:colOff>
      <xdr:row>141</xdr:row>
      <xdr:rowOff>38100</xdr:rowOff>
    </xdr:from>
    <xdr:to>
      <xdr:col>5</xdr:col>
      <xdr:colOff>857249</xdr:colOff>
      <xdr:row>141</xdr:row>
      <xdr:rowOff>206078</xdr:rowOff>
    </xdr:to>
    <xdr:sp macro="" textlink="">
      <xdr:nvSpPr>
        <xdr:cNvPr id="58" name="Rounded Rectangle 57">
          <a:hlinkClick xmlns:r="http://schemas.openxmlformats.org/officeDocument/2006/relationships" r:id="rId42"/>
          <a:extLst>
            <a:ext uri="{FF2B5EF4-FFF2-40B4-BE49-F238E27FC236}">
              <a16:creationId xmlns:a16="http://schemas.microsoft.com/office/drawing/2014/main" xmlns="" id="{00000000-0008-0000-0500-00003A000000}"/>
            </a:ext>
          </a:extLst>
        </xdr:cNvPr>
        <xdr:cNvSpPr/>
      </xdr:nvSpPr>
      <xdr:spPr>
        <a:xfrm>
          <a:off x="11163300" y="1611915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- 4.5.5.1</a:t>
          </a:r>
        </a:p>
      </xdr:txBody>
    </xdr:sp>
    <xdr:clientData/>
  </xdr:twoCellAnchor>
  <xdr:twoCellAnchor>
    <xdr:from>
      <xdr:col>5</xdr:col>
      <xdr:colOff>47625</xdr:colOff>
      <xdr:row>26</xdr:row>
      <xdr:rowOff>266700</xdr:rowOff>
    </xdr:from>
    <xdr:to>
      <xdr:col>5</xdr:col>
      <xdr:colOff>866774</xdr:colOff>
      <xdr:row>26</xdr:row>
      <xdr:rowOff>434678</xdr:rowOff>
    </xdr:to>
    <xdr:sp macro="" textlink="">
      <xdr:nvSpPr>
        <xdr:cNvPr id="59" name="Rounded Rectangle 58">
          <a:hlinkClick xmlns:r="http://schemas.openxmlformats.org/officeDocument/2006/relationships" r:id="rId43"/>
          <a:extLst>
            <a:ext uri="{FF2B5EF4-FFF2-40B4-BE49-F238E27FC236}">
              <a16:creationId xmlns:a16="http://schemas.microsoft.com/office/drawing/2014/main" xmlns="" id="{00000000-0008-0000-0500-00003B000000}"/>
            </a:ext>
          </a:extLst>
        </xdr:cNvPr>
        <xdr:cNvSpPr/>
      </xdr:nvSpPr>
      <xdr:spPr>
        <a:xfrm>
          <a:off x="11172825" y="269748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- 10.1</a:t>
          </a:r>
        </a:p>
      </xdr:txBody>
    </xdr:sp>
    <xdr:clientData/>
  </xdr:twoCellAnchor>
  <xdr:twoCellAnchor>
    <xdr:from>
      <xdr:col>5</xdr:col>
      <xdr:colOff>47625</xdr:colOff>
      <xdr:row>142</xdr:row>
      <xdr:rowOff>38100</xdr:rowOff>
    </xdr:from>
    <xdr:to>
      <xdr:col>5</xdr:col>
      <xdr:colOff>866774</xdr:colOff>
      <xdr:row>142</xdr:row>
      <xdr:rowOff>206078</xdr:rowOff>
    </xdr:to>
    <xdr:sp macro="" textlink="">
      <xdr:nvSpPr>
        <xdr:cNvPr id="60" name="Rounded Rectangle 59">
          <a:hlinkClick xmlns:r="http://schemas.openxmlformats.org/officeDocument/2006/relationships" r:id="rId42"/>
          <a:extLst>
            <a:ext uri="{FF2B5EF4-FFF2-40B4-BE49-F238E27FC236}">
              <a16:creationId xmlns:a16="http://schemas.microsoft.com/office/drawing/2014/main" xmlns="" id="{00000000-0008-0000-0500-00003C000000}"/>
            </a:ext>
          </a:extLst>
        </xdr:cNvPr>
        <xdr:cNvSpPr/>
      </xdr:nvSpPr>
      <xdr:spPr>
        <a:xfrm>
          <a:off x="11172825" y="1614392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a:t>
          </a:r>
          <a:r>
            <a:rPr lang="en-GB" sz="800" baseline="0"/>
            <a:t> 4.5.5.1</a:t>
          </a:r>
          <a:endParaRPr lang="en-GB" sz="800"/>
        </a:p>
      </xdr:txBody>
    </xdr:sp>
    <xdr:clientData/>
  </xdr:twoCellAnchor>
  <xdr:twoCellAnchor>
    <xdr:from>
      <xdr:col>5</xdr:col>
      <xdr:colOff>47625</xdr:colOff>
      <xdr:row>26</xdr:row>
      <xdr:rowOff>495300</xdr:rowOff>
    </xdr:from>
    <xdr:to>
      <xdr:col>5</xdr:col>
      <xdr:colOff>866774</xdr:colOff>
      <xdr:row>26</xdr:row>
      <xdr:rowOff>663278</xdr:rowOff>
    </xdr:to>
    <xdr:sp macro="" textlink="">
      <xdr:nvSpPr>
        <xdr:cNvPr id="61" name="Rounded Rectangle 60">
          <a:hlinkClick xmlns:r="http://schemas.openxmlformats.org/officeDocument/2006/relationships" r:id="rId44"/>
          <a:extLst>
            <a:ext uri="{FF2B5EF4-FFF2-40B4-BE49-F238E27FC236}">
              <a16:creationId xmlns:a16="http://schemas.microsoft.com/office/drawing/2014/main" xmlns="" id="{00000000-0008-0000-0500-00003D000000}"/>
            </a:ext>
          </a:extLst>
        </xdr:cNvPr>
        <xdr:cNvSpPr/>
      </xdr:nvSpPr>
      <xdr:spPr>
        <a:xfrm>
          <a:off x="11172825" y="272034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- 10.2</a:t>
          </a:r>
        </a:p>
      </xdr:txBody>
    </xdr:sp>
    <xdr:clientData/>
  </xdr:twoCellAnchor>
  <xdr:twoCellAnchor>
    <xdr:from>
      <xdr:col>5</xdr:col>
      <xdr:colOff>47625</xdr:colOff>
      <xdr:row>143</xdr:row>
      <xdr:rowOff>38100</xdr:rowOff>
    </xdr:from>
    <xdr:to>
      <xdr:col>5</xdr:col>
      <xdr:colOff>866774</xdr:colOff>
      <xdr:row>143</xdr:row>
      <xdr:rowOff>206078</xdr:rowOff>
    </xdr:to>
    <xdr:sp macro="" textlink="">
      <xdr:nvSpPr>
        <xdr:cNvPr id="62" name="Rounded Rectangle 61">
          <a:hlinkClick xmlns:r="http://schemas.openxmlformats.org/officeDocument/2006/relationships" r:id="rId42"/>
          <a:extLst>
            <a:ext uri="{FF2B5EF4-FFF2-40B4-BE49-F238E27FC236}">
              <a16:creationId xmlns:a16="http://schemas.microsoft.com/office/drawing/2014/main" xmlns="" id="{00000000-0008-0000-0500-00003E000000}"/>
            </a:ext>
          </a:extLst>
        </xdr:cNvPr>
        <xdr:cNvSpPr/>
      </xdr:nvSpPr>
      <xdr:spPr>
        <a:xfrm>
          <a:off x="11172825" y="1627346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a:t>
          </a:r>
          <a:r>
            <a:rPr lang="en-GB" sz="800" baseline="0"/>
            <a:t> 4.5.5.1</a:t>
          </a:r>
          <a:endParaRPr lang="en-GB" sz="800"/>
        </a:p>
      </xdr:txBody>
    </xdr:sp>
    <xdr:clientData/>
  </xdr:twoCellAnchor>
  <xdr:twoCellAnchor>
    <xdr:from>
      <xdr:col>5</xdr:col>
      <xdr:colOff>47625</xdr:colOff>
      <xdr:row>26</xdr:row>
      <xdr:rowOff>723900</xdr:rowOff>
    </xdr:from>
    <xdr:to>
      <xdr:col>5</xdr:col>
      <xdr:colOff>866774</xdr:colOff>
      <xdr:row>26</xdr:row>
      <xdr:rowOff>891878</xdr:rowOff>
    </xdr:to>
    <xdr:sp macro="" textlink="">
      <xdr:nvSpPr>
        <xdr:cNvPr id="63" name="Rounded Rectangle 62">
          <a:hlinkClick xmlns:r="http://schemas.openxmlformats.org/officeDocument/2006/relationships" r:id="rId45"/>
          <a:extLst>
            <a:ext uri="{FF2B5EF4-FFF2-40B4-BE49-F238E27FC236}">
              <a16:creationId xmlns:a16="http://schemas.microsoft.com/office/drawing/2014/main" xmlns="" id="{00000000-0008-0000-0500-00003F000000}"/>
            </a:ext>
          </a:extLst>
        </xdr:cNvPr>
        <xdr:cNvSpPr/>
      </xdr:nvSpPr>
      <xdr:spPr>
        <a:xfrm>
          <a:off x="11172825" y="274320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- 10.3</a:t>
          </a:r>
        </a:p>
      </xdr:txBody>
    </xdr:sp>
    <xdr:clientData/>
  </xdr:twoCellAnchor>
  <xdr:twoCellAnchor>
    <xdr:from>
      <xdr:col>5</xdr:col>
      <xdr:colOff>47625</xdr:colOff>
      <xdr:row>146</xdr:row>
      <xdr:rowOff>38100</xdr:rowOff>
    </xdr:from>
    <xdr:to>
      <xdr:col>5</xdr:col>
      <xdr:colOff>866774</xdr:colOff>
      <xdr:row>146</xdr:row>
      <xdr:rowOff>206078</xdr:rowOff>
    </xdr:to>
    <xdr:sp macro="" textlink="">
      <xdr:nvSpPr>
        <xdr:cNvPr id="64" name="Rounded Rectangle 63">
          <a:hlinkClick xmlns:r="http://schemas.openxmlformats.org/officeDocument/2006/relationships" r:id="rId42"/>
          <a:extLst>
            <a:ext uri="{FF2B5EF4-FFF2-40B4-BE49-F238E27FC236}">
              <a16:creationId xmlns:a16="http://schemas.microsoft.com/office/drawing/2014/main" xmlns="" id="{00000000-0008-0000-0500-000040000000}"/>
            </a:ext>
          </a:extLst>
        </xdr:cNvPr>
        <xdr:cNvSpPr/>
      </xdr:nvSpPr>
      <xdr:spPr>
        <a:xfrm>
          <a:off x="11172825" y="1652492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- 4.5.5.1</a:t>
          </a:r>
        </a:p>
      </xdr:txBody>
    </xdr:sp>
    <xdr:clientData/>
  </xdr:twoCellAnchor>
  <xdr:twoCellAnchor>
    <xdr:from>
      <xdr:col>5</xdr:col>
      <xdr:colOff>47625</xdr:colOff>
      <xdr:row>30</xdr:row>
      <xdr:rowOff>38100</xdr:rowOff>
    </xdr:from>
    <xdr:to>
      <xdr:col>5</xdr:col>
      <xdr:colOff>866774</xdr:colOff>
      <xdr:row>30</xdr:row>
      <xdr:rowOff>206078</xdr:rowOff>
    </xdr:to>
    <xdr:sp macro="" textlink="">
      <xdr:nvSpPr>
        <xdr:cNvPr id="65" name="Rounded Rectangle 64">
          <a:hlinkClick xmlns:r="http://schemas.openxmlformats.org/officeDocument/2006/relationships" r:id="rId46"/>
          <a:extLst>
            <a:ext uri="{FF2B5EF4-FFF2-40B4-BE49-F238E27FC236}">
              <a16:creationId xmlns:a16="http://schemas.microsoft.com/office/drawing/2014/main" xmlns="" id="{00000000-0008-0000-0500-000041000000}"/>
            </a:ext>
          </a:extLst>
        </xdr:cNvPr>
        <xdr:cNvSpPr/>
      </xdr:nvSpPr>
      <xdr:spPr>
        <a:xfrm>
          <a:off x="11172825" y="317658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- 8.3.2</a:t>
          </a:r>
        </a:p>
      </xdr:txBody>
    </xdr:sp>
    <xdr:clientData/>
  </xdr:twoCellAnchor>
  <xdr:twoCellAnchor>
    <xdr:from>
      <xdr:col>5</xdr:col>
      <xdr:colOff>47625</xdr:colOff>
      <xdr:row>109</xdr:row>
      <xdr:rowOff>38100</xdr:rowOff>
    </xdr:from>
    <xdr:to>
      <xdr:col>5</xdr:col>
      <xdr:colOff>866774</xdr:colOff>
      <xdr:row>109</xdr:row>
      <xdr:rowOff>206078</xdr:rowOff>
    </xdr:to>
    <xdr:sp macro="" textlink="">
      <xdr:nvSpPr>
        <xdr:cNvPr id="66" name="Rounded Rectangle 65">
          <a:hlinkClick xmlns:r="http://schemas.openxmlformats.org/officeDocument/2006/relationships" r:id="rId47"/>
          <a:extLst>
            <a:ext uri="{FF2B5EF4-FFF2-40B4-BE49-F238E27FC236}">
              <a16:creationId xmlns:a16="http://schemas.microsoft.com/office/drawing/2014/main" xmlns="" id="{00000000-0008-0000-0500-000042000000}"/>
            </a:ext>
          </a:extLst>
        </xdr:cNvPr>
        <xdr:cNvSpPr/>
      </xdr:nvSpPr>
      <xdr:spPr>
        <a:xfrm>
          <a:off x="11172825" y="1291971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- 5.2</a:t>
          </a:r>
        </a:p>
      </xdr:txBody>
    </xdr:sp>
    <xdr:clientData/>
  </xdr:twoCellAnchor>
  <xdr:twoCellAnchor>
    <xdr:from>
      <xdr:col>5</xdr:col>
      <xdr:colOff>47625</xdr:colOff>
      <xdr:row>31</xdr:row>
      <xdr:rowOff>38100</xdr:rowOff>
    </xdr:from>
    <xdr:to>
      <xdr:col>5</xdr:col>
      <xdr:colOff>866774</xdr:colOff>
      <xdr:row>31</xdr:row>
      <xdr:rowOff>206078</xdr:rowOff>
    </xdr:to>
    <xdr:sp macro="" textlink="">
      <xdr:nvSpPr>
        <xdr:cNvPr id="67" name="Rounded Rectangle 66">
          <a:hlinkClick xmlns:r="http://schemas.openxmlformats.org/officeDocument/2006/relationships" r:id="rId48"/>
          <a:extLst>
            <a:ext uri="{FF2B5EF4-FFF2-40B4-BE49-F238E27FC236}">
              <a16:creationId xmlns:a16="http://schemas.microsoft.com/office/drawing/2014/main" xmlns="" id="{00000000-0008-0000-0500-000043000000}"/>
            </a:ext>
          </a:extLst>
        </xdr:cNvPr>
        <xdr:cNvSpPr/>
      </xdr:nvSpPr>
      <xdr:spPr>
        <a:xfrm>
          <a:off x="11172825" y="354901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- 8.3.3</a:t>
          </a:r>
        </a:p>
      </xdr:txBody>
    </xdr:sp>
    <xdr:clientData/>
  </xdr:twoCellAnchor>
  <xdr:twoCellAnchor>
    <xdr:from>
      <xdr:col>5</xdr:col>
      <xdr:colOff>47625</xdr:colOff>
      <xdr:row>31</xdr:row>
      <xdr:rowOff>266700</xdr:rowOff>
    </xdr:from>
    <xdr:to>
      <xdr:col>5</xdr:col>
      <xdr:colOff>866774</xdr:colOff>
      <xdr:row>31</xdr:row>
      <xdr:rowOff>434678</xdr:rowOff>
    </xdr:to>
    <xdr:sp macro="" textlink="">
      <xdr:nvSpPr>
        <xdr:cNvPr id="68" name="Rounded Rectangle 67">
          <a:hlinkClick xmlns:r="http://schemas.openxmlformats.org/officeDocument/2006/relationships" r:id="rId49"/>
          <a:extLst>
            <a:ext uri="{FF2B5EF4-FFF2-40B4-BE49-F238E27FC236}">
              <a16:creationId xmlns:a16="http://schemas.microsoft.com/office/drawing/2014/main" xmlns="" id="{00000000-0008-0000-0500-000044000000}"/>
            </a:ext>
          </a:extLst>
        </xdr:cNvPr>
        <xdr:cNvSpPr/>
      </xdr:nvSpPr>
      <xdr:spPr>
        <a:xfrm>
          <a:off x="11172825" y="357187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- 8.3.4</a:t>
          </a:r>
        </a:p>
      </xdr:txBody>
    </xdr:sp>
    <xdr:clientData/>
  </xdr:twoCellAnchor>
  <xdr:twoCellAnchor>
    <xdr:from>
      <xdr:col>5</xdr:col>
      <xdr:colOff>38100</xdr:colOff>
      <xdr:row>110</xdr:row>
      <xdr:rowOff>38100</xdr:rowOff>
    </xdr:from>
    <xdr:to>
      <xdr:col>5</xdr:col>
      <xdr:colOff>857249</xdr:colOff>
      <xdr:row>110</xdr:row>
      <xdr:rowOff>206078</xdr:rowOff>
    </xdr:to>
    <xdr:sp macro="" textlink="">
      <xdr:nvSpPr>
        <xdr:cNvPr id="69" name="Rounded Rectangle 68">
          <a:hlinkClick xmlns:r="http://schemas.openxmlformats.org/officeDocument/2006/relationships" r:id="rId50"/>
          <a:extLst>
            <a:ext uri="{FF2B5EF4-FFF2-40B4-BE49-F238E27FC236}">
              <a16:creationId xmlns:a16="http://schemas.microsoft.com/office/drawing/2014/main" xmlns="" id="{00000000-0008-0000-0500-000045000000}"/>
            </a:ext>
          </a:extLst>
        </xdr:cNvPr>
        <xdr:cNvSpPr/>
      </xdr:nvSpPr>
      <xdr:spPr>
        <a:xfrm>
          <a:off x="11163300" y="1309782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- 5.3</a:t>
          </a:r>
        </a:p>
      </xdr:txBody>
    </xdr:sp>
    <xdr:clientData/>
  </xdr:twoCellAnchor>
  <xdr:twoCellAnchor>
    <xdr:from>
      <xdr:col>5</xdr:col>
      <xdr:colOff>47625</xdr:colOff>
      <xdr:row>111</xdr:row>
      <xdr:rowOff>38100</xdr:rowOff>
    </xdr:from>
    <xdr:to>
      <xdr:col>5</xdr:col>
      <xdr:colOff>866774</xdr:colOff>
      <xdr:row>111</xdr:row>
      <xdr:rowOff>206078</xdr:rowOff>
    </xdr:to>
    <xdr:sp macro="" textlink="">
      <xdr:nvSpPr>
        <xdr:cNvPr id="70" name="Rounded Rectangle 69">
          <a:hlinkClick xmlns:r="http://schemas.openxmlformats.org/officeDocument/2006/relationships" r:id="rId50"/>
          <a:extLst>
            <a:ext uri="{FF2B5EF4-FFF2-40B4-BE49-F238E27FC236}">
              <a16:creationId xmlns:a16="http://schemas.microsoft.com/office/drawing/2014/main" xmlns="" id="{00000000-0008-0000-0500-000046000000}"/>
            </a:ext>
          </a:extLst>
        </xdr:cNvPr>
        <xdr:cNvSpPr/>
      </xdr:nvSpPr>
      <xdr:spPr>
        <a:xfrm>
          <a:off x="11172825" y="1325975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- 5.3</a:t>
          </a:r>
        </a:p>
      </xdr:txBody>
    </xdr:sp>
    <xdr:clientData/>
  </xdr:twoCellAnchor>
  <xdr:twoCellAnchor>
    <xdr:from>
      <xdr:col>5</xdr:col>
      <xdr:colOff>47625</xdr:colOff>
      <xdr:row>32</xdr:row>
      <xdr:rowOff>38100</xdr:rowOff>
    </xdr:from>
    <xdr:to>
      <xdr:col>5</xdr:col>
      <xdr:colOff>866774</xdr:colOff>
      <xdr:row>32</xdr:row>
      <xdr:rowOff>206078</xdr:rowOff>
    </xdr:to>
    <xdr:sp macro="" textlink="">
      <xdr:nvSpPr>
        <xdr:cNvPr id="71" name="Rounded Rectangle 70">
          <a:hlinkClick xmlns:r="http://schemas.openxmlformats.org/officeDocument/2006/relationships" r:id="rId51"/>
          <a:extLst>
            <a:ext uri="{FF2B5EF4-FFF2-40B4-BE49-F238E27FC236}">
              <a16:creationId xmlns:a16="http://schemas.microsoft.com/office/drawing/2014/main" xmlns="" id="{00000000-0008-0000-0500-000047000000}"/>
            </a:ext>
          </a:extLst>
        </xdr:cNvPr>
        <xdr:cNvSpPr/>
      </xdr:nvSpPr>
      <xdr:spPr>
        <a:xfrm>
          <a:off x="11172825" y="377571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- 8.3.5</a:t>
          </a:r>
        </a:p>
      </xdr:txBody>
    </xdr:sp>
    <xdr:clientData/>
  </xdr:twoCellAnchor>
  <xdr:twoCellAnchor>
    <xdr:from>
      <xdr:col>5</xdr:col>
      <xdr:colOff>47625</xdr:colOff>
      <xdr:row>112</xdr:row>
      <xdr:rowOff>38100</xdr:rowOff>
    </xdr:from>
    <xdr:to>
      <xdr:col>5</xdr:col>
      <xdr:colOff>866774</xdr:colOff>
      <xdr:row>112</xdr:row>
      <xdr:rowOff>206078</xdr:rowOff>
    </xdr:to>
    <xdr:sp macro="" textlink="">
      <xdr:nvSpPr>
        <xdr:cNvPr id="72" name="Rounded Rectangle 71">
          <a:hlinkClick xmlns:r="http://schemas.openxmlformats.org/officeDocument/2006/relationships" r:id="rId52"/>
          <a:extLst>
            <a:ext uri="{FF2B5EF4-FFF2-40B4-BE49-F238E27FC236}">
              <a16:creationId xmlns:a16="http://schemas.microsoft.com/office/drawing/2014/main" xmlns="" id="{00000000-0008-0000-0500-000048000000}"/>
            </a:ext>
          </a:extLst>
        </xdr:cNvPr>
        <xdr:cNvSpPr/>
      </xdr:nvSpPr>
      <xdr:spPr>
        <a:xfrm>
          <a:off x="11172825" y="13421677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- 5.4</a:t>
          </a:r>
        </a:p>
      </xdr:txBody>
    </xdr:sp>
    <xdr:clientData/>
  </xdr:twoCellAnchor>
  <xdr:twoCellAnchor>
    <xdr:from>
      <xdr:col>5</xdr:col>
      <xdr:colOff>47625</xdr:colOff>
      <xdr:row>34</xdr:row>
      <xdr:rowOff>38100</xdr:rowOff>
    </xdr:from>
    <xdr:to>
      <xdr:col>5</xdr:col>
      <xdr:colOff>866774</xdr:colOff>
      <xdr:row>34</xdr:row>
      <xdr:rowOff>206078</xdr:rowOff>
    </xdr:to>
    <xdr:sp macro="" textlink="">
      <xdr:nvSpPr>
        <xdr:cNvPr id="73" name="Rounded Rectangle 72">
          <a:hlinkClick xmlns:r="http://schemas.openxmlformats.org/officeDocument/2006/relationships" r:id="rId53"/>
          <a:extLst>
            <a:ext uri="{FF2B5EF4-FFF2-40B4-BE49-F238E27FC236}">
              <a16:creationId xmlns:a16="http://schemas.microsoft.com/office/drawing/2014/main" xmlns="" id="{00000000-0008-0000-0500-000049000000}"/>
            </a:ext>
          </a:extLst>
        </xdr:cNvPr>
        <xdr:cNvSpPr/>
      </xdr:nvSpPr>
      <xdr:spPr>
        <a:xfrm>
          <a:off x="11172825" y="3908107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- 8.5.5</a:t>
          </a:r>
        </a:p>
      </xdr:txBody>
    </xdr:sp>
    <xdr:clientData/>
  </xdr:twoCellAnchor>
  <xdr:twoCellAnchor>
    <xdr:from>
      <xdr:col>5</xdr:col>
      <xdr:colOff>38100</xdr:colOff>
      <xdr:row>123</xdr:row>
      <xdr:rowOff>38100</xdr:rowOff>
    </xdr:from>
    <xdr:to>
      <xdr:col>5</xdr:col>
      <xdr:colOff>857249</xdr:colOff>
      <xdr:row>123</xdr:row>
      <xdr:rowOff>206078</xdr:rowOff>
    </xdr:to>
    <xdr:sp macro="" textlink="">
      <xdr:nvSpPr>
        <xdr:cNvPr id="74" name="Rounded Rectangle 73">
          <a:hlinkClick xmlns:r="http://schemas.openxmlformats.org/officeDocument/2006/relationships" r:id="rId54"/>
          <a:extLst>
            <a:ext uri="{FF2B5EF4-FFF2-40B4-BE49-F238E27FC236}">
              <a16:creationId xmlns:a16="http://schemas.microsoft.com/office/drawing/2014/main" xmlns="" id="{00000000-0008-0000-0500-00004A000000}"/>
            </a:ext>
          </a:extLst>
        </xdr:cNvPr>
        <xdr:cNvSpPr/>
      </xdr:nvSpPr>
      <xdr:spPr>
        <a:xfrm>
          <a:off x="11163300" y="1457420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- 6.1</a:t>
          </a:r>
        </a:p>
      </xdr:txBody>
    </xdr:sp>
    <xdr:clientData/>
  </xdr:twoCellAnchor>
  <xdr:twoCellAnchor>
    <xdr:from>
      <xdr:col>5</xdr:col>
      <xdr:colOff>47625</xdr:colOff>
      <xdr:row>35</xdr:row>
      <xdr:rowOff>38100</xdr:rowOff>
    </xdr:from>
    <xdr:to>
      <xdr:col>5</xdr:col>
      <xdr:colOff>866774</xdr:colOff>
      <xdr:row>35</xdr:row>
      <xdr:rowOff>206078</xdr:rowOff>
    </xdr:to>
    <xdr:sp macro="" textlink="">
      <xdr:nvSpPr>
        <xdr:cNvPr id="75" name="Rounded Rectangle 74">
          <a:hlinkClick xmlns:r="http://schemas.openxmlformats.org/officeDocument/2006/relationships" r:id="rId55"/>
          <a:extLst>
            <a:ext uri="{FF2B5EF4-FFF2-40B4-BE49-F238E27FC236}">
              <a16:creationId xmlns:a16="http://schemas.microsoft.com/office/drawing/2014/main" xmlns="" id="{00000000-0008-0000-0500-00004B000000}"/>
            </a:ext>
          </a:extLst>
        </xdr:cNvPr>
        <xdr:cNvSpPr/>
      </xdr:nvSpPr>
      <xdr:spPr>
        <a:xfrm>
          <a:off x="11172825" y="415099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- 8.7</a:t>
          </a:r>
        </a:p>
      </xdr:txBody>
    </xdr:sp>
    <xdr:clientData/>
  </xdr:twoCellAnchor>
  <xdr:twoCellAnchor>
    <xdr:from>
      <xdr:col>5</xdr:col>
      <xdr:colOff>47625</xdr:colOff>
      <xdr:row>126</xdr:row>
      <xdr:rowOff>38100</xdr:rowOff>
    </xdr:from>
    <xdr:to>
      <xdr:col>5</xdr:col>
      <xdr:colOff>866774</xdr:colOff>
      <xdr:row>126</xdr:row>
      <xdr:rowOff>206078</xdr:rowOff>
    </xdr:to>
    <xdr:sp macro="" textlink="">
      <xdr:nvSpPr>
        <xdr:cNvPr id="76" name="Rounded Rectangle 75">
          <a:hlinkClick xmlns:r="http://schemas.openxmlformats.org/officeDocument/2006/relationships" r:id="rId56"/>
          <a:extLst>
            <a:ext uri="{FF2B5EF4-FFF2-40B4-BE49-F238E27FC236}">
              <a16:creationId xmlns:a16="http://schemas.microsoft.com/office/drawing/2014/main" xmlns="" id="{00000000-0008-0000-0500-00004C000000}"/>
            </a:ext>
          </a:extLst>
        </xdr:cNvPr>
        <xdr:cNvSpPr/>
      </xdr:nvSpPr>
      <xdr:spPr>
        <a:xfrm>
          <a:off x="11172825" y="1491424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35</xdr:row>
      <xdr:rowOff>266700</xdr:rowOff>
    </xdr:from>
    <xdr:to>
      <xdr:col>5</xdr:col>
      <xdr:colOff>866774</xdr:colOff>
      <xdr:row>35</xdr:row>
      <xdr:rowOff>434678</xdr:rowOff>
    </xdr:to>
    <xdr:sp macro="" textlink="">
      <xdr:nvSpPr>
        <xdr:cNvPr id="77" name="Rounded Rectangle 76">
          <a:hlinkClick xmlns:r="http://schemas.openxmlformats.org/officeDocument/2006/relationships" r:id="rId57"/>
          <a:extLst>
            <a:ext uri="{FF2B5EF4-FFF2-40B4-BE49-F238E27FC236}">
              <a16:creationId xmlns:a16="http://schemas.microsoft.com/office/drawing/2014/main" xmlns="" id="{00000000-0008-0000-0500-00004D000000}"/>
            </a:ext>
          </a:extLst>
        </xdr:cNvPr>
        <xdr:cNvSpPr/>
      </xdr:nvSpPr>
      <xdr:spPr>
        <a:xfrm>
          <a:off x="11172825" y="417385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a:t>
          </a:r>
        </a:p>
      </xdr:txBody>
    </xdr:sp>
    <xdr:clientData/>
  </xdr:twoCellAnchor>
  <xdr:twoCellAnchor>
    <xdr:from>
      <xdr:col>5</xdr:col>
      <xdr:colOff>47625</xdr:colOff>
      <xdr:row>129</xdr:row>
      <xdr:rowOff>38100</xdr:rowOff>
    </xdr:from>
    <xdr:to>
      <xdr:col>5</xdr:col>
      <xdr:colOff>866774</xdr:colOff>
      <xdr:row>129</xdr:row>
      <xdr:rowOff>206078</xdr:rowOff>
    </xdr:to>
    <xdr:sp macro="" textlink="">
      <xdr:nvSpPr>
        <xdr:cNvPr id="78" name="Rounded Rectangle 77">
          <a:hlinkClick xmlns:r="http://schemas.openxmlformats.org/officeDocument/2006/relationships" r:id="rId56"/>
          <a:extLst>
            <a:ext uri="{FF2B5EF4-FFF2-40B4-BE49-F238E27FC236}">
              <a16:creationId xmlns:a16="http://schemas.microsoft.com/office/drawing/2014/main" xmlns="" id="{00000000-0008-0000-0500-00004E000000}"/>
            </a:ext>
          </a:extLst>
        </xdr:cNvPr>
        <xdr:cNvSpPr/>
      </xdr:nvSpPr>
      <xdr:spPr>
        <a:xfrm>
          <a:off x="11172825" y="1514951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35</xdr:row>
      <xdr:rowOff>495300</xdr:rowOff>
    </xdr:from>
    <xdr:to>
      <xdr:col>5</xdr:col>
      <xdr:colOff>866774</xdr:colOff>
      <xdr:row>35</xdr:row>
      <xdr:rowOff>663278</xdr:rowOff>
    </xdr:to>
    <xdr:sp macro="" textlink="">
      <xdr:nvSpPr>
        <xdr:cNvPr id="79" name="Rounded Rectangle 78">
          <a:hlinkClick xmlns:r="http://schemas.openxmlformats.org/officeDocument/2006/relationships" r:id="rId33"/>
          <a:extLst>
            <a:ext uri="{FF2B5EF4-FFF2-40B4-BE49-F238E27FC236}">
              <a16:creationId xmlns:a16="http://schemas.microsoft.com/office/drawing/2014/main" xmlns="" id="{00000000-0008-0000-0500-00004F000000}"/>
            </a:ext>
          </a:extLst>
        </xdr:cNvPr>
        <xdr:cNvSpPr/>
      </xdr:nvSpPr>
      <xdr:spPr>
        <a:xfrm>
          <a:off x="11172825" y="419671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a:t>
          </a:r>
        </a:p>
      </xdr:txBody>
    </xdr:sp>
    <xdr:clientData/>
  </xdr:twoCellAnchor>
  <xdr:twoCellAnchor>
    <xdr:from>
      <xdr:col>5</xdr:col>
      <xdr:colOff>47625</xdr:colOff>
      <xdr:row>130</xdr:row>
      <xdr:rowOff>257175</xdr:rowOff>
    </xdr:from>
    <xdr:to>
      <xdr:col>5</xdr:col>
      <xdr:colOff>866774</xdr:colOff>
      <xdr:row>130</xdr:row>
      <xdr:rowOff>425153</xdr:rowOff>
    </xdr:to>
    <xdr:sp macro="" textlink="">
      <xdr:nvSpPr>
        <xdr:cNvPr id="80" name="Rounded Rectangle 79">
          <a:hlinkClick xmlns:r="http://schemas.openxmlformats.org/officeDocument/2006/relationships" r:id="rId56"/>
          <a:extLst>
            <a:ext uri="{FF2B5EF4-FFF2-40B4-BE49-F238E27FC236}">
              <a16:creationId xmlns:a16="http://schemas.microsoft.com/office/drawing/2014/main" xmlns="" id="{00000000-0008-0000-0500-000050000000}"/>
            </a:ext>
          </a:extLst>
        </xdr:cNvPr>
        <xdr:cNvSpPr/>
      </xdr:nvSpPr>
      <xdr:spPr>
        <a:xfrm>
          <a:off x="11172825" y="1519618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35</xdr:row>
      <xdr:rowOff>723900</xdr:rowOff>
    </xdr:from>
    <xdr:to>
      <xdr:col>5</xdr:col>
      <xdr:colOff>866774</xdr:colOff>
      <xdr:row>35</xdr:row>
      <xdr:rowOff>891878</xdr:rowOff>
    </xdr:to>
    <xdr:sp macro="" textlink="">
      <xdr:nvSpPr>
        <xdr:cNvPr id="84" name="Rounded Rectangle 83">
          <a:hlinkClick xmlns:r="http://schemas.openxmlformats.org/officeDocument/2006/relationships" r:id="rId35"/>
          <a:extLst>
            <a:ext uri="{FF2B5EF4-FFF2-40B4-BE49-F238E27FC236}">
              <a16:creationId xmlns:a16="http://schemas.microsoft.com/office/drawing/2014/main" xmlns="" id="{00000000-0008-0000-0500-000054000000}"/>
            </a:ext>
          </a:extLst>
        </xdr:cNvPr>
        <xdr:cNvSpPr/>
      </xdr:nvSpPr>
      <xdr:spPr>
        <a:xfrm>
          <a:off x="11172825" y="421957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- 9.1.1</a:t>
          </a:r>
        </a:p>
      </xdr:txBody>
    </xdr:sp>
    <xdr:clientData/>
  </xdr:twoCellAnchor>
  <xdr:twoCellAnchor>
    <xdr:from>
      <xdr:col>5</xdr:col>
      <xdr:colOff>47625</xdr:colOff>
      <xdr:row>131</xdr:row>
      <xdr:rowOff>257175</xdr:rowOff>
    </xdr:from>
    <xdr:to>
      <xdr:col>5</xdr:col>
      <xdr:colOff>866774</xdr:colOff>
      <xdr:row>131</xdr:row>
      <xdr:rowOff>425153</xdr:rowOff>
    </xdr:to>
    <xdr:sp macro="" textlink="">
      <xdr:nvSpPr>
        <xdr:cNvPr id="85" name="Rounded Rectangle 84">
          <a:hlinkClick xmlns:r="http://schemas.openxmlformats.org/officeDocument/2006/relationships" r:id="rId56"/>
          <a:extLst>
            <a:ext uri="{FF2B5EF4-FFF2-40B4-BE49-F238E27FC236}">
              <a16:creationId xmlns:a16="http://schemas.microsoft.com/office/drawing/2014/main" xmlns="" id="{00000000-0008-0000-0500-000055000000}"/>
            </a:ext>
          </a:extLst>
        </xdr:cNvPr>
        <xdr:cNvSpPr/>
      </xdr:nvSpPr>
      <xdr:spPr>
        <a:xfrm>
          <a:off x="11172825" y="1524381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35</xdr:row>
      <xdr:rowOff>952500</xdr:rowOff>
    </xdr:from>
    <xdr:to>
      <xdr:col>5</xdr:col>
      <xdr:colOff>866774</xdr:colOff>
      <xdr:row>35</xdr:row>
      <xdr:rowOff>1120478</xdr:rowOff>
    </xdr:to>
    <xdr:sp macro="" textlink="">
      <xdr:nvSpPr>
        <xdr:cNvPr id="86" name="Rounded Rectangle 85">
          <a:hlinkClick xmlns:r="http://schemas.openxmlformats.org/officeDocument/2006/relationships" r:id="rId58"/>
          <a:extLst>
            <a:ext uri="{FF2B5EF4-FFF2-40B4-BE49-F238E27FC236}">
              <a16:creationId xmlns:a16="http://schemas.microsoft.com/office/drawing/2014/main" xmlns="" id="{00000000-0008-0000-0500-000056000000}"/>
            </a:ext>
          </a:extLst>
        </xdr:cNvPr>
        <xdr:cNvSpPr/>
      </xdr:nvSpPr>
      <xdr:spPr>
        <a:xfrm>
          <a:off x="11172825" y="424243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- 9.1.2</a:t>
          </a:r>
        </a:p>
      </xdr:txBody>
    </xdr:sp>
    <xdr:clientData/>
  </xdr:twoCellAnchor>
  <xdr:twoCellAnchor>
    <xdr:from>
      <xdr:col>5</xdr:col>
      <xdr:colOff>47625</xdr:colOff>
      <xdr:row>132</xdr:row>
      <xdr:rowOff>38100</xdr:rowOff>
    </xdr:from>
    <xdr:to>
      <xdr:col>5</xdr:col>
      <xdr:colOff>866774</xdr:colOff>
      <xdr:row>132</xdr:row>
      <xdr:rowOff>206078</xdr:rowOff>
    </xdr:to>
    <xdr:sp macro="" textlink="">
      <xdr:nvSpPr>
        <xdr:cNvPr id="88" name="Rounded Rectangle 87">
          <a:hlinkClick xmlns:r="http://schemas.openxmlformats.org/officeDocument/2006/relationships" r:id="rId56"/>
          <a:extLst>
            <a:ext uri="{FF2B5EF4-FFF2-40B4-BE49-F238E27FC236}">
              <a16:creationId xmlns:a16="http://schemas.microsoft.com/office/drawing/2014/main" xmlns="" id="{00000000-0008-0000-0500-000058000000}"/>
            </a:ext>
          </a:extLst>
        </xdr:cNvPr>
        <xdr:cNvSpPr/>
      </xdr:nvSpPr>
      <xdr:spPr>
        <a:xfrm>
          <a:off x="11172825" y="1533525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35</xdr:row>
      <xdr:rowOff>1181100</xdr:rowOff>
    </xdr:from>
    <xdr:to>
      <xdr:col>5</xdr:col>
      <xdr:colOff>866774</xdr:colOff>
      <xdr:row>35</xdr:row>
      <xdr:rowOff>1349078</xdr:rowOff>
    </xdr:to>
    <xdr:sp macro="" textlink="">
      <xdr:nvSpPr>
        <xdr:cNvPr id="89" name="Rounded Rectangle 88">
          <a:hlinkClick xmlns:r="http://schemas.openxmlformats.org/officeDocument/2006/relationships" r:id="rId59"/>
          <a:extLst>
            <a:ext uri="{FF2B5EF4-FFF2-40B4-BE49-F238E27FC236}">
              <a16:creationId xmlns:a16="http://schemas.microsoft.com/office/drawing/2014/main" xmlns="" id="{00000000-0008-0000-0500-000059000000}"/>
            </a:ext>
          </a:extLst>
        </xdr:cNvPr>
        <xdr:cNvSpPr/>
      </xdr:nvSpPr>
      <xdr:spPr>
        <a:xfrm>
          <a:off x="11172825" y="426529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- 9.1.3</a:t>
          </a:r>
        </a:p>
      </xdr:txBody>
    </xdr:sp>
    <xdr:clientData/>
  </xdr:twoCellAnchor>
  <xdr:twoCellAnchor>
    <xdr:from>
      <xdr:col>5</xdr:col>
      <xdr:colOff>47625</xdr:colOff>
      <xdr:row>133</xdr:row>
      <xdr:rowOff>38100</xdr:rowOff>
    </xdr:from>
    <xdr:to>
      <xdr:col>5</xdr:col>
      <xdr:colOff>866774</xdr:colOff>
      <xdr:row>133</xdr:row>
      <xdr:rowOff>206078</xdr:rowOff>
    </xdr:to>
    <xdr:sp macro="" textlink="">
      <xdr:nvSpPr>
        <xdr:cNvPr id="90" name="Rounded Rectangle 89">
          <a:hlinkClick xmlns:r="http://schemas.openxmlformats.org/officeDocument/2006/relationships" r:id="rId56"/>
          <a:extLst>
            <a:ext uri="{FF2B5EF4-FFF2-40B4-BE49-F238E27FC236}">
              <a16:creationId xmlns:a16="http://schemas.microsoft.com/office/drawing/2014/main" xmlns="" id="{00000000-0008-0000-0500-00005A000000}"/>
            </a:ext>
          </a:extLst>
        </xdr:cNvPr>
        <xdr:cNvSpPr/>
      </xdr:nvSpPr>
      <xdr:spPr>
        <a:xfrm>
          <a:off x="11172825" y="1540002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- 6.2</a:t>
          </a:r>
        </a:p>
      </xdr:txBody>
    </xdr:sp>
    <xdr:clientData/>
  </xdr:twoCellAnchor>
  <xdr:twoCellAnchor>
    <xdr:from>
      <xdr:col>5</xdr:col>
      <xdr:colOff>47625</xdr:colOff>
      <xdr:row>48</xdr:row>
      <xdr:rowOff>38100</xdr:rowOff>
    </xdr:from>
    <xdr:to>
      <xdr:col>5</xdr:col>
      <xdr:colOff>866774</xdr:colOff>
      <xdr:row>48</xdr:row>
      <xdr:rowOff>206078</xdr:rowOff>
    </xdr:to>
    <xdr:sp macro="" textlink="">
      <xdr:nvSpPr>
        <xdr:cNvPr id="91" name="Rounded Rectangle 90">
          <a:hlinkClick xmlns:r="http://schemas.openxmlformats.org/officeDocument/2006/relationships" r:id="rId11"/>
          <a:extLst>
            <a:ext uri="{FF2B5EF4-FFF2-40B4-BE49-F238E27FC236}">
              <a16:creationId xmlns:a16="http://schemas.microsoft.com/office/drawing/2014/main" xmlns="" id="{00000000-0008-0000-0500-00005B000000}"/>
            </a:ext>
          </a:extLst>
        </xdr:cNvPr>
        <xdr:cNvSpPr/>
      </xdr:nvSpPr>
      <xdr:spPr>
        <a:xfrm>
          <a:off x="11172825" y="597027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- 8.4</a:t>
          </a:r>
        </a:p>
      </xdr:txBody>
    </xdr:sp>
    <xdr:clientData/>
  </xdr:twoCellAnchor>
  <xdr:twoCellAnchor>
    <xdr:from>
      <xdr:col>5</xdr:col>
      <xdr:colOff>47625</xdr:colOff>
      <xdr:row>114</xdr:row>
      <xdr:rowOff>257175</xdr:rowOff>
    </xdr:from>
    <xdr:to>
      <xdr:col>5</xdr:col>
      <xdr:colOff>866774</xdr:colOff>
      <xdr:row>114</xdr:row>
      <xdr:rowOff>425153</xdr:rowOff>
    </xdr:to>
    <xdr:sp macro="" textlink="">
      <xdr:nvSpPr>
        <xdr:cNvPr id="92" name="Rounded Rectangle 91">
          <a:hlinkClick xmlns:r="http://schemas.openxmlformats.org/officeDocument/2006/relationships" r:id="rId60"/>
          <a:extLst>
            <a:ext uri="{FF2B5EF4-FFF2-40B4-BE49-F238E27FC236}">
              <a16:creationId xmlns:a16="http://schemas.microsoft.com/office/drawing/2014/main" xmlns="" id="{00000000-0008-0000-0500-00005C000000}"/>
            </a:ext>
          </a:extLst>
        </xdr:cNvPr>
        <xdr:cNvSpPr/>
      </xdr:nvSpPr>
      <xdr:spPr>
        <a:xfrm>
          <a:off x="11172825" y="1368647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- 7.2</a:t>
          </a:r>
        </a:p>
      </xdr:txBody>
    </xdr:sp>
    <xdr:clientData/>
  </xdr:twoCellAnchor>
  <xdr:twoCellAnchor>
    <xdr:from>
      <xdr:col>5</xdr:col>
      <xdr:colOff>47625</xdr:colOff>
      <xdr:row>48</xdr:row>
      <xdr:rowOff>266700</xdr:rowOff>
    </xdr:from>
    <xdr:to>
      <xdr:col>5</xdr:col>
      <xdr:colOff>866774</xdr:colOff>
      <xdr:row>48</xdr:row>
      <xdr:rowOff>434678</xdr:rowOff>
    </xdr:to>
    <xdr:sp macro="" textlink="">
      <xdr:nvSpPr>
        <xdr:cNvPr id="93" name="Rounded Rectangle 92">
          <a:hlinkClick xmlns:r="http://schemas.openxmlformats.org/officeDocument/2006/relationships" r:id="rId61"/>
          <a:extLst>
            <a:ext uri="{FF2B5EF4-FFF2-40B4-BE49-F238E27FC236}">
              <a16:creationId xmlns:a16="http://schemas.microsoft.com/office/drawing/2014/main" xmlns="" id="{00000000-0008-0000-0500-00005D000000}"/>
            </a:ext>
          </a:extLst>
        </xdr:cNvPr>
        <xdr:cNvSpPr/>
      </xdr:nvSpPr>
      <xdr:spPr>
        <a:xfrm>
          <a:off x="11172825" y="599313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- 8.4.1</a:t>
          </a:r>
        </a:p>
      </xdr:txBody>
    </xdr:sp>
    <xdr:clientData/>
  </xdr:twoCellAnchor>
  <xdr:twoCellAnchor>
    <xdr:from>
      <xdr:col>5</xdr:col>
      <xdr:colOff>47625</xdr:colOff>
      <xdr:row>115</xdr:row>
      <xdr:rowOff>38100</xdr:rowOff>
    </xdr:from>
    <xdr:to>
      <xdr:col>5</xdr:col>
      <xdr:colOff>866774</xdr:colOff>
      <xdr:row>115</xdr:row>
      <xdr:rowOff>206078</xdr:rowOff>
    </xdr:to>
    <xdr:sp macro="" textlink="">
      <xdr:nvSpPr>
        <xdr:cNvPr id="94" name="Rounded Rectangle 93">
          <a:hlinkClick xmlns:r="http://schemas.openxmlformats.org/officeDocument/2006/relationships" r:id="rId60"/>
          <a:extLst>
            <a:ext uri="{FF2B5EF4-FFF2-40B4-BE49-F238E27FC236}">
              <a16:creationId xmlns:a16="http://schemas.microsoft.com/office/drawing/2014/main" xmlns="" id="{00000000-0008-0000-0500-00005E000000}"/>
            </a:ext>
          </a:extLst>
        </xdr:cNvPr>
        <xdr:cNvSpPr/>
      </xdr:nvSpPr>
      <xdr:spPr>
        <a:xfrm>
          <a:off x="11172825" y="1371219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- 7.2</a:t>
          </a:r>
        </a:p>
      </xdr:txBody>
    </xdr:sp>
    <xdr:clientData/>
  </xdr:twoCellAnchor>
  <xdr:twoCellAnchor>
    <xdr:from>
      <xdr:col>5</xdr:col>
      <xdr:colOff>47625</xdr:colOff>
      <xdr:row>48</xdr:row>
      <xdr:rowOff>495300</xdr:rowOff>
    </xdr:from>
    <xdr:to>
      <xdr:col>5</xdr:col>
      <xdr:colOff>866774</xdr:colOff>
      <xdr:row>48</xdr:row>
      <xdr:rowOff>663278</xdr:rowOff>
    </xdr:to>
    <xdr:sp macro="" textlink="">
      <xdr:nvSpPr>
        <xdr:cNvPr id="95" name="Rounded Rectangle 94">
          <a:hlinkClick xmlns:r="http://schemas.openxmlformats.org/officeDocument/2006/relationships" r:id="rId62"/>
          <a:extLst>
            <a:ext uri="{FF2B5EF4-FFF2-40B4-BE49-F238E27FC236}">
              <a16:creationId xmlns:a16="http://schemas.microsoft.com/office/drawing/2014/main" xmlns="" id="{00000000-0008-0000-0500-00005F000000}"/>
            </a:ext>
          </a:extLst>
        </xdr:cNvPr>
        <xdr:cNvSpPr/>
      </xdr:nvSpPr>
      <xdr:spPr>
        <a:xfrm>
          <a:off x="11172825" y="601599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- 8.4.2</a:t>
          </a:r>
        </a:p>
      </xdr:txBody>
    </xdr:sp>
    <xdr:clientData/>
  </xdr:twoCellAnchor>
  <xdr:twoCellAnchor>
    <xdr:from>
      <xdr:col>5</xdr:col>
      <xdr:colOff>47625</xdr:colOff>
      <xdr:row>116</xdr:row>
      <xdr:rowOff>38100</xdr:rowOff>
    </xdr:from>
    <xdr:to>
      <xdr:col>5</xdr:col>
      <xdr:colOff>866774</xdr:colOff>
      <xdr:row>116</xdr:row>
      <xdr:rowOff>206078</xdr:rowOff>
    </xdr:to>
    <xdr:sp macro="" textlink="">
      <xdr:nvSpPr>
        <xdr:cNvPr id="97" name="Rounded Rectangle 96">
          <a:hlinkClick xmlns:r="http://schemas.openxmlformats.org/officeDocument/2006/relationships" r:id="rId60"/>
          <a:extLst>
            <a:ext uri="{FF2B5EF4-FFF2-40B4-BE49-F238E27FC236}">
              <a16:creationId xmlns:a16="http://schemas.microsoft.com/office/drawing/2014/main" xmlns="" id="{00000000-0008-0000-0500-000061000000}"/>
            </a:ext>
          </a:extLst>
        </xdr:cNvPr>
        <xdr:cNvSpPr/>
      </xdr:nvSpPr>
      <xdr:spPr>
        <a:xfrm>
          <a:off x="11172825" y="1384173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- 7.2</a:t>
          </a:r>
        </a:p>
      </xdr:txBody>
    </xdr:sp>
    <xdr:clientData/>
  </xdr:twoCellAnchor>
  <xdr:twoCellAnchor>
    <xdr:from>
      <xdr:col>5</xdr:col>
      <xdr:colOff>47625</xdr:colOff>
      <xdr:row>48</xdr:row>
      <xdr:rowOff>733425</xdr:rowOff>
    </xdr:from>
    <xdr:to>
      <xdr:col>5</xdr:col>
      <xdr:colOff>866774</xdr:colOff>
      <xdr:row>48</xdr:row>
      <xdr:rowOff>901403</xdr:rowOff>
    </xdr:to>
    <xdr:sp macro="" textlink="">
      <xdr:nvSpPr>
        <xdr:cNvPr id="98" name="Rounded Rectangle 97">
          <a:hlinkClick xmlns:r="http://schemas.openxmlformats.org/officeDocument/2006/relationships" r:id="rId63"/>
          <a:extLst>
            <a:ext uri="{FF2B5EF4-FFF2-40B4-BE49-F238E27FC236}">
              <a16:creationId xmlns:a16="http://schemas.microsoft.com/office/drawing/2014/main" xmlns="" id="{00000000-0008-0000-0500-000062000000}"/>
            </a:ext>
          </a:extLst>
        </xdr:cNvPr>
        <xdr:cNvSpPr/>
      </xdr:nvSpPr>
      <xdr:spPr>
        <a:xfrm>
          <a:off x="11172825" y="60398025"/>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- 8.4.3</a:t>
          </a:r>
        </a:p>
      </xdr:txBody>
    </xdr:sp>
    <xdr:clientData/>
  </xdr:twoCellAnchor>
  <xdr:twoCellAnchor>
    <xdr:from>
      <xdr:col>5</xdr:col>
      <xdr:colOff>47625</xdr:colOff>
      <xdr:row>117</xdr:row>
      <xdr:rowOff>38100</xdr:rowOff>
    </xdr:from>
    <xdr:to>
      <xdr:col>5</xdr:col>
      <xdr:colOff>866774</xdr:colOff>
      <xdr:row>117</xdr:row>
      <xdr:rowOff>206078</xdr:rowOff>
    </xdr:to>
    <xdr:sp macro="" textlink="">
      <xdr:nvSpPr>
        <xdr:cNvPr id="99" name="Rounded Rectangle 98">
          <a:hlinkClick xmlns:r="http://schemas.openxmlformats.org/officeDocument/2006/relationships" r:id="rId60"/>
          <a:extLst>
            <a:ext uri="{FF2B5EF4-FFF2-40B4-BE49-F238E27FC236}">
              <a16:creationId xmlns:a16="http://schemas.microsoft.com/office/drawing/2014/main" xmlns="" id="{00000000-0008-0000-0500-000063000000}"/>
            </a:ext>
          </a:extLst>
        </xdr:cNvPr>
        <xdr:cNvSpPr/>
      </xdr:nvSpPr>
      <xdr:spPr>
        <a:xfrm>
          <a:off x="11172825" y="14036040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- 7.2</a:t>
          </a:r>
        </a:p>
      </xdr:txBody>
    </xdr:sp>
    <xdr:clientData/>
  </xdr:twoCellAnchor>
  <xdr:twoCellAnchor>
    <xdr:from>
      <xdr:col>5</xdr:col>
      <xdr:colOff>47625</xdr:colOff>
      <xdr:row>51</xdr:row>
      <xdr:rowOff>38100</xdr:rowOff>
    </xdr:from>
    <xdr:to>
      <xdr:col>5</xdr:col>
      <xdr:colOff>866774</xdr:colOff>
      <xdr:row>51</xdr:row>
      <xdr:rowOff>206078</xdr:rowOff>
    </xdr:to>
    <xdr:sp macro="" textlink="">
      <xdr:nvSpPr>
        <xdr:cNvPr id="100" name="Rounded Rectangle 99">
          <a:hlinkClick xmlns:r="http://schemas.openxmlformats.org/officeDocument/2006/relationships" r:id="rId55"/>
          <a:extLst>
            <a:ext uri="{FF2B5EF4-FFF2-40B4-BE49-F238E27FC236}">
              <a16:creationId xmlns:a16="http://schemas.microsoft.com/office/drawing/2014/main" xmlns="" id="{00000000-0008-0000-0500-000064000000}"/>
            </a:ext>
          </a:extLst>
        </xdr:cNvPr>
        <xdr:cNvSpPr/>
      </xdr:nvSpPr>
      <xdr:spPr>
        <a:xfrm>
          <a:off x="11172825" y="676656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- 8.7</a:t>
          </a:r>
        </a:p>
      </xdr:txBody>
    </xdr:sp>
    <xdr:clientData/>
  </xdr:twoCellAnchor>
  <xdr:twoCellAnchor>
    <xdr:from>
      <xdr:col>5</xdr:col>
      <xdr:colOff>47625</xdr:colOff>
      <xdr:row>126</xdr:row>
      <xdr:rowOff>257175</xdr:rowOff>
    </xdr:from>
    <xdr:to>
      <xdr:col>5</xdr:col>
      <xdr:colOff>866774</xdr:colOff>
      <xdr:row>126</xdr:row>
      <xdr:rowOff>425153</xdr:rowOff>
    </xdr:to>
    <xdr:sp macro="" textlink="">
      <xdr:nvSpPr>
        <xdr:cNvPr id="101" name="Rounded Rectangle 100">
          <a:hlinkClick xmlns:r="http://schemas.openxmlformats.org/officeDocument/2006/relationships" r:id="rId64"/>
          <a:extLst>
            <a:ext uri="{FF2B5EF4-FFF2-40B4-BE49-F238E27FC236}">
              <a16:creationId xmlns:a16="http://schemas.microsoft.com/office/drawing/2014/main" xmlns="" id="{00000000-0008-0000-0500-000065000000}"/>
            </a:ext>
          </a:extLst>
        </xdr:cNvPr>
        <xdr:cNvSpPr/>
      </xdr:nvSpPr>
      <xdr:spPr>
        <a:xfrm>
          <a:off x="11172825" y="150809325"/>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- 8.2</a:t>
          </a:r>
        </a:p>
      </xdr:txBody>
    </xdr:sp>
    <xdr:clientData/>
  </xdr:twoCellAnchor>
  <xdr:twoCellAnchor>
    <xdr:from>
      <xdr:col>5</xdr:col>
      <xdr:colOff>47625</xdr:colOff>
      <xdr:row>54</xdr:row>
      <xdr:rowOff>47625</xdr:rowOff>
    </xdr:from>
    <xdr:to>
      <xdr:col>5</xdr:col>
      <xdr:colOff>866774</xdr:colOff>
      <xdr:row>54</xdr:row>
      <xdr:rowOff>215603</xdr:rowOff>
    </xdr:to>
    <xdr:sp macro="" textlink="">
      <xdr:nvSpPr>
        <xdr:cNvPr id="102" name="Rounded Rectangle 101">
          <a:hlinkClick xmlns:r="http://schemas.openxmlformats.org/officeDocument/2006/relationships" r:id="rId65"/>
          <a:extLst>
            <a:ext uri="{FF2B5EF4-FFF2-40B4-BE49-F238E27FC236}">
              <a16:creationId xmlns:a16="http://schemas.microsoft.com/office/drawing/2014/main" xmlns="" id="{00000000-0008-0000-0500-000066000000}"/>
            </a:ext>
          </a:extLst>
        </xdr:cNvPr>
        <xdr:cNvSpPr/>
      </xdr:nvSpPr>
      <xdr:spPr>
        <a:xfrm>
          <a:off x="11172825" y="7482840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- 8.5.6</a:t>
          </a:r>
        </a:p>
      </xdr:txBody>
    </xdr:sp>
    <xdr:clientData/>
  </xdr:twoCellAnchor>
  <xdr:twoCellAnchor>
    <xdr:from>
      <xdr:col>5</xdr:col>
      <xdr:colOff>47625</xdr:colOff>
      <xdr:row>124</xdr:row>
      <xdr:rowOff>38100</xdr:rowOff>
    </xdr:from>
    <xdr:to>
      <xdr:col>5</xdr:col>
      <xdr:colOff>866774</xdr:colOff>
      <xdr:row>124</xdr:row>
      <xdr:rowOff>206078</xdr:rowOff>
    </xdr:to>
    <xdr:sp macro="" textlink="">
      <xdr:nvSpPr>
        <xdr:cNvPr id="103" name="Rounded Rectangle 102">
          <a:hlinkClick xmlns:r="http://schemas.openxmlformats.org/officeDocument/2006/relationships" r:id="rId66"/>
          <a:extLst>
            <a:ext uri="{FF2B5EF4-FFF2-40B4-BE49-F238E27FC236}">
              <a16:creationId xmlns:a16="http://schemas.microsoft.com/office/drawing/2014/main" xmlns="" id="{00000000-0008-0000-0500-000067000000}"/>
            </a:ext>
          </a:extLst>
        </xdr:cNvPr>
        <xdr:cNvSpPr/>
      </xdr:nvSpPr>
      <xdr:spPr>
        <a:xfrm>
          <a:off x="11172825" y="1486471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- 9.2</a:t>
          </a:r>
        </a:p>
      </xdr:txBody>
    </xdr:sp>
    <xdr:clientData/>
  </xdr:twoCellAnchor>
  <xdr:twoCellAnchor>
    <xdr:from>
      <xdr:col>5</xdr:col>
      <xdr:colOff>47625</xdr:colOff>
      <xdr:row>55</xdr:row>
      <xdr:rowOff>38100</xdr:rowOff>
    </xdr:from>
    <xdr:to>
      <xdr:col>5</xdr:col>
      <xdr:colOff>866774</xdr:colOff>
      <xdr:row>55</xdr:row>
      <xdr:rowOff>206078</xdr:rowOff>
    </xdr:to>
    <xdr:sp macro="" textlink="">
      <xdr:nvSpPr>
        <xdr:cNvPr id="105" name="Rounded Rectangle 104">
          <a:hlinkClick xmlns:r="http://schemas.openxmlformats.org/officeDocument/2006/relationships" r:id="rId67"/>
          <a:extLst>
            <a:ext uri="{FF2B5EF4-FFF2-40B4-BE49-F238E27FC236}">
              <a16:creationId xmlns:a16="http://schemas.microsoft.com/office/drawing/2014/main" xmlns="" id="{00000000-0008-0000-0500-000069000000}"/>
            </a:ext>
          </a:extLst>
        </xdr:cNvPr>
        <xdr:cNvSpPr/>
      </xdr:nvSpPr>
      <xdr:spPr>
        <a:xfrm>
          <a:off x="11172825" y="79190850"/>
          <a:ext cx="819149" cy="167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noAutofit/>
        </a:bodyPr>
        <a:lstStyle/>
        <a:p>
          <a:pPr algn="l"/>
          <a:r>
            <a:rPr lang="en-GB" sz="800"/>
            <a:t>9k - 8.6</a:t>
          </a:r>
        </a:p>
      </xdr:txBody>
    </xdr:sp>
    <xdr:clientData/>
  </xdr:twoCellAnchor>
  <xdr:twoCellAnchor>
    <xdr:from>
      <xdr:col>5</xdr:col>
      <xdr:colOff>47625</xdr:colOff>
      <xdr:row>125</xdr:row>
      <xdr:rowOff>38100</xdr:rowOff>
    </xdr:from>
    <xdr:to>
      <xdr:col>5</xdr:col>
      <xdr:colOff>866774</xdr:colOff>
      <xdr:row>125</xdr:row>
      <xdr:rowOff>206078</xdr:rowOff>
    </xdr:to>
    <xdr:sp macro="" textlink="">
      <xdr:nvSpPr>
        <xdr:cNvPr id="106" name="Rounded Rectangle 105">
          <a:hlinkClick xmlns:r="http://schemas.openxmlformats.org/officeDocument/2006/relationships" r:id="rId68"/>
          <a:extLst>
            <a:ext uri="{FF2B5EF4-FFF2-40B4-BE49-F238E27FC236}">
              <a16:creationId xmlns:a16="http://schemas.microsoft.com/office/drawing/2014/main" xmlns="" id="{00000000-0008-0000-0500-00006A000000}"/>
            </a:ext>
          </a:extLst>
        </xdr:cNvPr>
        <xdr:cNvSpPr/>
      </xdr:nvSpPr>
      <xdr:spPr>
        <a:xfrm>
          <a:off x="11172825" y="149294850"/>
          <a:ext cx="819149" cy="16797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noAutofit/>
        </a:bodyPr>
        <a:lstStyle/>
        <a:p>
          <a:pPr algn="l"/>
          <a:r>
            <a:rPr lang="en-GB" sz="800"/>
            <a:t>20k - 9.3</a:t>
          </a:r>
        </a:p>
      </xdr:txBody>
    </xdr:sp>
    <xdr:clientData/>
  </xdr:twoCellAnchor>
  <xdr:twoCellAnchor editAs="oneCell">
    <xdr:from>
      <xdr:col>1</xdr:col>
      <xdr:colOff>228600</xdr:colOff>
      <xdr:row>1</xdr:row>
      <xdr:rowOff>38100</xdr:rowOff>
    </xdr:from>
    <xdr:to>
      <xdr:col>2</xdr:col>
      <xdr:colOff>200024</xdr:colOff>
      <xdr:row>1</xdr:row>
      <xdr:rowOff>352424</xdr:rowOff>
    </xdr:to>
    <xdr:pic macro="[0]!GotoCtrlPanel">
      <xdr:nvPicPr>
        <xdr:cNvPr id="96" name="Picture 95">
          <a:extLst>
            <a:ext uri="{FF2B5EF4-FFF2-40B4-BE49-F238E27FC236}">
              <a16:creationId xmlns:a16="http://schemas.microsoft.com/office/drawing/2014/main" xmlns="" id="{426F5EE2-5562-42D0-A1DE-4517AA358223}"/>
            </a:ext>
          </a:extLst>
        </xdr:cNvPr>
        <xdr:cNvPicPr>
          <a:picLocks noChangeAspect="1"/>
        </xdr:cNvPicPr>
      </xdr:nvPicPr>
      <xdr:blipFill>
        <a:blip xmlns:r="http://schemas.openxmlformats.org/officeDocument/2006/relationships" r:embed="rId69"/>
        <a:stretch>
          <a:fillRect/>
        </a:stretch>
      </xdr:blipFill>
      <xdr:spPr>
        <a:xfrm>
          <a:off x="285750" y="142875"/>
          <a:ext cx="866774" cy="3143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5</xdr:col>
      <xdr:colOff>567219</xdr:colOff>
      <xdr:row>1</xdr:row>
      <xdr:rowOff>181938</xdr:rowOff>
    </xdr:from>
    <xdr:to>
      <xdr:col>5</xdr:col>
      <xdr:colOff>1433993</xdr:colOff>
      <xdr:row>1</xdr:row>
      <xdr:rowOff>496262</xdr:rowOff>
    </xdr:to>
    <xdr:pic macro="[0]!GotoCtrlPanel">
      <xdr:nvPicPr>
        <xdr:cNvPr id="2" name="Picture 1">
          <a:extLst>
            <a:ext uri="{FF2B5EF4-FFF2-40B4-BE49-F238E27FC236}">
              <a16:creationId xmlns:a16="http://schemas.microsoft.com/office/drawing/2014/main" xmlns="" id="{5406693F-CA83-446E-B71B-FE2F93083C87}"/>
            </a:ext>
          </a:extLst>
        </xdr:cNvPr>
        <xdr:cNvPicPr>
          <a:picLocks noChangeAspect="1"/>
        </xdr:cNvPicPr>
      </xdr:nvPicPr>
      <xdr:blipFill>
        <a:blip xmlns:r="http://schemas.openxmlformats.org/officeDocument/2006/relationships" r:embed="rId1"/>
        <a:stretch>
          <a:fillRect/>
        </a:stretch>
      </xdr:blipFill>
      <xdr:spPr>
        <a:xfrm>
          <a:off x="11141039" y="374578"/>
          <a:ext cx="866774" cy="31432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B3:BV16"/>
  <sheetViews>
    <sheetView workbookViewId="0">
      <pane xSplit="4" ySplit="3" topLeftCell="E4" activePane="bottomRight" state="frozen"/>
      <selection pane="topRight" activeCell="E1" sqref="E1"/>
      <selection pane="bottomLeft" activeCell="A4" sqref="A4"/>
      <selection pane="bottomRight" activeCell="A3" sqref="A3"/>
    </sheetView>
  </sheetViews>
  <sheetFormatPr defaultRowHeight="14.4" x14ac:dyDescent="0.3"/>
  <cols>
    <col min="2" max="2" width="28.5546875" bestFit="1" customWidth="1"/>
    <col min="3" max="3" width="11.88671875" bestFit="1" customWidth="1"/>
    <col min="4" max="4" width="39.33203125" style="227" customWidth="1"/>
    <col min="49" max="52" width="9.109375" style="23"/>
    <col min="72" max="72" width="15.88671875" bestFit="1" customWidth="1"/>
    <col min="73" max="73" width="33.44140625" customWidth="1"/>
  </cols>
  <sheetData>
    <row r="3" spans="2:74" ht="55.2" x14ac:dyDescent="0.3">
      <c r="B3" s="219" t="s">
        <v>19</v>
      </c>
      <c r="C3" s="219" t="s">
        <v>649</v>
      </c>
      <c r="D3" s="220" t="s">
        <v>616</v>
      </c>
      <c r="E3" s="219">
        <v>4</v>
      </c>
      <c r="F3" s="219">
        <v>4.0999999999999996</v>
      </c>
      <c r="G3" s="219">
        <v>4.2</v>
      </c>
      <c r="H3" s="219">
        <v>4.3</v>
      </c>
      <c r="I3" s="219">
        <v>4.4000000000000004</v>
      </c>
      <c r="J3" s="219">
        <v>5</v>
      </c>
      <c r="K3" s="219">
        <v>5.0999999999999996</v>
      </c>
      <c r="L3" s="219">
        <v>5.2</v>
      </c>
      <c r="M3" s="219" t="s">
        <v>617</v>
      </c>
      <c r="N3" s="219" t="s">
        <v>618</v>
      </c>
      <c r="O3" s="219" t="s">
        <v>637</v>
      </c>
      <c r="P3" s="219">
        <v>5.3</v>
      </c>
      <c r="Q3" s="219">
        <v>6</v>
      </c>
      <c r="R3" s="219">
        <v>6.1</v>
      </c>
      <c r="S3" s="219">
        <v>6.2</v>
      </c>
      <c r="T3" s="219" t="s">
        <v>638</v>
      </c>
      <c r="U3" s="219" t="s">
        <v>639</v>
      </c>
      <c r="V3" s="219">
        <v>6.3</v>
      </c>
      <c r="W3" s="219">
        <v>7</v>
      </c>
      <c r="X3" s="219">
        <v>7.1</v>
      </c>
      <c r="Y3" s="219">
        <v>7.2</v>
      </c>
      <c r="Z3" s="219">
        <v>7.3</v>
      </c>
      <c r="AA3" s="219">
        <v>7.4</v>
      </c>
      <c r="AB3" s="219">
        <v>7.5</v>
      </c>
      <c r="AC3" s="219" t="s">
        <v>619</v>
      </c>
      <c r="AD3" s="219" t="s">
        <v>620</v>
      </c>
      <c r="AE3" s="219" t="s">
        <v>621</v>
      </c>
      <c r="AF3" s="219" t="s">
        <v>640</v>
      </c>
      <c r="AG3" s="219">
        <v>7.6</v>
      </c>
      <c r="AH3" s="219">
        <v>8</v>
      </c>
      <c r="AI3" s="219">
        <v>8.1</v>
      </c>
      <c r="AJ3" s="219">
        <v>8.1999999999999993</v>
      </c>
      <c r="AK3" s="219" t="s">
        <v>622</v>
      </c>
      <c r="AL3" s="219" t="s">
        <v>623</v>
      </c>
      <c r="AM3" s="219" t="s">
        <v>624</v>
      </c>
      <c r="AN3" s="219" t="s">
        <v>625</v>
      </c>
      <c r="AO3" s="219" t="s">
        <v>641</v>
      </c>
      <c r="AP3" s="219" t="s">
        <v>642</v>
      </c>
      <c r="AQ3" s="219">
        <v>8.3000000000000007</v>
      </c>
      <c r="AR3" s="219" t="s">
        <v>626</v>
      </c>
      <c r="AS3" s="219" t="s">
        <v>627</v>
      </c>
      <c r="AT3" s="219" t="s">
        <v>628</v>
      </c>
      <c r="AU3" s="219" t="s">
        <v>629</v>
      </c>
      <c r="AV3" s="219">
        <v>8.4</v>
      </c>
      <c r="AW3" s="219" t="s">
        <v>653</v>
      </c>
      <c r="AX3" s="219" t="s">
        <v>654</v>
      </c>
      <c r="AY3" s="219" t="s">
        <v>655</v>
      </c>
      <c r="AZ3" s="219">
        <v>8.5</v>
      </c>
      <c r="BA3" s="219" t="s">
        <v>630</v>
      </c>
      <c r="BB3" s="219" t="s">
        <v>631</v>
      </c>
      <c r="BC3" s="219" t="s">
        <v>632</v>
      </c>
      <c r="BD3" s="219">
        <v>8.6</v>
      </c>
      <c r="BE3" s="219" t="s">
        <v>643</v>
      </c>
      <c r="BF3" s="219" t="s">
        <v>644</v>
      </c>
      <c r="BG3" s="219" t="s">
        <v>645</v>
      </c>
      <c r="BH3" s="219">
        <v>8.6999999999999993</v>
      </c>
      <c r="BI3" s="219" t="s">
        <v>646</v>
      </c>
      <c r="BJ3" s="219" t="s">
        <v>647</v>
      </c>
      <c r="BK3" s="219" t="s">
        <v>648</v>
      </c>
      <c r="BL3" s="219">
        <v>9</v>
      </c>
      <c r="BM3" s="219">
        <v>9.1</v>
      </c>
      <c r="BN3" s="219">
        <v>9.1999999999999993</v>
      </c>
      <c r="BO3" s="219">
        <v>9.3000000000000007</v>
      </c>
      <c r="BP3" s="219">
        <v>9.4</v>
      </c>
      <c r="BQ3" s="219">
        <v>10</v>
      </c>
      <c r="BR3" s="219">
        <v>10.1</v>
      </c>
      <c r="BS3" s="219">
        <v>10.199999999999999</v>
      </c>
      <c r="BT3" s="219" t="s">
        <v>633</v>
      </c>
      <c r="BU3" s="219" t="s">
        <v>634</v>
      </c>
      <c r="BV3" s="220" t="s">
        <v>635</v>
      </c>
    </row>
    <row r="4" spans="2:74" ht="27.6" x14ac:dyDescent="0.3">
      <c r="B4" s="229" t="s">
        <v>421</v>
      </c>
      <c r="C4" s="222">
        <v>1</v>
      </c>
      <c r="D4" s="223" t="s">
        <v>446</v>
      </c>
      <c r="E4" s="224"/>
      <c r="F4" s="224" t="s">
        <v>636</v>
      </c>
      <c r="G4" s="224" t="s">
        <v>636</v>
      </c>
      <c r="H4" s="224" t="s">
        <v>636</v>
      </c>
      <c r="I4" s="224" t="s">
        <v>636</v>
      </c>
      <c r="J4" s="224"/>
      <c r="K4" s="224"/>
      <c r="L4" s="224"/>
      <c r="M4" s="224"/>
      <c r="N4" s="224"/>
      <c r="O4" s="224"/>
      <c r="P4" s="224"/>
      <c r="Q4" s="224"/>
      <c r="R4" s="224" t="s">
        <v>636</v>
      </c>
      <c r="S4" s="224" t="s">
        <v>636</v>
      </c>
      <c r="T4" s="224" t="s">
        <v>636</v>
      </c>
      <c r="U4" s="224" t="s">
        <v>636</v>
      </c>
      <c r="V4" s="224" t="s">
        <v>636</v>
      </c>
      <c r="W4" s="224"/>
      <c r="X4" s="224" t="s">
        <v>636</v>
      </c>
      <c r="Y4" s="224"/>
      <c r="Z4" s="224"/>
      <c r="AA4" s="224"/>
      <c r="AB4" s="224"/>
      <c r="AC4" s="224" t="s">
        <v>636</v>
      </c>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f t="shared" ref="BT4:BT16" si="0">COUNTIF(E4:BS4,"Y")</f>
        <v>11</v>
      </c>
      <c r="BU4" s="221" t="str">
        <f>IF(E4="Y",$E$3,"")&amp;IF(F4="Y","; "&amp;$F$3,"")&amp;IF(G4="Y","; "&amp;$G$3,"")&amp;IF(H4="Y","; "&amp;$H$3,"")&amp;IF(I4="Y","; "&amp;$I$3,"")&amp;IF(J4="Y","; "&amp;$J$3,"")&amp;IF(K4="Y","; "&amp;$K$3,"")&amp;IF(L4="Y","; "&amp;$L$3,"")&amp;IF(M4="Y","; "&amp;$M$3,"")&amp;IF(N4="Y","; "&amp;$N$3,"")&amp;IF(O4="Y","; "&amp;$O$3,"")&amp;IF(P4="Y","; "&amp;$P$3,"")&amp;IF(Q4="Y","; "&amp;$Q$3,"")&amp;IF(R4="Y","; "&amp;$R$3,"")&amp;IF(S4="Y","; "&amp;$S$3,"")&amp;IF(T4="Y","; "&amp;$T$3,"")&amp;IF(U4="Y","; "&amp;$U$3,"")&amp;IF(V4="Y","; "&amp;$V$3,"")&amp;IF(W4="Y","; "&amp;$W$3,"")&amp;IF(X4="Y","; "&amp;$X$3,"")&amp;IF(Y4="Y","; "&amp;$Y$3,"")&amp;IF(Z4="Y","; "&amp;$Z$3,"")&amp;IF(AA4="Y","; "&amp;$AA$3,"")&amp;IF(AB4="Y","; "&amp;$AB$3,"")&amp;IF(AC4="Y","; "&amp;$AC$3,"")&amp;IF(AD4="Y","; "&amp;$AD$3,"")&amp;IF(AE4="Y","; "&amp;$AE$3,"")&amp;IF(AF4="Y","; "&amp;$AF$3,"")&amp;IF(AG4="Y","; "&amp;$AG$3,"")&amp;IF(AH4="Y","; "&amp;$AH$3,"")&amp;IF(AI4="Y","; "&amp;$AI$3,"")&amp;IF(AJ4="Y","; "&amp;$AJ$3,"")&amp;IF(AK4="Y","; "&amp;$AK$3,"")&amp;IF(AL4="Y","; "&amp;$AL$3,"")&amp;IF(AM4="Y","; "&amp;$AM$3,"")&amp;IF(AN4="Y","; "&amp;$AN$3,"")&amp;IF(AO4="Y","; "&amp;$AO$3,"")&amp;IF(AP4="Y","; "&amp;$AP$3,"")&amp;IF(AQ4="Y","; "&amp;$AQ$3,"")&amp;IF(AR4="Y","; "&amp;$AR$3,"")&amp;IF(AS4="Y","; "&amp;$AS$3,"")&amp;IF(AT4="Y","; "&amp;$AT$3,"")&amp;IF(AU4="Y","; "&amp;$AU$3,"")&amp;IF(AV4="Y","; "&amp;$AV$3,"")&amp;IF(AW4="Y","; "&amp;$AW$3,"")&amp;IF(AX4="Y","; "&amp;$AX$3,"")&amp;IF(AY4="Y","; "&amp;$AY$3,"")&amp;IF(AZ4="Y","; "&amp;$AZ$3,"")&amp;IF(BA4="Y","; "&amp;$BA$3,"")&amp;IF(BB4="Y","; "&amp;$BB$3,"")&amp;IF(BC4="Y","; "&amp;$BC$3,"")&amp;IF(BD4="Y","; "&amp;$BD$3,"")&amp;IF(BE4="Y","; "&amp;$BE$3,"")&amp;IF(BF4="Y","; "&amp;$BF$3,"")&amp;IF(BG4="Y","; "&amp;$BG$3,"")&amp;IF(BH4="Y","; "&amp;$BH$3,"")&amp;IF(BI4="Y","; "&amp;$BI$3,"")&amp;IF(BJ4="Y","; "&amp;$BJ$3,"")&amp;IF(BK4="Y","; "&amp;$BK$3,"")&amp;IF(BL4="Y","; "&amp;$BL$3,"")&amp;IF(BM4="Y","; "&amp;$BM$3,"")&amp;IF(BN4="Y","; "&amp;$BN$3,"")&amp;IF(BO4="Y","; "&amp;$BO$3,"")&amp;IF(BP4="Y","; "&amp;$BP$3,"")&amp;IF(BQ4="Y","; "&amp;$BQ$3,"")&amp;IF(BR4="Y","; "&amp;$BR$3,"")&amp;IF(BS4="Y","; "&amp;$BS$3,"")</f>
        <v>; 4.1; 4.2; 4.3; 4.4; 6.1; 6.2; 6.2.1; 6.2.2; 6.3; 7.1; 7.5.1</v>
      </c>
      <c r="BV4" s="224"/>
    </row>
    <row r="5" spans="2:74" ht="27.6" x14ac:dyDescent="0.3">
      <c r="B5" s="229" t="s">
        <v>421</v>
      </c>
      <c r="C5" s="222">
        <v>2</v>
      </c>
      <c r="D5" s="225" t="s">
        <v>547</v>
      </c>
      <c r="E5" s="224"/>
      <c r="F5" s="224"/>
      <c r="G5" s="224" t="s">
        <v>636</v>
      </c>
      <c r="H5" s="224"/>
      <c r="I5" s="224"/>
      <c r="J5" s="224"/>
      <c r="K5" s="224" t="s">
        <v>636</v>
      </c>
      <c r="L5" s="224"/>
      <c r="M5" s="224"/>
      <c r="N5" s="224"/>
      <c r="O5" s="224"/>
      <c r="P5" s="224"/>
      <c r="Q5" s="224"/>
      <c r="R5" s="224"/>
      <c r="S5" s="224"/>
      <c r="T5" s="224"/>
      <c r="U5" s="224"/>
      <c r="V5" s="224"/>
      <c r="W5" s="224"/>
      <c r="X5" s="224" t="s">
        <v>636</v>
      </c>
      <c r="Y5" s="224" t="s">
        <v>636</v>
      </c>
      <c r="Z5" s="224" t="s">
        <v>636</v>
      </c>
      <c r="AA5" s="224" t="s">
        <v>636</v>
      </c>
      <c r="AB5" s="224" t="s">
        <v>636</v>
      </c>
      <c r="AC5" s="224" t="s">
        <v>636</v>
      </c>
      <c r="AD5" s="224" t="s">
        <v>636</v>
      </c>
      <c r="AE5" s="224" t="s">
        <v>636</v>
      </c>
      <c r="AF5" s="224" t="s">
        <v>636</v>
      </c>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4"/>
      <c r="BH5" s="224"/>
      <c r="BI5" s="224"/>
      <c r="BJ5" s="224"/>
      <c r="BK5" s="224"/>
      <c r="BL5" s="224"/>
      <c r="BM5" s="224"/>
      <c r="BN5" s="224"/>
      <c r="BO5" s="224"/>
      <c r="BP5" s="224"/>
      <c r="BQ5" s="224"/>
      <c r="BR5" s="224"/>
      <c r="BS5" s="224"/>
      <c r="BT5" s="224">
        <f t="shared" si="0"/>
        <v>11</v>
      </c>
      <c r="BU5" s="221" t="str">
        <f t="shared" ref="BU5:BU16" si="1">IF(E5="Y",$E$3,"")&amp;IF(F5="Y","; "&amp;$F$3,"")&amp;IF(G5="Y","; "&amp;$G$3,"")&amp;IF(H5="Y","; "&amp;$H$3,"")&amp;IF(I5="Y","; "&amp;$I$3,"")&amp;IF(J5="Y","; "&amp;$J$3,"")&amp;IF(K5="Y","; "&amp;$K$3,"")&amp;IF(L5="Y","; "&amp;$L$3,"")&amp;IF(M5="Y","; "&amp;$M$3,"")&amp;IF(N5="Y","; "&amp;$N$3,"")&amp;IF(O5="Y","; "&amp;$O$3,"")&amp;IF(P5="Y","; "&amp;$P$3,"")&amp;IF(Q5="Y","; "&amp;$Q$3,"")&amp;IF(R5="Y","; "&amp;$R$3,"")&amp;IF(S5="Y","; "&amp;$S$3,"")&amp;IF(T5="Y","; "&amp;$T$3,"")&amp;IF(U5="Y","; "&amp;$U$3,"")&amp;IF(V5="Y","; "&amp;$V$3,"")&amp;IF(W5="Y","; "&amp;$W$3,"")&amp;IF(X5="Y","; "&amp;$X$3,"")&amp;IF(Y5="Y","; "&amp;$Y$3,"")&amp;IF(Z5="Y","; "&amp;$Z$3,"")&amp;IF(AA5="Y","; "&amp;$AA$3,"")&amp;IF(AB5="Y","; "&amp;$AB$3,"")&amp;IF(AC5="Y","; "&amp;$AC$3,"")&amp;IF(AD5="Y","; "&amp;$AD$3,"")&amp;IF(AE5="Y","; "&amp;$AE$3,"")&amp;IF(AF5="Y","; "&amp;$AF$3,"")&amp;IF(AG5="Y","; "&amp;$AG$3,"")&amp;IF(AH5="Y","; "&amp;$AH$3,"")&amp;IF(AI5="Y","; "&amp;$AI$3,"")&amp;IF(AJ5="Y","; "&amp;$AJ$3,"")&amp;IF(AK5="Y","; "&amp;$AK$3,"")&amp;IF(AL5="Y","; "&amp;$AL$3,"")&amp;IF(AM5="Y","; "&amp;$AM$3,"")&amp;IF(AN5="Y","; "&amp;$AN$3,"")&amp;IF(AO5="Y","; "&amp;$AO$3,"")&amp;IF(AP5="Y","; "&amp;$AP$3,"")&amp;IF(AQ5="Y","; "&amp;$AQ$3,"")&amp;IF(AR5="Y","; "&amp;$AR$3,"")&amp;IF(AS5="Y","; "&amp;$AS$3,"")&amp;IF(AT5="Y","; "&amp;$AT$3,"")&amp;IF(AU5="Y","; "&amp;$AU$3,"")&amp;IF(AV5="Y","; "&amp;$AV$3,"")&amp;IF(AW5="Y","; "&amp;$AW$3,"")&amp;IF(AX5="Y","; "&amp;$AX$3,"")&amp;IF(AY5="Y","; "&amp;$AY$3,"")&amp;IF(AZ5="Y","; "&amp;$AZ$3,"")&amp;IF(BA5="Y","; "&amp;$BA$3,"")&amp;IF(BB5="Y","; "&amp;$BB$3,"")&amp;IF(BC5="Y","; "&amp;$BC$3,"")&amp;IF(BD5="Y","; "&amp;$BD$3,"")&amp;IF(BE5="Y","; "&amp;$BE$3,"")&amp;IF(BF5="Y","; "&amp;$BF$3,"")&amp;IF(BG5="Y","; "&amp;$BG$3,"")&amp;IF(BH5="Y","; "&amp;$BH$3,"")&amp;IF(BI5="Y","; "&amp;$BI$3,"")&amp;IF(BJ5="Y","; "&amp;$BJ$3,"")&amp;IF(BK5="Y","; "&amp;$BK$3,"")&amp;IF(BL5="Y","; "&amp;$BL$3,"")&amp;IF(BM5="Y","; "&amp;$BM$3,"")&amp;IF(BN5="Y","; "&amp;$BN$3,"")&amp;IF(BO5="Y","; "&amp;$BO$3,"")&amp;IF(BP5="Y","; "&amp;$BP$3,"")&amp;IF(BQ5="Y","; "&amp;$BQ$3,"")&amp;IF(BR5="Y","; "&amp;$BR$3,"")&amp;IF(BS5="Y","; "&amp;$BS$3,"")</f>
        <v>; 4.2; 5.1; 7.1; 7.2; 7.3; 7.4; 7.5; 7.5.1; 7.5.2; 7.5.3; 7.5.4</v>
      </c>
      <c r="BV5" s="224"/>
    </row>
    <row r="6" spans="2:74" s="23" customFormat="1" ht="27.6" x14ac:dyDescent="0.3">
      <c r="B6" s="229" t="s">
        <v>421</v>
      </c>
      <c r="C6" s="222">
        <v>3</v>
      </c>
      <c r="D6" s="225" t="s">
        <v>659</v>
      </c>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4"/>
      <c r="AI6" s="224"/>
      <c r="AJ6" s="224"/>
      <c r="AK6" s="224"/>
      <c r="AL6" s="224"/>
      <c r="AM6" s="224"/>
      <c r="AN6" s="224"/>
      <c r="AO6" s="224"/>
      <c r="AP6" s="224"/>
      <c r="AQ6" s="224"/>
      <c r="AR6" s="224"/>
      <c r="AS6" s="224"/>
      <c r="AT6" s="224"/>
      <c r="AU6" s="224"/>
      <c r="AV6" s="224"/>
      <c r="AW6" s="224"/>
      <c r="AX6" s="224"/>
      <c r="AY6" s="224"/>
      <c r="AZ6" s="224"/>
      <c r="BA6" s="224"/>
      <c r="BB6" s="224"/>
      <c r="BC6" s="224"/>
      <c r="BD6" s="224"/>
      <c r="BE6" s="224"/>
      <c r="BF6" s="224"/>
      <c r="BG6" s="224"/>
      <c r="BH6" s="224"/>
      <c r="BI6" s="224"/>
      <c r="BJ6" s="224"/>
      <c r="BK6" s="224" t="s">
        <v>636</v>
      </c>
      <c r="BL6" s="224"/>
      <c r="BM6" s="224"/>
      <c r="BN6" s="224"/>
      <c r="BO6" s="224" t="s">
        <v>636</v>
      </c>
      <c r="BP6" s="224"/>
      <c r="BQ6" s="224"/>
      <c r="BR6" s="224"/>
      <c r="BS6" s="224"/>
      <c r="BT6" s="224">
        <f t="shared" ref="BT6" si="2">COUNTIF(E6:BS6,"Y")</f>
        <v>2</v>
      </c>
      <c r="BU6" s="221" t="str">
        <f t="shared" ref="BU6" si="3">IF(E6="Y",$E$3,"")&amp;IF(F6="Y","; "&amp;$F$3,"")&amp;IF(G6="Y","; "&amp;$G$3,"")&amp;IF(H6="Y","; "&amp;$H$3,"")&amp;IF(I6="Y","; "&amp;$I$3,"")&amp;IF(J6="Y","; "&amp;$J$3,"")&amp;IF(K6="Y","; "&amp;$K$3,"")&amp;IF(L6="Y","; "&amp;$L$3,"")&amp;IF(M6="Y","; "&amp;$M$3,"")&amp;IF(N6="Y","; "&amp;$N$3,"")&amp;IF(O6="Y","; "&amp;$O$3,"")&amp;IF(P6="Y","; "&amp;$P$3,"")&amp;IF(Q6="Y","; "&amp;$Q$3,"")&amp;IF(R6="Y","; "&amp;$R$3,"")&amp;IF(S6="Y","; "&amp;$S$3,"")&amp;IF(T6="Y","; "&amp;$T$3,"")&amp;IF(U6="Y","; "&amp;$U$3,"")&amp;IF(V6="Y","; "&amp;$V$3,"")&amp;IF(W6="Y","; "&amp;$W$3,"")&amp;IF(X6="Y","; "&amp;$X$3,"")&amp;IF(Y6="Y","; "&amp;$Y$3,"")&amp;IF(Z6="Y","; "&amp;$Z$3,"")&amp;IF(AA6="Y","; "&amp;$AA$3,"")&amp;IF(AB6="Y","; "&amp;$AB$3,"")&amp;IF(AC6="Y","; "&amp;$AC$3,"")&amp;IF(AD6="Y","; "&amp;$AD$3,"")&amp;IF(AE6="Y","; "&amp;$AE$3,"")&amp;IF(AF6="Y","; "&amp;$AF$3,"")&amp;IF(AG6="Y","; "&amp;$AG$3,"")&amp;IF(AH6="Y","; "&amp;$AH$3,"")&amp;IF(AI6="Y","; "&amp;$AI$3,"")&amp;IF(AJ6="Y","; "&amp;$AJ$3,"")&amp;IF(AK6="Y","; "&amp;$AK$3,"")&amp;IF(AL6="Y","; "&amp;$AL$3,"")&amp;IF(AM6="Y","; "&amp;$AM$3,"")&amp;IF(AN6="Y","; "&amp;$AN$3,"")&amp;IF(AO6="Y","; "&amp;$AO$3,"")&amp;IF(AP6="Y","; "&amp;$AP$3,"")&amp;IF(AQ6="Y","; "&amp;$AQ$3,"")&amp;IF(AR6="Y","; "&amp;$AR$3,"")&amp;IF(AS6="Y","; "&amp;$AS$3,"")&amp;IF(AT6="Y","; "&amp;$AT$3,"")&amp;IF(AU6="Y","; "&amp;$AU$3,"")&amp;IF(AV6="Y","; "&amp;$AV$3,"")&amp;IF(AW6="Y","; "&amp;$AW$3,"")&amp;IF(AX6="Y","; "&amp;$AX$3,"")&amp;IF(AY6="Y","; "&amp;$AY$3,"")&amp;IF(AZ6="Y","; "&amp;$AZ$3,"")&amp;IF(BA6="Y","; "&amp;$BA$3,"")&amp;IF(BB6="Y","; "&amp;$BB$3,"")&amp;IF(BC6="Y","; "&amp;$BC$3,"")&amp;IF(BD6="Y","; "&amp;$BD$3,"")&amp;IF(BE6="Y","; "&amp;$BE$3,"")&amp;IF(BF6="Y","; "&amp;$BF$3,"")&amp;IF(BG6="Y","; "&amp;$BG$3,"")&amp;IF(BH6="Y","; "&amp;$BH$3,"")&amp;IF(BI6="Y","; "&amp;$BI$3,"")&amp;IF(BJ6="Y","; "&amp;$BJ$3,"")&amp;IF(BK6="Y","; "&amp;$BK$3,"")&amp;IF(BL6="Y","; "&amp;$BL$3,"")&amp;IF(BM6="Y","; "&amp;$BM$3,"")&amp;IF(BN6="Y","; "&amp;$BN$3,"")&amp;IF(BO6="Y","; "&amp;$BO$3,"")&amp;IF(BP6="Y","; "&amp;$BP$3,"")&amp;IF(BQ6="Y","; "&amp;$BQ$3,"")&amp;IF(BR6="Y","; "&amp;$BR$3,"")&amp;IF(BS6="Y","; "&amp;$BS$3,"")</f>
        <v>; 8.7.3; 9.3</v>
      </c>
      <c r="BV6" s="224"/>
    </row>
    <row r="7" spans="2:74" ht="55.2" x14ac:dyDescent="0.3">
      <c r="B7" s="229" t="s">
        <v>421</v>
      </c>
      <c r="C7" s="222">
        <v>4</v>
      </c>
      <c r="D7" s="223" t="s">
        <v>430</v>
      </c>
      <c r="E7" s="224"/>
      <c r="F7" s="224"/>
      <c r="G7" s="224"/>
      <c r="H7" s="224"/>
      <c r="I7" s="224"/>
      <c r="J7" s="224"/>
      <c r="K7" s="224" t="s">
        <v>636</v>
      </c>
      <c r="L7" s="224"/>
      <c r="M7" s="224"/>
      <c r="N7" s="224"/>
      <c r="O7" s="224"/>
      <c r="P7" s="224"/>
      <c r="Q7" s="224"/>
      <c r="R7" s="224"/>
      <c r="S7" s="224"/>
      <c r="T7" s="224"/>
      <c r="U7" s="224"/>
      <c r="V7" s="224"/>
      <c r="W7" s="224"/>
      <c r="X7" s="224"/>
      <c r="Y7" s="224"/>
      <c r="Z7" s="224"/>
      <c r="AA7" s="224"/>
      <c r="AB7" s="224"/>
      <c r="AC7" s="224"/>
      <c r="AD7" s="224"/>
      <c r="AE7" s="224"/>
      <c r="AF7" s="224"/>
      <c r="AG7" s="224"/>
      <c r="AH7" s="224"/>
      <c r="AI7" s="224"/>
      <c r="AJ7" s="224"/>
      <c r="AK7" s="224"/>
      <c r="AL7" s="224"/>
      <c r="AM7" s="224"/>
      <c r="AN7" s="224"/>
      <c r="AO7" s="224"/>
      <c r="AP7" s="224"/>
      <c r="AQ7" s="224"/>
      <c r="AR7" s="224"/>
      <c r="AS7" s="224"/>
      <c r="AT7" s="224"/>
      <c r="AU7" s="224"/>
      <c r="AV7" s="224"/>
      <c r="AW7" s="224"/>
      <c r="AX7" s="224"/>
      <c r="AY7" s="224"/>
      <c r="AZ7" s="224"/>
      <c r="BA7" s="224"/>
      <c r="BB7" s="224"/>
      <c r="BC7" s="224"/>
      <c r="BD7" s="224"/>
      <c r="BE7" s="224"/>
      <c r="BF7" s="224"/>
      <c r="BG7" s="224"/>
      <c r="BH7" s="224"/>
      <c r="BI7" s="224"/>
      <c r="BJ7" s="224"/>
      <c r="BK7" s="224"/>
      <c r="BL7" s="224"/>
      <c r="BM7" s="224" t="s">
        <v>636</v>
      </c>
      <c r="BN7" s="224" t="s">
        <v>636</v>
      </c>
      <c r="BO7" s="224" t="s">
        <v>636</v>
      </c>
      <c r="BP7" s="224" t="s">
        <v>636</v>
      </c>
      <c r="BQ7" s="224"/>
      <c r="BR7" s="224"/>
      <c r="BS7" s="224"/>
      <c r="BT7" s="224">
        <f t="shared" si="0"/>
        <v>5</v>
      </c>
      <c r="BU7" s="221" t="str">
        <f t="shared" si="1"/>
        <v>; 5.1; 9.1; 9.2; 9.3; 9.4</v>
      </c>
      <c r="BV7" s="224"/>
    </row>
    <row r="8" spans="2:74" ht="27.6" x14ac:dyDescent="0.3">
      <c r="B8" s="229" t="s">
        <v>421</v>
      </c>
      <c r="C8" s="222">
        <v>5</v>
      </c>
      <c r="D8" s="223" t="s">
        <v>545</v>
      </c>
      <c r="E8" s="224"/>
      <c r="F8" s="224"/>
      <c r="G8" s="224"/>
      <c r="H8" s="224"/>
      <c r="I8" s="224"/>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224"/>
      <c r="AI8" s="224"/>
      <c r="AJ8" s="224"/>
      <c r="AK8" s="224"/>
      <c r="AL8" s="224"/>
      <c r="AM8" s="224"/>
      <c r="AN8" s="224"/>
      <c r="AO8" s="224"/>
      <c r="AP8" s="224"/>
      <c r="AQ8" s="224"/>
      <c r="AR8" s="224"/>
      <c r="AS8" s="224"/>
      <c r="AT8" s="224"/>
      <c r="AU8" s="224"/>
      <c r="AV8" s="224"/>
      <c r="AW8" s="224"/>
      <c r="AX8" s="224"/>
      <c r="AY8" s="224"/>
      <c r="AZ8" s="224"/>
      <c r="BA8" s="224"/>
      <c r="BB8" s="224"/>
      <c r="BC8" s="224"/>
      <c r="BD8" s="224"/>
      <c r="BE8" s="224"/>
      <c r="BF8" s="224"/>
      <c r="BG8" s="224"/>
      <c r="BH8" s="224"/>
      <c r="BI8" s="224"/>
      <c r="BJ8" s="224"/>
      <c r="BK8" s="224"/>
      <c r="BL8" s="224"/>
      <c r="BM8" s="224"/>
      <c r="BN8" s="224"/>
      <c r="BO8" s="224"/>
      <c r="BP8" s="224"/>
      <c r="BQ8" s="224"/>
      <c r="BR8" s="224"/>
      <c r="BS8" s="224" t="s">
        <v>636</v>
      </c>
      <c r="BT8" s="224">
        <f t="shared" si="0"/>
        <v>1</v>
      </c>
      <c r="BU8" s="221" t="str">
        <f t="shared" si="1"/>
        <v>; 10.2</v>
      </c>
      <c r="BV8" s="224"/>
    </row>
    <row r="9" spans="2:74" x14ac:dyDescent="0.3">
      <c r="B9" s="229" t="s">
        <v>433</v>
      </c>
      <c r="C9" s="222">
        <v>6</v>
      </c>
      <c r="D9" s="226" t="s">
        <v>541</v>
      </c>
      <c r="E9" s="224"/>
      <c r="F9" s="224"/>
      <c r="G9" s="224"/>
      <c r="H9" s="224"/>
      <c r="I9" s="224"/>
      <c r="J9" s="224"/>
      <c r="K9" s="224"/>
      <c r="L9" s="224"/>
      <c r="M9" s="224"/>
      <c r="N9" s="224"/>
      <c r="O9" s="224"/>
      <c r="P9" s="224"/>
      <c r="Q9" s="224"/>
      <c r="R9" s="224"/>
      <c r="S9" s="224"/>
      <c r="T9" s="224"/>
      <c r="U9" s="224"/>
      <c r="V9" s="224"/>
      <c r="W9" s="224"/>
      <c r="X9" s="224"/>
      <c r="Y9" s="224"/>
      <c r="Z9" s="224"/>
      <c r="AA9" s="224"/>
      <c r="AB9" s="224"/>
      <c r="AC9" s="224"/>
      <c r="AD9" s="224"/>
      <c r="AE9" s="224"/>
      <c r="AF9" s="224"/>
      <c r="AG9" s="224"/>
      <c r="AH9" s="224"/>
      <c r="AI9" s="224"/>
      <c r="AJ9" s="224"/>
      <c r="AK9" s="224"/>
      <c r="AL9" s="224"/>
      <c r="AM9" s="224"/>
      <c r="AN9" s="224"/>
      <c r="AO9" s="224"/>
      <c r="AP9" s="224"/>
      <c r="AQ9" s="224"/>
      <c r="AR9" s="224"/>
      <c r="AS9" s="224"/>
      <c r="AT9" s="224"/>
      <c r="AU9" s="224"/>
      <c r="AV9" s="224"/>
      <c r="AW9" s="224"/>
      <c r="AX9" s="224"/>
      <c r="AY9" s="224"/>
      <c r="AZ9" s="224"/>
      <c r="BA9" s="224"/>
      <c r="BB9" s="224"/>
      <c r="BC9" s="224"/>
      <c r="BD9" s="224"/>
      <c r="BE9" s="224"/>
      <c r="BF9" s="224"/>
      <c r="BG9" s="224"/>
      <c r="BH9" s="224"/>
      <c r="BI9" s="224"/>
      <c r="BJ9" s="224"/>
      <c r="BK9" s="224"/>
      <c r="BL9" s="224"/>
      <c r="BM9" s="224" t="s">
        <v>636</v>
      </c>
      <c r="BN9" s="224" t="s">
        <v>636</v>
      </c>
      <c r="BO9" s="224" t="s">
        <v>636</v>
      </c>
      <c r="BP9" s="224" t="s">
        <v>636</v>
      </c>
      <c r="BQ9" s="224"/>
      <c r="BR9" s="224"/>
      <c r="BS9" s="224"/>
      <c r="BT9" s="224">
        <f t="shared" si="0"/>
        <v>4</v>
      </c>
      <c r="BU9" s="221" t="str">
        <f t="shared" si="1"/>
        <v>; 9.1; 9.2; 9.3; 9.4</v>
      </c>
      <c r="BV9" s="224"/>
    </row>
    <row r="10" spans="2:74" x14ac:dyDescent="0.3">
      <c r="B10" s="229" t="s">
        <v>433</v>
      </c>
      <c r="C10" s="222">
        <v>7</v>
      </c>
      <c r="D10" s="223" t="s">
        <v>542</v>
      </c>
      <c r="E10" s="224"/>
      <c r="F10" s="224"/>
      <c r="G10" s="224"/>
      <c r="H10" s="224"/>
      <c r="I10" s="224"/>
      <c r="J10" s="224"/>
      <c r="K10" s="224"/>
      <c r="L10" s="224"/>
      <c r="M10" s="224"/>
      <c r="N10" s="224"/>
      <c r="O10" s="224"/>
      <c r="P10" s="224"/>
      <c r="Q10" s="224"/>
      <c r="R10" s="224"/>
      <c r="S10" s="224" t="s">
        <v>636</v>
      </c>
      <c r="T10" s="224" t="s">
        <v>636</v>
      </c>
      <c r="U10" s="224" t="s">
        <v>636</v>
      </c>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224"/>
      <c r="BJ10" s="224"/>
      <c r="BK10" s="224"/>
      <c r="BL10" s="224"/>
      <c r="BM10" s="224" t="s">
        <v>636</v>
      </c>
      <c r="BN10" s="224" t="s">
        <v>636</v>
      </c>
      <c r="BO10" s="224" t="s">
        <v>636</v>
      </c>
      <c r="BP10" s="224" t="s">
        <v>636</v>
      </c>
      <c r="BQ10" s="224"/>
      <c r="BR10" s="224"/>
      <c r="BS10" s="224"/>
      <c r="BT10" s="224">
        <f t="shared" si="0"/>
        <v>7</v>
      </c>
      <c r="BU10" s="221" t="str">
        <f t="shared" si="1"/>
        <v>; 6.2; 6.2.1; 6.2.2; 9.1; 9.2; 9.3; 9.4</v>
      </c>
      <c r="BV10" s="224"/>
    </row>
    <row r="11" spans="2:74" x14ac:dyDescent="0.3">
      <c r="B11" s="229" t="s">
        <v>434</v>
      </c>
      <c r="C11" s="222">
        <v>8</v>
      </c>
      <c r="D11" s="225" t="s">
        <v>543</v>
      </c>
      <c r="E11" s="224"/>
      <c r="F11" s="224"/>
      <c r="G11" s="224"/>
      <c r="H11" s="224"/>
      <c r="I11" s="224"/>
      <c r="J11" s="224"/>
      <c r="K11" s="224"/>
      <c r="L11" s="224"/>
      <c r="M11" s="224"/>
      <c r="N11" s="224"/>
      <c r="O11" s="224"/>
      <c r="P11" s="224"/>
      <c r="Q11" s="224"/>
      <c r="R11" s="224" t="s">
        <v>636</v>
      </c>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t="s">
        <v>636</v>
      </c>
      <c r="BN11" s="224" t="s">
        <v>636</v>
      </c>
      <c r="BO11" s="224" t="s">
        <v>636</v>
      </c>
      <c r="BP11" s="224" t="s">
        <v>636</v>
      </c>
      <c r="BQ11" s="224"/>
      <c r="BR11" s="224"/>
      <c r="BS11" s="224"/>
      <c r="BT11" s="224">
        <f t="shared" si="0"/>
        <v>5</v>
      </c>
      <c r="BU11" s="221" t="str">
        <f t="shared" si="1"/>
        <v>; 6.1; 9.1; 9.2; 9.3; 9.4</v>
      </c>
      <c r="BV11" s="224"/>
    </row>
    <row r="12" spans="2:74" x14ac:dyDescent="0.3">
      <c r="B12" s="229" t="s">
        <v>434</v>
      </c>
      <c r="C12" s="222">
        <v>9</v>
      </c>
      <c r="D12" s="225" t="s">
        <v>650</v>
      </c>
      <c r="E12" s="224"/>
      <c r="F12" s="224"/>
      <c r="G12" s="224"/>
      <c r="H12" s="224"/>
      <c r="I12" s="224"/>
      <c r="J12" s="224"/>
      <c r="K12" s="224"/>
      <c r="L12" s="224"/>
      <c r="M12" s="224"/>
      <c r="N12" s="224"/>
      <c r="O12" s="224"/>
      <c r="P12" s="224"/>
      <c r="Q12" s="224"/>
      <c r="R12" s="224" t="s">
        <v>636</v>
      </c>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c r="BO12" s="224"/>
      <c r="BP12" s="224"/>
      <c r="BQ12" s="224"/>
      <c r="BR12" s="224"/>
      <c r="BS12" s="224"/>
      <c r="BT12" s="224">
        <f t="shared" si="0"/>
        <v>1</v>
      </c>
      <c r="BU12" s="221" t="str">
        <f t="shared" si="1"/>
        <v>; 6.1</v>
      </c>
      <c r="BV12" s="224"/>
    </row>
    <row r="13" spans="2:74" ht="41.4" x14ac:dyDescent="0.3">
      <c r="B13" s="229" t="s">
        <v>435</v>
      </c>
      <c r="C13" s="222">
        <v>10</v>
      </c>
      <c r="D13" s="225" t="s">
        <v>544</v>
      </c>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t="s">
        <v>636</v>
      </c>
      <c r="AP13" s="224" t="s">
        <v>636</v>
      </c>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4"/>
      <c r="BN13" s="224"/>
      <c r="BO13" s="224"/>
      <c r="BP13" s="224"/>
      <c r="BQ13" s="224"/>
      <c r="BR13" s="224"/>
      <c r="BS13" s="224"/>
      <c r="BT13" s="224">
        <f t="shared" si="0"/>
        <v>2</v>
      </c>
      <c r="BU13" s="221" t="str">
        <f t="shared" si="1"/>
        <v>; 8.2.5; 8.2.6</v>
      </c>
      <c r="BV13" s="224"/>
    </row>
    <row r="14" spans="2:74" x14ac:dyDescent="0.3">
      <c r="B14" s="229" t="s">
        <v>435</v>
      </c>
      <c r="C14" s="222">
        <v>11</v>
      </c>
      <c r="D14" s="223" t="s">
        <v>546</v>
      </c>
      <c r="E14" s="224"/>
      <c r="F14" s="224"/>
      <c r="G14" s="224"/>
      <c r="H14" s="224"/>
      <c r="I14" s="224"/>
      <c r="J14" s="224"/>
      <c r="K14" s="224"/>
      <c r="L14" s="224"/>
      <c r="M14" s="224"/>
      <c r="N14" s="224"/>
      <c r="O14" s="224"/>
      <c r="P14" s="224"/>
      <c r="Q14" s="224"/>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c r="BF14" s="224"/>
      <c r="BG14" s="224"/>
      <c r="BH14" s="224"/>
      <c r="BI14" s="224"/>
      <c r="BJ14" s="224"/>
      <c r="BK14" s="224"/>
      <c r="BL14" s="224"/>
      <c r="BM14" s="224"/>
      <c r="BN14" s="224"/>
      <c r="BO14" s="224"/>
      <c r="BP14" s="224"/>
      <c r="BQ14" s="224"/>
      <c r="BR14" s="224"/>
      <c r="BS14" s="224" t="s">
        <v>636</v>
      </c>
      <c r="BT14" s="224">
        <f t="shared" si="0"/>
        <v>1</v>
      </c>
      <c r="BU14" s="221" t="str">
        <f t="shared" si="1"/>
        <v>; 10.2</v>
      </c>
      <c r="BV14" s="224"/>
    </row>
    <row r="15" spans="2:74" x14ac:dyDescent="0.3">
      <c r="B15" s="229" t="s">
        <v>651</v>
      </c>
      <c r="C15" s="222">
        <v>12</v>
      </c>
      <c r="D15" s="223" t="s">
        <v>652</v>
      </c>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4"/>
      <c r="AI15" s="224"/>
      <c r="AJ15" s="224"/>
      <c r="AK15" s="224"/>
      <c r="AL15" s="224"/>
      <c r="AM15" s="224"/>
      <c r="AN15" s="224"/>
      <c r="AO15" s="224"/>
      <c r="AP15" s="224"/>
      <c r="AQ15" s="224"/>
      <c r="AR15" s="224"/>
      <c r="AS15" s="224"/>
      <c r="AT15" s="224"/>
      <c r="AU15" s="224"/>
      <c r="AV15" s="224"/>
      <c r="AW15" s="224"/>
      <c r="AX15" s="224"/>
      <c r="AY15" s="224"/>
      <c r="AZ15" s="224"/>
      <c r="BA15" s="224"/>
      <c r="BB15" s="224"/>
      <c r="BC15" s="224"/>
      <c r="BD15" s="224"/>
      <c r="BE15" s="224"/>
      <c r="BF15" s="224"/>
      <c r="BG15" s="224"/>
      <c r="BH15" s="224"/>
      <c r="BI15" s="224"/>
      <c r="BJ15" s="224" t="s">
        <v>636</v>
      </c>
      <c r="BK15" s="224"/>
      <c r="BL15" s="224"/>
      <c r="BM15" s="224"/>
      <c r="BN15" s="224"/>
      <c r="BO15" s="224"/>
      <c r="BP15" s="224"/>
      <c r="BQ15" s="224"/>
      <c r="BR15" s="224"/>
      <c r="BS15" s="224"/>
      <c r="BT15" s="224">
        <f t="shared" si="0"/>
        <v>1</v>
      </c>
      <c r="BU15" s="221" t="str">
        <f t="shared" si="1"/>
        <v>; 8.7.2</v>
      </c>
      <c r="BV15" s="224"/>
    </row>
    <row r="16" spans="2:74" x14ac:dyDescent="0.3">
      <c r="B16" s="229" t="s">
        <v>651</v>
      </c>
      <c r="C16" s="222">
        <v>13</v>
      </c>
      <c r="D16" s="223" t="s">
        <v>546</v>
      </c>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4"/>
      <c r="AI16" s="224"/>
      <c r="AJ16" s="224"/>
      <c r="AK16" s="224"/>
      <c r="AL16" s="224"/>
      <c r="AM16" s="224"/>
      <c r="AN16" s="224"/>
      <c r="AO16" s="224"/>
      <c r="AP16" s="224"/>
      <c r="AQ16" s="224"/>
      <c r="AR16" s="224"/>
      <c r="AS16" s="224"/>
      <c r="AT16" s="224"/>
      <c r="AU16" s="224"/>
      <c r="AV16" s="224"/>
      <c r="AW16" s="224"/>
      <c r="AX16" s="224"/>
      <c r="AY16" s="224"/>
      <c r="AZ16" s="224"/>
      <c r="BA16" s="224"/>
      <c r="BB16" s="224"/>
      <c r="BC16" s="224"/>
      <c r="BD16" s="224"/>
      <c r="BE16" s="224"/>
      <c r="BF16" s="224"/>
      <c r="BG16" s="224"/>
      <c r="BH16" s="224"/>
      <c r="BI16" s="224"/>
      <c r="BJ16" s="224"/>
      <c r="BK16" s="224"/>
      <c r="BL16" s="224"/>
      <c r="BM16" s="224"/>
      <c r="BN16" s="224"/>
      <c r="BO16" s="224"/>
      <c r="BP16" s="224"/>
      <c r="BQ16" s="224"/>
      <c r="BR16" s="224"/>
      <c r="BS16" s="224" t="s">
        <v>636</v>
      </c>
      <c r="BT16" s="224">
        <f t="shared" si="0"/>
        <v>1</v>
      </c>
      <c r="BU16" s="221" t="str">
        <f t="shared" si="1"/>
        <v>; 10.2</v>
      </c>
      <c r="BV16" s="224"/>
    </row>
  </sheetData>
  <sheetProtection password="DAE1" sheet="1" objects="1" scenarios="1" formatColumns="0" formatRows="0" autoFilter="0"/>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B3:BV99"/>
  <sheetViews>
    <sheetView workbookViewId="0">
      <pane xSplit="4" ySplit="3" topLeftCell="BO4" activePane="bottomRight" state="frozen"/>
      <selection pane="topRight" activeCell="E1" sqref="E1"/>
      <selection pane="bottomLeft" activeCell="A4" sqref="A4"/>
      <selection pane="bottomRight" activeCell="BU42" sqref="BU42"/>
    </sheetView>
  </sheetViews>
  <sheetFormatPr defaultColWidth="9.109375" defaultRowHeight="14.4" x14ac:dyDescent="0.3"/>
  <cols>
    <col min="1" max="1" width="9.109375" style="23"/>
    <col min="2" max="2" width="28.5546875" style="23" bestFit="1" customWidth="1"/>
    <col min="3" max="3" width="11.88671875" style="23" bestFit="1" customWidth="1"/>
    <col min="4" max="4" width="39.33203125" style="227" customWidth="1"/>
    <col min="5" max="71" width="9.109375" style="23"/>
    <col min="72" max="72" width="15.88671875" style="23" bestFit="1" customWidth="1"/>
    <col min="73" max="73" width="33.44140625" style="23" customWidth="1"/>
    <col min="74" max="16384" width="9.109375" style="23"/>
  </cols>
  <sheetData>
    <row r="3" spans="2:74" ht="55.2" x14ac:dyDescent="0.3">
      <c r="B3" s="219" t="s">
        <v>19</v>
      </c>
      <c r="C3" s="219" t="s">
        <v>649</v>
      </c>
      <c r="D3" s="220" t="s">
        <v>616</v>
      </c>
      <c r="E3" s="219">
        <v>4</v>
      </c>
      <c r="F3" s="219">
        <v>4.0999999999999996</v>
      </c>
      <c r="G3" s="219">
        <v>4.2</v>
      </c>
      <c r="H3" s="219">
        <v>4.3</v>
      </c>
      <c r="I3" s="219">
        <v>4.4000000000000004</v>
      </c>
      <c r="J3" s="219">
        <v>5</v>
      </c>
      <c r="K3" s="219">
        <v>5.0999999999999996</v>
      </c>
      <c r="L3" s="219">
        <v>5.2</v>
      </c>
      <c r="M3" s="219" t="s">
        <v>617</v>
      </c>
      <c r="N3" s="219" t="s">
        <v>618</v>
      </c>
      <c r="O3" s="219" t="s">
        <v>637</v>
      </c>
      <c r="P3" s="219">
        <v>5.3</v>
      </c>
      <c r="Q3" s="219">
        <v>6</v>
      </c>
      <c r="R3" s="219">
        <v>6.1</v>
      </c>
      <c r="S3" s="219">
        <v>6.2</v>
      </c>
      <c r="T3" s="219" t="s">
        <v>638</v>
      </c>
      <c r="U3" s="219" t="s">
        <v>639</v>
      </c>
      <c r="V3" s="219">
        <v>6.3</v>
      </c>
      <c r="W3" s="219">
        <v>7</v>
      </c>
      <c r="X3" s="219">
        <v>7.1</v>
      </c>
      <c r="Y3" s="219">
        <v>7.2</v>
      </c>
      <c r="Z3" s="219">
        <v>7.3</v>
      </c>
      <c r="AA3" s="219">
        <v>7.4</v>
      </c>
      <c r="AB3" s="219">
        <v>7.5</v>
      </c>
      <c r="AC3" s="219" t="s">
        <v>619</v>
      </c>
      <c r="AD3" s="219" t="s">
        <v>620</v>
      </c>
      <c r="AE3" s="219" t="s">
        <v>621</v>
      </c>
      <c r="AF3" s="219" t="s">
        <v>640</v>
      </c>
      <c r="AG3" s="219">
        <v>7.6</v>
      </c>
      <c r="AH3" s="219">
        <v>8</v>
      </c>
      <c r="AI3" s="219">
        <v>8.1</v>
      </c>
      <c r="AJ3" s="219">
        <v>8.1999999999999993</v>
      </c>
      <c r="AK3" s="219" t="s">
        <v>622</v>
      </c>
      <c r="AL3" s="219" t="s">
        <v>623</v>
      </c>
      <c r="AM3" s="219" t="s">
        <v>624</v>
      </c>
      <c r="AN3" s="219" t="s">
        <v>625</v>
      </c>
      <c r="AO3" s="219" t="s">
        <v>641</v>
      </c>
      <c r="AP3" s="219" t="s">
        <v>642</v>
      </c>
      <c r="AQ3" s="219">
        <v>8.3000000000000007</v>
      </c>
      <c r="AR3" s="219" t="s">
        <v>626</v>
      </c>
      <c r="AS3" s="219" t="s">
        <v>627</v>
      </c>
      <c r="AT3" s="219" t="s">
        <v>628</v>
      </c>
      <c r="AU3" s="219" t="s">
        <v>629</v>
      </c>
      <c r="AV3" s="219">
        <v>8.4</v>
      </c>
      <c r="AW3" s="219" t="s">
        <v>653</v>
      </c>
      <c r="AX3" s="219" t="s">
        <v>654</v>
      </c>
      <c r="AY3" s="219" t="s">
        <v>655</v>
      </c>
      <c r="AZ3" s="219">
        <v>8.5</v>
      </c>
      <c r="BA3" s="219" t="s">
        <v>630</v>
      </c>
      <c r="BB3" s="219" t="s">
        <v>631</v>
      </c>
      <c r="BC3" s="219" t="s">
        <v>632</v>
      </c>
      <c r="BD3" s="219">
        <v>8.6</v>
      </c>
      <c r="BE3" s="219" t="s">
        <v>643</v>
      </c>
      <c r="BF3" s="219" t="s">
        <v>644</v>
      </c>
      <c r="BG3" s="219" t="s">
        <v>645</v>
      </c>
      <c r="BH3" s="219">
        <v>8.6999999999999993</v>
      </c>
      <c r="BI3" s="219" t="s">
        <v>646</v>
      </c>
      <c r="BJ3" s="219" t="s">
        <v>647</v>
      </c>
      <c r="BK3" s="219" t="s">
        <v>648</v>
      </c>
      <c r="BL3" s="219">
        <v>9</v>
      </c>
      <c r="BM3" s="219">
        <v>9.1</v>
      </c>
      <c r="BN3" s="219">
        <v>9.1999999999999993</v>
      </c>
      <c r="BO3" s="219">
        <v>9.3000000000000007</v>
      </c>
      <c r="BP3" s="219">
        <v>9.4</v>
      </c>
      <c r="BQ3" s="219">
        <v>10</v>
      </c>
      <c r="BR3" s="219">
        <v>10.1</v>
      </c>
      <c r="BS3" s="219">
        <v>10.199999999999999</v>
      </c>
      <c r="BT3" s="219" t="s">
        <v>633</v>
      </c>
      <c r="BU3" s="219" t="s">
        <v>634</v>
      </c>
      <c r="BV3" s="220" t="s">
        <v>635</v>
      </c>
    </row>
    <row r="4" spans="2:74" x14ac:dyDescent="0.3">
      <c r="B4" s="129" t="s">
        <v>436</v>
      </c>
      <c r="C4" s="222">
        <v>1</v>
      </c>
      <c r="D4" s="131" t="s">
        <v>552</v>
      </c>
      <c r="E4" s="224"/>
      <c r="F4" s="224"/>
      <c r="G4" s="224"/>
      <c r="H4" s="224"/>
      <c r="I4" s="224"/>
      <c r="J4" s="224"/>
      <c r="K4" s="224"/>
      <c r="L4" s="224"/>
      <c r="M4" s="224"/>
      <c r="N4" s="224"/>
      <c r="O4" s="224"/>
      <c r="P4" s="224"/>
      <c r="Q4" s="224"/>
      <c r="R4" s="224"/>
      <c r="S4" s="224"/>
      <c r="T4" s="224"/>
      <c r="U4" s="224"/>
      <c r="V4" s="224"/>
      <c r="W4" s="224"/>
      <c r="X4" s="224" t="s">
        <v>636</v>
      </c>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f t="shared" ref="BT4:BT34" si="0">COUNTIF(E4:BS4,"Y")</f>
        <v>1</v>
      </c>
      <c r="BU4" s="221" t="str">
        <f>IF(E4="Y",$E$3,"")&amp;IF(F4="Y","; "&amp;$F$3,"")&amp;IF(G4="Y","; "&amp;$G$3,"")&amp;IF(H4="Y","; "&amp;$H$3,"")&amp;IF(I4="Y","; "&amp;$I$3,"")&amp;IF(J4="Y","; "&amp;$J$3,"")&amp;IF(K4="Y","; "&amp;$K$3,"")&amp;IF(L4="Y","; "&amp;$L$3,"")&amp;IF(M4="Y","; "&amp;$M$3,"")&amp;IF(N4="Y","; "&amp;$N$3,"")&amp;IF(O4="Y","; "&amp;$O$3,"")&amp;IF(P4="Y","; "&amp;$P$3,"")&amp;IF(Q4="Y","; "&amp;$Q$3,"")&amp;IF(R4="Y","; "&amp;$R$3,"")&amp;IF(S4="Y","; "&amp;$S$3,"")&amp;IF(T4="Y","; "&amp;$T$3,"")&amp;IF(U4="Y","; "&amp;$U$3,"")&amp;IF(V4="Y","; "&amp;$V$3,"")&amp;IF(W4="Y","; "&amp;$W$3,"")&amp;IF(X4="Y","; "&amp;$X$3,"")&amp;IF(Y4="Y","; "&amp;$Y$3,"")&amp;IF(Z4="Y","; "&amp;$Z$3,"")&amp;IF(AA4="Y","; "&amp;$AA$3,"")&amp;IF(AB4="Y","; "&amp;$AB$3,"")&amp;IF(AC4="Y","; "&amp;$AC$3,"")&amp;IF(AD4="Y","; "&amp;$AD$3,"")&amp;IF(AE4="Y","; "&amp;$AE$3,"")&amp;IF(AF4="Y","; "&amp;$AF$3,"")&amp;IF(AG4="Y","; "&amp;$AG$3,"")&amp;IF(AH4="Y","; "&amp;$AH$3,"")&amp;IF(AI4="Y","; "&amp;$AI$3,"")&amp;IF(AJ4="Y","; "&amp;$AJ$3,"")&amp;IF(AK4="Y","; "&amp;$AK$3,"")&amp;IF(AL4="Y","; "&amp;$AL$3,"")&amp;IF(AM4="Y","; "&amp;$AM$3,"")&amp;IF(AN4="Y","; "&amp;$AN$3,"")&amp;IF(AO4="Y","; "&amp;$AO$3,"")&amp;IF(AP4="Y","; "&amp;$AP$3,"")&amp;IF(AQ4="Y","; "&amp;$AQ$3,"")&amp;IF(AR4="Y","; "&amp;$AR$3,"")&amp;IF(AS4="Y","; "&amp;$AS$3,"")&amp;IF(AT4="Y","; "&amp;$AT$3,"")&amp;IF(AU4="Y","; "&amp;$AU$3,"")&amp;IF(AV4="Y","; "&amp;$AV$3,"")&amp;IF(AW4="Y","; "&amp;$AW$3,"")&amp;IF(AX4="Y","; "&amp;$AX$3,"")&amp;IF(AY4="Y","; "&amp;$AY$3,"")&amp;IF(AZ4="Y","; "&amp;$AZ$3,"")&amp;IF(BA4="Y","; "&amp;$BA$3,"")&amp;IF(BB4="Y","; "&amp;$BB$3,"")&amp;IF(BC4="Y","; "&amp;$BC$3,"")&amp;IF(BD4="Y","; "&amp;$BD$3,"")&amp;IF(BE4="Y","; "&amp;$BE$3,"")&amp;IF(BF4="Y","; "&amp;$BF$3,"")&amp;IF(BG4="Y","; "&amp;$BG$3,"")&amp;IF(BH4="Y","; "&amp;$BH$3,"")&amp;IF(BI4="Y","; "&amp;$BI$3,"")&amp;IF(BJ4="Y","; "&amp;$BJ$3,"")&amp;IF(BK4="Y","; "&amp;$BK$3,"")&amp;IF(BL4="Y","; "&amp;$BL$3,"")&amp;IF(BM4="Y","; "&amp;$BM$3,"")&amp;IF(BN4="Y","; "&amp;$BN$3,"")&amp;IF(BO4="Y","; "&amp;$BO$3,"")&amp;IF(BP4="Y","; "&amp;$BP$3,"")&amp;IF(BQ4="Y","; "&amp;$BQ$3,"")&amp;IF(BR4="Y","; "&amp;$BR$3,"")&amp;IF(BS4="Y","; "&amp;$BS$3,"")</f>
        <v>; 7.1</v>
      </c>
      <c r="BV4" s="224"/>
    </row>
    <row r="5" spans="2:74" x14ac:dyDescent="0.3">
      <c r="B5" s="129" t="s">
        <v>436</v>
      </c>
      <c r="C5" s="222">
        <v>2</v>
      </c>
      <c r="D5" s="131" t="s">
        <v>437</v>
      </c>
      <c r="E5" s="224"/>
      <c r="F5" s="224"/>
      <c r="G5" s="224"/>
      <c r="H5" s="224"/>
      <c r="I5" s="224"/>
      <c r="J5" s="224"/>
      <c r="K5" s="224"/>
      <c r="L5" s="224"/>
      <c r="M5" s="224"/>
      <c r="N5" s="224"/>
      <c r="O5" s="224"/>
      <c r="P5" s="224"/>
      <c r="Q5" s="224"/>
      <c r="R5" s="224"/>
      <c r="S5" s="224"/>
      <c r="T5" s="224"/>
      <c r="U5" s="224"/>
      <c r="V5" s="224"/>
      <c r="W5" s="224"/>
      <c r="X5" s="224" t="s">
        <v>636</v>
      </c>
      <c r="Y5" s="224" t="s">
        <v>636</v>
      </c>
      <c r="Z5" s="224"/>
      <c r="AA5" s="224"/>
      <c r="AB5" s="224"/>
      <c r="AC5" s="224"/>
      <c r="AD5" s="224" t="s">
        <v>636</v>
      </c>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4"/>
      <c r="BH5" s="224"/>
      <c r="BI5" s="224"/>
      <c r="BJ5" s="224"/>
      <c r="BK5" s="224"/>
      <c r="BL5" s="224"/>
      <c r="BM5" s="224"/>
      <c r="BN5" s="224"/>
      <c r="BO5" s="224"/>
      <c r="BP5" s="224"/>
      <c r="BQ5" s="224"/>
      <c r="BR5" s="224"/>
      <c r="BS5" s="224"/>
      <c r="BT5" s="224">
        <f t="shared" si="0"/>
        <v>3</v>
      </c>
      <c r="BU5" s="221" t="str">
        <f t="shared" ref="BU5:BU34" si="1">IF(E5="Y",$E$3,"")&amp;IF(F5="Y","; "&amp;$F$3,"")&amp;IF(G5="Y","; "&amp;$G$3,"")&amp;IF(H5="Y","; "&amp;$H$3,"")&amp;IF(I5="Y","; "&amp;$I$3,"")&amp;IF(J5="Y","; "&amp;$J$3,"")&amp;IF(K5="Y","; "&amp;$K$3,"")&amp;IF(L5="Y","; "&amp;$L$3,"")&amp;IF(M5="Y","; "&amp;$M$3,"")&amp;IF(N5="Y","; "&amp;$N$3,"")&amp;IF(O5="Y","; "&amp;$O$3,"")&amp;IF(P5="Y","; "&amp;$P$3,"")&amp;IF(Q5="Y","; "&amp;$Q$3,"")&amp;IF(R5="Y","; "&amp;$R$3,"")&amp;IF(S5="Y","; "&amp;$S$3,"")&amp;IF(T5="Y","; "&amp;$T$3,"")&amp;IF(U5="Y","; "&amp;$U$3,"")&amp;IF(V5="Y","; "&amp;$V$3,"")&amp;IF(W5="Y","; "&amp;$W$3,"")&amp;IF(X5="Y","; "&amp;$X$3,"")&amp;IF(Y5="Y","; "&amp;$Y$3,"")&amp;IF(Z5="Y","; "&amp;$Z$3,"")&amp;IF(AA5="Y","; "&amp;$AA$3,"")&amp;IF(AB5="Y","; "&amp;$AB$3,"")&amp;IF(AC5="Y","; "&amp;$AC$3,"")&amp;IF(AD5="Y","; "&amp;$AD$3,"")&amp;IF(AE5="Y","; "&amp;$AE$3,"")&amp;IF(AF5="Y","; "&amp;$AF$3,"")&amp;IF(AG5="Y","; "&amp;$AG$3,"")&amp;IF(AH5="Y","; "&amp;$AH$3,"")&amp;IF(AI5="Y","; "&amp;$AI$3,"")&amp;IF(AJ5="Y","; "&amp;$AJ$3,"")&amp;IF(AK5="Y","; "&amp;$AK$3,"")&amp;IF(AL5="Y","; "&amp;$AL$3,"")&amp;IF(AM5="Y","; "&amp;$AM$3,"")&amp;IF(AN5="Y","; "&amp;$AN$3,"")&amp;IF(AO5="Y","; "&amp;$AO$3,"")&amp;IF(AP5="Y","; "&amp;$AP$3,"")&amp;IF(AQ5="Y","; "&amp;$AQ$3,"")&amp;IF(AR5="Y","; "&amp;$AR$3,"")&amp;IF(AS5="Y","; "&amp;$AS$3,"")&amp;IF(AT5="Y","; "&amp;$AT$3,"")&amp;IF(AU5="Y","; "&amp;$AU$3,"")&amp;IF(AV5="Y","; "&amp;$AV$3,"")&amp;IF(AW5="Y","; "&amp;$AW$3,"")&amp;IF(AX5="Y","; "&amp;$AX$3,"")&amp;IF(AY5="Y","; "&amp;$AY$3,"")&amp;IF(AZ5="Y","; "&amp;$AZ$3,"")&amp;IF(BA5="Y","; "&amp;$BA$3,"")&amp;IF(BB5="Y","; "&amp;$BB$3,"")&amp;IF(BC5="Y","; "&amp;$BC$3,"")&amp;IF(BD5="Y","; "&amp;$BD$3,"")&amp;IF(BE5="Y","; "&amp;$BE$3,"")&amp;IF(BF5="Y","; "&amp;$BF$3,"")&amp;IF(BG5="Y","; "&amp;$BG$3,"")&amp;IF(BH5="Y","; "&amp;$BH$3,"")&amp;IF(BI5="Y","; "&amp;$BI$3,"")&amp;IF(BJ5="Y","; "&amp;$BJ$3,"")&amp;IF(BK5="Y","; "&amp;$BK$3,"")&amp;IF(BL5="Y","; "&amp;$BL$3,"")&amp;IF(BM5="Y","; "&amp;$BM$3,"")&amp;IF(BN5="Y","; "&amp;$BN$3,"")&amp;IF(BO5="Y","; "&amp;$BO$3,"")&amp;IF(BP5="Y","; "&amp;$BP$3,"")&amp;IF(BQ5="Y","; "&amp;$BQ$3,"")&amp;IF(BR5="Y","; "&amp;$BR$3,"")&amp;IF(BS5="Y","; "&amp;$BS$3,"")</f>
        <v>; 7.1; 7.2; 7.5.2</v>
      </c>
      <c r="BV5" s="224"/>
    </row>
    <row r="6" spans="2:74" x14ac:dyDescent="0.3">
      <c r="B6" s="129" t="s">
        <v>433</v>
      </c>
      <c r="C6" s="222">
        <v>3</v>
      </c>
      <c r="D6" s="131" t="s">
        <v>553</v>
      </c>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4"/>
      <c r="AI6" s="224"/>
      <c r="AJ6" s="224"/>
      <c r="AK6" s="224"/>
      <c r="AL6" s="224"/>
      <c r="AM6" s="224"/>
      <c r="AN6" s="224"/>
      <c r="AO6" s="224"/>
      <c r="AP6" s="224"/>
      <c r="AQ6" s="224"/>
      <c r="AR6" s="224"/>
      <c r="AS6" s="224"/>
      <c r="AT6" s="224" t="s">
        <v>636</v>
      </c>
      <c r="AU6" s="224"/>
      <c r="AV6" s="224"/>
      <c r="AW6" s="224"/>
      <c r="AX6" s="224"/>
      <c r="AY6" s="224"/>
      <c r="AZ6" s="224"/>
      <c r="BA6" s="224"/>
      <c r="BB6" s="224"/>
      <c r="BC6" s="224"/>
      <c r="BD6" s="224"/>
      <c r="BE6" s="224"/>
      <c r="BF6" s="224"/>
      <c r="BG6" s="224"/>
      <c r="BH6" s="224"/>
      <c r="BI6" s="224"/>
      <c r="BJ6" s="224"/>
      <c r="BK6" s="224"/>
      <c r="BL6" s="224"/>
      <c r="BM6" s="224"/>
      <c r="BN6" s="224"/>
      <c r="BO6" s="224"/>
      <c r="BP6" s="224" t="s">
        <v>636</v>
      </c>
      <c r="BQ6" s="224"/>
      <c r="BR6" s="224"/>
      <c r="BS6" s="224"/>
      <c r="BT6" s="224">
        <f t="shared" ref="BT6" si="2">COUNTIF(E6:BS6,"Y")</f>
        <v>2</v>
      </c>
      <c r="BU6" s="221" t="str">
        <f t="shared" ref="BU6" si="3">IF(E6="Y",$E$3,"")&amp;IF(F6="Y","; "&amp;$F$3,"")&amp;IF(G6="Y","; "&amp;$G$3,"")&amp;IF(H6="Y","; "&amp;$H$3,"")&amp;IF(I6="Y","; "&amp;$I$3,"")&amp;IF(J6="Y","; "&amp;$J$3,"")&amp;IF(K6="Y","; "&amp;$K$3,"")&amp;IF(L6="Y","; "&amp;$L$3,"")&amp;IF(M6="Y","; "&amp;$M$3,"")&amp;IF(N6="Y","; "&amp;$N$3,"")&amp;IF(O6="Y","; "&amp;$O$3,"")&amp;IF(P6="Y","; "&amp;$P$3,"")&amp;IF(Q6="Y","; "&amp;$Q$3,"")&amp;IF(R6="Y","; "&amp;$R$3,"")&amp;IF(S6="Y","; "&amp;$S$3,"")&amp;IF(T6="Y","; "&amp;$T$3,"")&amp;IF(U6="Y","; "&amp;$U$3,"")&amp;IF(V6="Y","; "&amp;$V$3,"")&amp;IF(W6="Y","; "&amp;$W$3,"")&amp;IF(X6="Y","; "&amp;$X$3,"")&amp;IF(Y6="Y","; "&amp;$Y$3,"")&amp;IF(Z6="Y","; "&amp;$Z$3,"")&amp;IF(AA6="Y","; "&amp;$AA$3,"")&amp;IF(AB6="Y","; "&amp;$AB$3,"")&amp;IF(AC6="Y","; "&amp;$AC$3,"")&amp;IF(AD6="Y","; "&amp;$AD$3,"")&amp;IF(AE6="Y","; "&amp;$AE$3,"")&amp;IF(AF6="Y","; "&amp;$AF$3,"")&amp;IF(AG6="Y","; "&amp;$AG$3,"")&amp;IF(AH6="Y","; "&amp;$AH$3,"")&amp;IF(AI6="Y","; "&amp;$AI$3,"")&amp;IF(AJ6="Y","; "&amp;$AJ$3,"")&amp;IF(AK6="Y","; "&amp;$AK$3,"")&amp;IF(AL6="Y","; "&amp;$AL$3,"")&amp;IF(AM6="Y","; "&amp;$AM$3,"")&amp;IF(AN6="Y","; "&amp;$AN$3,"")&amp;IF(AO6="Y","; "&amp;$AO$3,"")&amp;IF(AP6="Y","; "&amp;$AP$3,"")&amp;IF(AQ6="Y","; "&amp;$AQ$3,"")&amp;IF(AR6="Y","; "&amp;$AR$3,"")&amp;IF(AS6="Y","; "&amp;$AS$3,"")&amp;IF(AT6="Y","; "&amp;$AT$3,"")&amp;IF(AU6="Y","; "&amp;$AU$3,"")&amp;IF(AV6="Y","; "&amp;$AV$3,"")&amp;IF(AW6="Y","; "&amp;$AW$3,"")&amp;IF(AX6="Y","; "&amp;$AX$3,"")&amp;IF(AY6="Y","; "&amp;$AY$3,"")&amp;IF(AZ6="Y","; "&amp;$AZ$3,"")&amp;IF(BA6="Y","; "&amp;$BA$3,"")&amp;IF(BB6="Y","; "&amp;$BB$3,"")&amp;IF(BC6="Y","; "&amp;$BC$3,"")&amp;IF(BD6="Y","; "&amp;$BD$3,"")&amp;IF(BE6="Y","; "&amp;$BE$3,"")&amp;IF(BF6="Y","; "&amp;$BF$3,"")&amp;IF(BG6="Y","; "&amp;$BG$3,"")&amp;IF(BH6="Y","; "&amp;$BH$3,"")&amp;IF(BI6="Y","; "&amp;$BI$3,"")&amp;IF(BJ6="Y","; "&amp;$BJ$3,"")&amp;IF(BK6="Y","; "&amp;$BK$3,"")&amp;IF(BL6="Y","; "&amp;$BL$3,"")&amp;IF(BM6="Y","; "&amp;$BM$3,"")&amp;IF(BN6="Y","; "&amp;$BN$3,"")&amp;IF(BO6="Y","; "&amp;$BO$3,"")&amp;IF(BP6="Y","; "&amp;$BP$3,"")&amp;IF(BQ6="Y","; "&amp;$BQ$3,"")&amp;IF(BR6="Y","; "&amp;$BR$3,"")&amp;IF(BS6="Y","; "&amp;$BS$3,"")</f>
        <v>; 8.3.3; 9.4</v>
      </c>
      <c r="BV6" s="224"/>
    </row>
    <row r="7" spans="2:74" x14ac:dyDescent="0.3">
      <c r="B7" s="129" t="s">
        <v>434</v>
      </c>
      <c r="C7" s="222">
        <v>4</v>
      </c>
      <c r="D7" s="131" t="s">
        <v>554</v>
      </c>
      <c r="E7" s="224"/>
      <c r="F7" s="224"/>
      <c r="G7" s="224"/>
      <c r="H7" s="224"/>
      <c r="I7" s="224"/>
      <c r="J7" s="224"/>
      <c r="K7" s="224"/>
      <c r="L7" s="224"/>
      <c r="M7" s="224"/>
      <c r="N7" s="224"/>
      <c r="O7" s="224"/>
      <c r="P7" s="224"/>
      <c r="Q7" s="224"/>
      <c r="R7" s="224" t="s">
        <v>636</v>
      </c>
      <c r="S7" s="224"/>
      <c r="T7" s="224"/>
      <c r="U7" s="224"/>
      <c r="V7" s="224"/>
      <c r="W7" s="224"/>
      <c r="X7" s="224"/>
      <c r="Y7" s="224" t="s">
        <v>636</v>
      </c>
      <c r="Z7" s="224"/>
      <c r="AA7" s="224"/>
      <c r="AB7" s="224"/>
      <c r="AC7" s="224"/>
      <c r="AD7" s="224" t="s">
        <v>636</v>
      </c>
      <c r="AE7" s="224"/>
      <c r="AF7" s="224"/>
      <c r="AG7" s="224"/>
      <c r="AH7" s="224"/>
      <c r="AI7" s="224"/>
      <c r="AJ7" s="224"/>
      <c r="AK7" s="224"/>
      <c r="AL7" s="224"/>
      <c r="AM7" s="224"/>
      <c r="AN7" s="224"/>
      <c r="AO7" s="224"/>
      <c r="AP7" s="224"/>
      <c r="AQ7" s="224"/>
      <c r="AR7" s="224"/>
      <c r="AS7" s="224"/>
      <c r="AT7" s="224"/>
      <c r="AU7" s="224"/>
      <c r="AV7" s="224"/>
      <c r="AW7" s="224"/>
      <c r="AX7" s="224"/>
      <c r="AY7" s="224"/>
      <c r="AZ7" s="224"/>
      <c r="BA7" s="224"/>
      <c r="BB7" s="224"/>
      <c r="BC7" s="224"/>
      <c r="BD7" s="224"/>
      <c r="BE7" s="224"/>
      <c r="BF7" s="224"/>
      <c r="BG7" s="224"/>
      <c r="BH7" s="224"/>
      <c r="BI7" s="224"/>
      <c r="BJ7" s="224"/>
      <c r="BK7" s="224"/>
      <c r="BL7" s="224"/>
      <c r="BM7" s="224"/>
      <c r="BN7" s="224"/>
      <c r="BO7" s="224"/>
      <c r="BP7" s="224"/>
      <c r="BQ7" s="224"/>
      <c r="BR7" s="224"/>
      <c r="BS7" s="224" t="s">
        <v>636</v>
      </c>
      <c r="BT7" s="224">
        <f t="shared" si="0"/>
        <v>4</v>
      </c>
      <c r="BU7" s="221" t="str">
        <f t="shared" si="1"/>
        <v>; 6.1; 7.2; 7.5.2; 10.2</v>
      </c>
      <c r="BV7" s="224"/>
    </row>
    <row r="8" spans="2:74" x14ac:dyDescent="0.3">
      <c r="B8" s="129" t="s">
        <v>434</v>
      </c>
      <c r="C8" s="222">
        <v>5</v>
      </c>
      <c r="D8" s="131" t="s">
        <v>543</v>
      </c>
      <c r="E8" s="224"/>
      <c r="F8" s="224"/>
      <c r="G8" s="224"/>
      <c r="H8" s="224"/>
      <c r="I8" s="224"/>
      <c r="J8" s="224"/>
      <c r="K8" s="224"/>
      <c r="L8" s="224"/>
      <c r="M8" s="224"/>
      <c r="N8" s="224"/>
      <c r="O8" s="224"/>
      <c r="P8" s="224"/>
      <c r="Q8" s="224"/>
      <c r="R8" s="224" t="s">
        <v>636</v>
      </c>
      <c r="S8" s="224"/>
      <c r="T8" s="224"/>
      <c r="U8" s="224"/>
      <c r="V8" s="224"/>
      <c r="W8" s="224"/>
      <c r="X8" s="224"/>
      <c r="Y8" s="224"/>
      <c r="Z8" s="224"/>
      <c r="AA8" s="224"/>
      <c r="AB8" s="224"/>
      <c r="AC8" s="224"/>
      <c r="AD8" s="224" t="s">
        <v>636</v>
      </c>
      <c r="AE8" s="224"/>
      <c r="AF8" s="224"/>
      <c r="AG8" s="224"/>
      <c r="AH8" s="224"/>
      <c r="AI8" s="224"/>
      <c r="AJ8" s="224"/>
      <c r="AK8" s="224"/>
      <c r="AL8" s="224"/>
      <c r="AM8" s="224"/>
      <c r="AN8" s="224"/>
      <c r="AO8" s="224"/>
      <c r="AP8" s="224"/>
      <c r="AQ8" s="224"/>
      <c r="AR8" s="224"/>
      <c r="AS8" s="224"/>
      <c r="AT8" s="224"/>
      <c r="AU8" s="224"/>
      <c r="AV8" s="224"/>
      <c r="AW8" s="224"/>
      <c r="AX8" s="224"/>
      <c r="AY8" s="224"/>
      <c r="AZ8" s="224"/>
      <c r="BA8" s="224"/>
      <c r="BB8" s="224"/>
      <c r="BC8" s="224"/>
      <c r="BD8" s="224"/>
      <c r="BE8" s="224"/>
      <c r="BF8" s="224"/>
      <c r="BG8" s="224"/>
      <c r="BH8" s="224"/>
      <c r="BI8" s="224"/>
      <c r="BJ8" s="224"/>
      <c r="BK8" s="224"/>
      <c r="BL8" s="224"/>
      <c r="BM8" s="224"/>
      <c r="BN8" s="224"/>
      <c r="BO8" s="224"/>
      <c r="BP8" s="224"/>
      <c r="BQ8" s="224"/>
      <c r="BR8" s="224"/>
      <c r="BS8" s="224"/>
      <c r="BT8" s="224">
        <f t="shared" si="0"/>
        <v>2</v>
      </c>
      <c r="BU8" s="221" t="str">
        <f t="shared" si="1"/>
        <v>; 6.1; 7.5.2</v>
      </c>
      <c r="BV8" s="224"/>
    </row>
    <row r="9" spans="2:74" x14ac:dyDescent="0.3">
      <c r="B9" s="129" t="s">
        <v>434</v>
      </c>
      <c r="C9" s="222">
        <v>6</v>
      </c>
      <c r="D9" s="131" t="s">
        <v>551</v>
      </c>
      <c r="E9" s="224"/>
      <c r="F9" s="224"/>
      <c r="G9" s="224"/>
      <c r="H9" s="224"/>
      <c r="I9" s="224"/>
      <c r="J9" s="224"/>
      <c r="K9" s="224"/>
      <c r="L9" s="224"/>
      <c r="M9" s="224"/>
      <c r="N9" s="224"/>
      <c r="O9" s="224"/>
      <c r="P9" s="224"/>
      <c r="Q9" s="224"/>
      <c r="R9" s="224" t="s">
        <v>636</v>
      </c>
      <c r="S9" s="224"/>
      <c r="T9" s="224"/>
      <c r="U9" s="224"/>
      <c r="V9" s="224"/>
      <c r="W9" s="224"/>
      <c r="X9" s="224"/>
      <c r="Y9" s="224"/>
      <c r="Z9" s="224"/>
      <c r="AA9" s="224"/>
      <c r="AB9" s="224"/>
      <c r="AC9" s="224"/>
      <c r="AD9" s="224"/>
      <c r="AE9" s="224"/>
      <c r="AF9" s="224"/>
      <c r="AG9" s="224"/>
      <c r="AH9" s="224"/>
      <c r="AI9" s="224"/>
      <c r="AJ9" s="224"/>
      <c r="AK9" s="224"/>
      <c r="AL9" s="224"/>
      <c r="AM9" s="224"/>
      <c r="AN9" s="224"/>
      <c r="AO9" s="224"/>
      <c r="AP9" s="224"/>
      <c r="AQ9" s="224"/>
      <c r="AR9" s="224"/>
      <c r="AS9" s="224"/>
      <c r="AT9" s="224"/>
      <c r="AU9" s="224"/>
      <c r="AV9" s="224"/>
      <c r="AW9" s="224"/>
      <c r="AX9" s="224"/>
      <c r="AY9" s="224"/>
      <c r="AZ9" s="224"/>
      <c r="BA9" s="224"/>
      <c r="BB9" s="224"/>
      <c r="BC9" s="224"/>
      <c r="BD9" s="224"/>
      <c r="BE9" s="224"/>
      <c r="BF9" s="224"/>
      <c r="BG9" s="224"/>
      <c r="BH9" s="224"/>
      <c r="BI9" s="224"/>
      <c r="BJ9" s="224"/>
      <c r="BK9" s="224"/>
      <c r="BL9" s="224"/>
      <c r="BM9" s="224" t="s">
        <v>636</v>
      </c>
      <c r="BN9" s="224"/>
      <c r="BO9" s="224"/>
      <c r="BP9" s="224"/>
      <c r="BQ9" s="224"/>
      <c r="BR9" s="224"/>
      <c r="BS9" s="224" t="s">
        <v>636</v>
      </c>
      <c r="BT9" s="224">
        <f t="shared" si="0"/>
        <v>3</v>
      </c>
      <c r="BU9" s="221" t="str">
        <f t="shared" si="1"/>
        <v>; 6.1; 9.1; 10.2</v>
      </c>
      <c r="BV9" s="224"/>
    </row>
    <row r="10" spans="2:74" x14ac:dyDescent="0.3">
      <c r="B10" s="129" t="s">
        <v>435</v>
      </c>
      <c r="C10" s="222">
        <v>7</v>
      </c>
      <c r="D10" s="131" t="s">
        <v>555</v>
      </c>
      <c r="E10" s="224"/>
      <c r="F10" s="224"/>
      <c r="G10" s="224"/>
      <c r="H10" s="224"/>
      <c r="I10" s="224"/>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t="s">
        <v>636</v>
      </c>
      <c r="AQ10" s="224"/>
      <c r="AR10" s="224"/>
      <c r="AS10" s="224"/>
      <c r="AT10" s="224"/>
      <c r="AU10" s="224"/>
      <c r="AV10" s="224"/>
      <c r="AW10" s="224"/>
      <c r="AX10" s="224"/>
      <c r="AY10" s="224"/>
      <c r="AZ10" s="224"/>
      <c r="BA10" s="224"/>
      <c r="BB10" s="224"/>
      <c r="BC10" s="224"/>
      <c r="BD10" s="224"/>
      <c r="BE10" s="224"/>
      <c r="BF10" s="224"/>
      <c r="BG10" s="224"/>
      <c r="BH10" s="224"/>
      <c r="BI10" s="224"/>
      <c r="BJ10" s="224"/>
      <c r="BK10" s="224"/>
      <c r="BL10" s="224"/>
      <c r="BM10" s="224"/>
      <c r="BN10" s="224"/>
      <c r="BO10" s="224"/>
      <c r="BP10" s="224"/>
      <c r="BQ10" s="224"/>
      <c r="BR10" s="224"/>
      <c r="BS10" s="224"/>
      <c r="BT10" s="224">
        <f t="shared" si="0"/>
        <v>1</v>
      </c>
      <c r="BU10" s="221" t="str">
        <f t="shared" si="1"/>
        <v>; 8.2.6</v>
      </c>
      <c r="BV10" s="224"/>
    </row>
    <row r="11" spans="2:74" ht="27.6" x14ac:dyDescent="0.3">
      <c r="B11" s="129" t="s">
        <v>435</v>
      </c>
      <c r="C11" s="222">
        <v>8</v>
      </c>
      <c r="D11" s="131" t="s">
        <v>822</v>
      </c>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t="s">
        <v>636</v>
      </c>
      <c r="AQ11" s="224"/>
      <c r="AR11" s="224"/>
      <c r="AS11" s="224"/>
      <c r="AT11" s="224"/>
      <c r="AU11" s="224"/>
      <c r="AV11" s="224"/>
      <c r="AW11" s="224"/>
      <c r="AX11" s="224"/>
      <c r="AY11" s="224"/>
      <c r="AZ11" s="224"/>
      <c r="BA11" s="224"/>
      <c r="BB11" s="224"/>
      <c r="BC11" s="224"/>
      <c r="BD11" s="224"/>
      <c r="BE11" s="224" t="s">
        <v>636</v>
      </c>
      <c r="BF11" s="224"/>
      <c r="BG11" s="224" t="s">
        <v>636</v>
      </c>
      <c r="BH11" s="224"/>
      <c r="BI11" s="224"/>
      <c r="BJ11" s="224"/>
      <c r="BK11" s="224"/>
      <c r="BL11" s="224"/>
      <c r="BM11" s="224"/>
      <c r="BN11" s="224"/>
      <c r="BO11" s="224"/>
      <c r="BP11" s="224"/>
      <c r="BQ11" s="224"/>
      <c r="BR11" s="224" t="s">
        <v>636</v>
      </c>
      <c r="BS11" s="224"/>
      <c r="BT11" s="224">
        <f t="shared" si="0"/>
        <v>4</v>
      </c>
      <c r="BU11" s="221" t="str">
        <f t="shared" si="1"/>
        <v>; 8.2.6; 8.6.1; 8.6.3; 10.1</v>
      </c>
      <c r="BV11" s="224"/>
    </row>
    <row r="12" spans="2:74" x14ac:dyDescent="0.3">
      <c r="B12" s="129" t="s">
        <v>651</v>
      </c>
      <c r="C12" s="222">
        <v>9</v>
      </c>
      <c r="D12" s="131" t="s">
        <v>806</v>
      </c>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t="s">
        <v>636</v>
      </c>
      <c r="BK12" s="224"/>
      <c r="BL12" s="224"/>
      <c r="BM12" s="224"/>
      <c r="BN12" s="224"/>
      <c r="BO12" s="224"/>
      <c r="BP12" s="224"/>
      <c r="BQ12" s="224"/>
      <c r="BR12" s="224"/>
      <c r="BS12" s="224"/>
      <c r="BT12" s="224">
        <f t="shared" si="0"/>
        <v>1</v>
      </c>
      <c r="BU12" s="221" t="str">
        <f t="shared" si="1"/>
        <v>; 8.7.2</v>
      </c>
      <c r="BV12" s="224"/>
    </row>
    <row r="13" spans="2:74" x14ac:dyDescent="0.3">
      <c r="B13" s="129" t="s">
        <v>651</v>
      </c>
      <c r="C13" s="222">
        <v>10</v>
      </c>
      <c r="D13" s="131" t="s">
        <v>807</v>
      </c>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t="s">
        <v>636</v>
      </c>
      <c r="BK13" s="224"/>
      <c r="BL13" s="224"/>
      <c r="BM13" s="224"/>
      <c r="BN13" s="224"/>
      <c r="BO13" s="224"/>
      <c r="BP13" s="224"/>
      <c r="BQ13" s="224"/>
      <c r="BR13" s="224"/>
      <c r="BS13" s="224"/>
      <c r="BT13" s="224">
        <f t="shared" ref="BT13" si="4">COUNTIF(E13:BS13,"Y")</f>
        <v>1</v>
      </c>
      <c r="BU13" s="221" t="str">
        <f t="shared" ref="BU13" si="5">IF(E13="Y",$E$3,"")&amp;IF(F13="Y","; "&amp;$F$3,"")&amp;IF(G13="Y","; "&amp;$G$3,"")&amp;IF(H13="Y","; "&amp;$H$3,"")&amp;IF(I13="Y","; "&amp;$I$3,"")&amp;IF(J13="Y","; "&amp;$J$3,"")&amp;IF(K13="Y","; "&amp;$K$3,"")&amp;IF(L13="Y","; "&amp;$L$3,"")&amp;IF(M13="Y","; "&amp;$M$3,"")&amp;IF(N13="Y","; "&amp;$N$3,"")&amp;IF(O13="Y","; "&amp;$O$3,"")&amp;IF(P13="Y","; "&amp;$P$3,"")&amp;IF(Q13="Y","; "&amp;$Q$3,"")&amp;IF(R13="Y","; "&amp;$R$3,"")&amp;IF(S13="Y","; "&amp;$S$3,"")&amp;IF(T13="Y","; "&amp;$T$3,"")&amp;IF(U13="Y","; "&amp;$U$3,"")&amp;IF(V13="Y","; "&amp;$V$3,"")&amp;IF(W13="Y","; "&amp;$W$3,"")&amp;IF(X13="Y","; "&amp;$X$3,"")&amp;IF(Y13="Y","; "&amp;$Y$3,"")&amp;IF(Z13="Y","; "&amp;$Z$3,"")&amp;IF(AA13="Y","; "&amp;$AA$3,"")&amp;IF(AB13="Y","; "&amp;$AB$3,"")&amp;IF(AC13="Y","; "&amp;$AC$3,"")&amp;IF(AD13="Y","; "&amp;$AD$3,"")&amp;IF(AE13="Y","; "&amp;$AE$3,"")&amp;IF(AF13="Y","; "&amp;$AF$3,"")&amp;IF(AG13="Y","; "&amp;$AG$3,"")&amp;IF(AH13="Y","; "&amp;$AH$3,"")&amp;IF(AI13="Y","; "&amp;$AI$3,"")&amp;IF(AJ13="Y","; "&amp;$AJ$3,"")&amp;IF(AK13="Y","; "&amp;$AK$3,"")&amp;IF(AL13="Y","; "&amp;$AL$3,"")&amp;IF(AM13="Y","; "&amp;$AM$3,"")&amp;IF(AN13="Y","; "&amp;$AN$3,"")&amp;IF(AO13="Y","; "&amp;$AO$3,"")&amp;IF(AP13="Y","; "&amp;$AP$3,"")&amp;IF(AQ13="Y","; "&amp;$AQ$3,"")&amp;IF(AR13="Y","; "&amp;$AR$3,"")&amp;IF(AS13="Y","; "&amp;$AS$3,"")&amp;IF(AT13="Y","; "&amp;$AT$3,"")&amp;IF(AU13="Y","; "&amp;$AU$3,"")&amp;IF(AV13="Y","; "&amp;$AV$3,"")&amp;IF(AW13="Y","; "&amp;$AW$3,"")&amp;IF(AX13="Y","; "&amp;$AX$3,"")&amp;IF(AY13="Y","; "&amp;$AY$3,"")&amp;IF(AZ13="Y","; "&amp;$AZ$3,"")&amp;IF(BA13="Y","; "&amp;$BA$3,"")&amp;IF(BB13="Y","; "&amp;$BB$3,"")&amp;IF(BC13="Y","; "&amp;$BC$3,"")&amp;IF(BD13="Y","; "&amp;$BD$3,"")&amp;IF(BE13="Y","; "&amp;$BE$3,"")&amp;IF(BF13="Y","; "&amp;$BF$3,"")&amp;IF(BG13="Y","; "&amp;$BG$3,"")&amp;IF(BH13="Y","; "&amp;$BH$3,"")&amp;IF(BI13="Y","; "&amp;$BI$3,"")&amp;IF(BJ13="Y","; "&amp;$BJ$3,"")&amp;IF(BK13="Y","; "&amp;$BK$3,"")&amp;IF(BL13="Y","; "&amp;$BL$3,"")&amp;IF(BM13="Y","; "&amp;$BM$3,"")&amp;IF(BN13="Y","; "&amp;$BN$3,"")&amp;IF(BO13="Y","; "&amp;$BO$3,"")&amp;IF(BP13="Y","; "&amp;$BP$3,"")&amp;IF(BQ13="Y","; "&amp;$BQ$3,"")&amp;IF(BR13="Y","; "&amp;$BR$3,"")&amp;IF(BS13="Y","; "&amp;$BS$3,"")</f>
        <v>; 8.7.2</v>
      </c>
      <c r="BV13" s="224"/>
    </row>
    <row r="14" spans="2:74" x14ac:dyDescent="0.3">
      <c r="B14" s="129" t="s">
        <v>651</v>
      </c>
      <c r="C14" s="222">
        <v>11</v>
      </c>
      <c r="D14" s="131" t="s">
        <v>808</v>
      </c>
      <c r="E14" s="224"/>
      <c r="F14" s="224"/>
      <c r="G14" s="224"/>
      <c r="H14" s="224"/>
      <c r="I14" s="224"/>
      <c r="J14" s="224"/>
      <c r="K14" s="224"/>
      <c r="L14" s="224"/>
      <c r="M14" s="224"/>
      <c r="N14" s="224"/>
      <c r="O14" s="224"/>
      <c r="P14" s="224"/>
      <c r="Q14" s="224"/>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c r="BF14" s="224"/>
      <c r="BG14" s="224"/>
      <c r="BH14" s="224"/>
      <c r="BI14" s="224"/>
      <c r="BJ14" s="224" t="s">
        <v>636</v>
      </c>
      <c r="BK14" s="224"/>
      <c r="BL14" s="224"/>
      <c r="BM14" s="224"/>
      <c r="BN14" s="224"/>
      <c r="BO14" s="224"/>
      <c r="BP14" s="224"/>
      <c r="BQ14" s="224"/>
      <c r="BR14" s="224"/>
      <c r="BS14" s="224"/>
      <c r="BT14" s="224">
        <f t="shared" si="0"/>
        <v>1</v>
      </c>
      <c r="BU14" s="221" t="str">
        <f t="shared" si="1"/>
        <v>; 8.7.2</v>
      </c>
      <c r="BV14" s="224"/>
    </row>
    <row r="15" spans="2:74" x14ac:dyDescent="0.3">
      <c r="B15" s="129" t="s">
        <v>830</v>
      </c>
      <c r="C15" s="222">
        <v>12</v>
      </c>
      <c r="D15" s="131" t="s">
        <v>557</v>
      </c>
      <c r="E15" s="224"/>
      <c r="F15" s="224"/>
      <c r="G15" s="224"/>
      <c r="H15" s="224"/>
      <c r="I15" s="224"/>
      <c r="J15" s="224"/>
      <c r="K15" s="224"/>
      <c r="L15" s="224"/>
      <c r="M15" s="224"/>
      <c r="N15" s="224"/>
      <c r="O15" s="224"/>
      <c r="P15" s="224"/>
      <c r="Q15" s="224"/>
      <c r="R15" s="224"/>
      <c r="S15" s="224"/>
      <c r="T15" s="224"/>
      <c r="U15" s="224"/>
      <c r="V15" s="224"/>
      <c r="W15" s="224"/>
      <c r="X15" s="224"/>
      <c r="Y15" s="224" t="s">
        <v>636</v>
      </c>
      <c r="Z15" s="224"/>
      <c r="AA15" s="224"/>
      <c r="AB15" s="224"/>
      <c r="AC15" s="224"/>
      <c r="AD15" s="224"/>
      <c r="AE15" s="224"/>
      <c r="AF15" s="224"/>
      <c r="AG15" s="224"/>
      <c r="AH15" s="224"/>
      <c r="AI15" s="224"/>
      <c r="AJ15" s="224"/>
      <c r="AK15" s="224"/>
      <c r="AL15" s="224"/>
      <c r="AM15" s="224"/>
      <c r="AN15" s="224"/>
      <c r="AO15" s="224"/>
      <c r="AP15" s="224"/>
      <c r="AQ15" s="224"/>
      <c r="AR15" s="224"/>
      <c r="AS15" s="224"/>
      <c r="AT15" s="224"/>
      <c r="AU15" s="224"/>
      <c r="AV15" s="224"/>
      <c r="AW15" s="224"/>
      <c r="AX15" s="224"/>
      <c r="AY15" s="224"/>
      <c r="AZ15" s="224"/>
      <c r="BA15" s="224"/>
      <c r="BB15" s="224"/>
      <c r="BC15" s="224"/>
      <c r="BD15" s="224"/>
      <c r="BE15" s="224" t="s">
        <v>636</v>
      </c>
      <c r="BF15" s="224"/>
      <c r="BG15" s="224"/>
      <c r="BH15" s="224"/>
      <c r="BI15" s="224"/>
      <c r="BJ15" s="224"/>
      <c r="BK15" s="224"/>
      <c r="BL15" s="224"/>
      <c r="BM15" s="224" t="s">
        <v>636</v>
      </c>
      <c r="BN15" s="224"/>
      <c r="BO15" s="224"/>
      <c r="BP15" s="224"/>
      <c r="BQ15" s="224"/>
      <c r="BR15" s="224"/>
      <c r="BS15" s="224"/>
      <c r="BT15" s="224">
        <f t="shared" si="0"/>
        <v>3</v>
      </c>
      <c r="BU15" s="221" t="str">
        <f t="shared" si="1"/>
        <v>; 7.2; 8.6.1; 9.1</v>
      </c>
      <c r="BV15" s="224"/>
    </row>
    <row r="16" spans="2:74" x14ac:dyDescent="0.3">
      <c r="B16" s="129" t="s">
        <v>830</v>
      </c>
      <c r="C16" s="222">
        <v>13</v>
      </c>
      <c r="D16" s="131" t="s">
        <v>449</v>
      </c>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4"/>
      <c r="AI16" s="224"/>
      <c r="AJ16" s="224"/>
      <c r="AK16" s="224"/>
      <c r="AL16" s="224"/>
      <c r="AM16" s="224"/>
      <c r="AN16" s="224"/>
      <c r="AO16" s="224"/>
      <c r="AP16" s="224" t="s">
        <v>636</v>
      </c>
      <c r="AQ16" s="224"/>
      <c r="AR16" s="224"/>
      <c r="AS16" s="224"/>
      <c r="AT16" s="224"/>
      <c r="AU16" s="224"/>
      <c r="AV16" s="224"/>
      <c r="AW16" s="224"/>
      <c r="AX16" s="224"/>
      <c r="AY16" s="224"/>
      <c r="AZ16" s="224"/>
      <c r="BA16" s="224"/>
      <c r="BB16" s="224"/>
      <c r="BC16" s="224"/>
      <c r="BD16" s="224"/>
      <c r="BE16" s="224" t="s">
        <v>636</v>
      </c>
      <c r="BF16" s="224"/>
      <c r="BG16" s="224"/>
      <c r="BH16" s="224"/>
      <c r="BI16" s="224"/>
      <c r="BJ16" s="224"/>
      <c r="BK16" s="224"/>
      <c r="BL16" s="224"/>
      <c r="BM16" s="224"/>
      <c r="BN16" s="224"/>
      <c r="BO16" s="224"/>
      <c r="BP16" s="224"/>
      <c r="BQ16" s="224"/>
      <c r="BR16" s="224"/>
      <c r="BS16" s="224"/>
      <c r="BT16" s="224">
        <f t="shared" si="0"/>
        <v>2</v>
      </c>
      <c r="BU16" s="221" t="str">
        <f t="shared" si="1"/>
        <v>; 8.2.6; 8.6.1</v>
      </c>
      <c r="BV16" s="224"/>
    </row>
    <row r="17" spans="2:74" x14ac:dyDescent="0.3">
      <c r="B17" s="129" t="s">
        <v>830</v>
      </c>
      <c r="C17" s="222">
        <v>14</v>
      </c>
      <c r="D17" s="131" t="s">
        <v>439</v>
      </c>
      <c r="E17" s="224"/>
      <c r="F17" s="224"/>
      <c r="G17" s="224"/>
      <c r="H17" s="224"/>
      <c r="I17" s="224"/>
      <c r="J17" s="224"/>
      <c r="K17" s="224"/>
      <c r="L17" s="224"/>
      <c r="M17" s="224"/>
      <c r="N17" s="224"/>
      <c r="O17" s="224"/>
      <c r="P17" s="224"/>
      <c r="Q17" s="224"/>
      <c r="R17" s="224"/>
      <c r="S17" s="224"/>
      <c r="T17" s="224"/>
      <c r="U17" s="224"/>
      <c r="V17" s="224"/>
      <c r="W17" s="224"/>
      <c r="X17" s="224"/>
      <c r="Y17" s="224"/>
      <c r="Z17" s="224"/>
      <c r="AA17" s="224"/>
      <c r="AB17" s="224"/>
      <c r="AC17" s="224"/>
      <c r="AD17" s="224"/>
      <c r="AE17" s="224"/>
      <c r="AF17" s="224"/>
      <c r="AG17" s="224"/>
      <c r="AH17" s="224"/>
      <c r="AI17" s="224"/>
      <c r="AJ17" s="224"/>
      <c r="AK17" s="224"/>
      <c r="AL17" s="224"/>
      <c r="AM17" s="224"/>
      <c r="AN17" s="224"/>
      <c r="AO17" s="224"/>
      <c r="AP17" s="224"/>
      <c r="AQ17" s="224"/>
      <c r="AR17" s="224"/>
      <c r="AS17" s="224"/>
      <c r="AT17" s="224"/>
      <c r="AU17" s="224"/>
      <c r="AV17" s="224"/>
      <c r="AW17" s="224"/>
      <c r="AX17" s="224"/>
      <c r="AY17" s="224"/>
      <c r="AZ17" s="224"/>
      <c r="BA17" s="224"/>
      <c r="BB17" s="224"/>
      <c r="BC17" s="224"/>
      <c r="BD17" s="224"/>
      <c r="BE17" s="224" t="s">
        <v>636</v>
      </c>
      <c r="BF17" s="224"/>
      <c r="BG17" s="224"/>
      <c r="BH17" s="224"/>
      <c r="BI17" s="224"/>
      <c r="BJ17" s="224"/>
      <c r="BK17" s="224"/>
      <c r="BL17" s="224"/>
      <c r="BM17" s="224" t="s">
        <v>636</v>
      </c>
      <c r="BN17" s="224"/>
      <c r="BO17" s="224"/>
      <c r="BP17" s="224" t="s">
        <v>636</v>
      </c>
      <c r="BQ17" s="224"/>
      <c r="BR17" s="224"/>
      <c r="BS17" s="224"/>
      <c r="BT17" s="224">
        <f t="shared" si="0"/>
        <v>3</v>
      </c>
      <c r="BU17" s="221" t="str">
        <f t="shared" si="1"/>
        <v>; 8.6.1; 9.1; 9.4</v>
      </c>
      <c r="BV17" s="224"/>
    </row>
    <row r="18" spans="2:74" x14ac:dyDescent="0.3">
      <c r="B18" s="129" t="s">
        <v>830</v>
      </c>
      <c r="C18" s="222">
        <v>15</v>
      </c>
      <c r="D18" s="131" t="s">
        <v>440</v>
      </c>
      <c r="E18" s="224"/>
      <c r="F18" s="224"/>
      <c r="G18" s="224"/>
      <c r="H18" s="224"/>
      <c r="I18" s="224"/>
      <c r="J18" s="224"/>
      <c r="K18" s="224"/>
      <c r="L18" s="224"/>
      <c r="M18" s="224"/>
      <c r="N18" s="224"/>
      <c r="O18" s="224"/>
      <c r="P18" s="224" t="s">
        <v>636</v>
      </c>
      <c r="Q18" s="224"/>
      <c r="R18" s="224"/>
      <c r="S18" s="224"/>
      <c r="T18" s="224"/>
      <c r="U18" s="224"/>
      <c r="V18" s="224"/>
      <c r="W18" s="224"/>
      <c r="X18" s="224"/>
      <c r="Y18" s="224"/>
      <c r="Z18" s="224"/>
      <c r="AA18" s="224" t="s">
        <v>636</v>
      </c>
      <c r="AB18" s="224"/>
      <c r="AC18" s="224"/>
      <c r="AD18" s="224"/>
      <c r="AE18" s="224"/>
      <c r="AF18" s="224"/>
      <c r="AG18" s="224"/>
      <c r="AH18" s="224"/>
      <c r="AI18" s="224" t="s">
        <v>636</v>
      </c>
      <c r="AJ18" s="224"/>
      <c r="AK18" s="224"/>
      <c r="AL18" s="224"/>
      <c r="AM18" s="224"/>
      <c r="AN18" s="224"/>
      <c r="AO18" s="224"/>
      <c r="AP18" s="224"/>
      <c r="AQ18" s="224"/>
      <c r="AR18" s="224"/>
      <c r="AS18" s="224"/>
      <c r="AT18" s="224"/>
      <c r="AU18" s="224"/>
      <c r="AV18" s="224"/>
      <c r="AW18" s="224"/>
      <c r="AX18" s="224"/>
      <c r="AY18" s="224"/>
      <c r="AZ18" s="224"/>
      <c r="BA18" s="224"/>
      <c r="BB18" s="224"/>
      <c r="BC18" s="224"/>
      <c r="BD18" s="224"/>
      <c r="BE18" s="224" t="s">
        <v>636</v>
      </c>
      <c r="BF18" s="224"/>
      <c r="BG18" s="224"/>
      <c r="BH18" s="224"/>
      <c r="BI18" s="224"/>
      <c r="BJ18" s="224"/>
      <c r="BK18" s="224"/>
      <c r="BL18" s="224"/>
      <c r="BM18" s="224"/>
      <c r="BN18" s="224"/>
      <c r="BO18" s="224"/>
      <c r="BP18" s="224"/>
      <c r="BQ18" s="224"/>
      <c r="BR18" s="224"/>
      <c r="BS18" s="224"/>
      <c r="BT18" s="224">
        <f t="shared" si="0"/>
        <v>4</v>
      </c>
      <c r="BU18" s="221" t="str">
        <f t="shared" si="1"/>
        <v>; 5.3; 7.4; 8.1; 8.6.1</v>
      </c>
    </row>
    <row r="19" spans="2:74" x14ac:dyDescent="0.3">
      <c r="B19" s="129" t="s">
        <v>830</v>
      </c>
      <c r="C19" s="222">
        <v>16</v>
      </c>
      <c r="D19" s="131" t="s">
        <v>441</v>
      </c>
      <c r="E19" s="224"/>
      <c r="F19" s="224"/>
      <c r="G19" s="224"/>
      <c r="H19" s="224"/>
      <c r="I19" s="224"/>
      <c r="J19" s="224"/>
      <c r="K19" s="224"/>
      <c r="L19" s="224"/>
      <c r="M19" s="224"/>
      <c r="N19" s="224"/>
      <c r="O19" s="224"/>
      <c r="P19" s="224"/>
      <c r="Q19" s="224"/>
      <c r="R19" s="224"/>
      <c r="S19" s="224"/>
      <c r="T19" s="224"/>
      <c r="U19" s="224"/>
      <c r="V19" s="224"/>
      <c r="W19" s="224"/>
      <c r="X19" s="224"/>
      <c r="Y19" s="224"/>
      <c r="Z19" s="224"/>
      <c r="AA19" s="224"/>
      <c r="AB19" s="224"/>
      <c r="AC19" s="224"/>
      <c r="AD19" s="224"/>
      <c r="AE19" s="224"/>
      <c r="AF19" s="224"/>
      <c r="AG19" s="224"/>
      <c r="AH19" s="224"/>
      <c r="AI19" s="224"/>
      <c r="AJ19" s="224"/>
      <c r="AK19" s="224"/>
      <c r="AL19" s="224"/>
      <c r="AM19" s="224"/>
      <c r="AN19" s="224"/>
      <c r="AO19" s="224"/>
      <c r="AP19" s="224"/>
      <c r="AQ19" s="224"/>
      <c r="AR19" s="224"/>
      <c r="AS19" s="224"/>
      <c r="AT19" s="224"/>
      <c r="AU19" s="224"/>
      <c r="AV19" s="224"/>
      <c r="AW19" s="224"/>
      <c r="AX19" s="224"/>
      <c r="AY19" s="224"/>
      <c r="AZ19" s="224"/>
      <c r="BA19" s="224"/>
      <c r="BB19" s="224"/>
      <c r="BC19" s="224"/>
      <c r="BD19" s="224"/>
      <c r="BE19" s="224" t="s">
        <v>636</v>
      </c>
      <c r="BF19" s="224"/>
      <c r="BG19" s="224"/>
      <c r="BH19" s="224"/>
      <c r="BI19" s="224"/>
      <c r="BJ19" s="224"/>
      <c r="BK19" s="224"/>
      <c r="BL19" s="224"/>
      <c r="BM19" s="224"/>
      <c r="BN19" s="224" t="s">
        <v>636</v>
      </c>
      <c r="BO19" s="224" t="s">
        <v>636</v>
      </c>
      <c r="BP19" s="224"/>
      <c r="BQ19" s="224"/>
      <c r="BR19" s="224" t="s">
        <v>636</v>
      </c>
      <c r="BS19" s="224" t="s">
        <v>636</v>
      </c>
      <c r="BT19" s="224">
        <f t="shared" si="0"/>
        <v>5</v>
      </c>
      <c r="BU19" s="221" t="str">
        <f t="shared" si="1"/>
        <v>; 8.6.1; 9.2; 9.3; 10.1; 10.2</v>
      </c>
    </row>
    <row r="20" spans="2:74" x14ac:dyDescent="0.3">
      <c r="B20" s="129" t="s">
        <v>830</v>
      </c>
      <c r="C20" s="222">
        <v>17</v>
      </c>
      <c r="D20" s="131" t="s">
        <v>442</v>
      </c>
      <c r="E20" s="224"/>
      <c r="F20" s="224"/>
      <c r="G20" s="224"/>
      <c r="H20" s="224"/>
      <c r="I20" s="224"/>
      <c r="J20" s="224"/>
      <c r="K20" s="224"/>
      <c r="L20" s="224"/>
      <c r="M20" s="224"/>
      <c r="N20" s="224"/>
      <c r="O20" s="224"/>
      <c r="P20" s="224"/>
      <c r="Q20" s="224"/>
      <c r="R20" s="224"/>
      <c r="S20" s="224"/>
      <c r="T20" s="224"/>
      <c r="U20" s="224"/>
      <c r="V20" s="224"/>
      <c r="W20" s="224"/>
      <c r="X20" s="224"/>
      <c r="Y20" s="224"/>
      <c r="Z20" s="224"/>
      <c r="AA20" s="224"/>
      <c r="AB20" s="224"/>
      <c r="AC20" s="224"/>
      <c r="AD20" s="224"/>
      <c r="AE20" s="224"/>
      <c r="AF20" s="224"/>
      <c r="AG20" s="224"/>
      <c r="AH20" s="224"/>
      <c r="AI20" s="224"/>
      <c r="AJ20" s="224"/>
      <c r="AK20" s="224"/>
      <c r="AL20" s="224"/>
      <c r="AM20" s="224"/>
      <c r="AN20" s="224"/>
      <c r="AO20" s="224"/>
      <c r="AP20" s="224"/>
      <c r="AQ20" s="224"/>
      <c r="AR20" s="224"/>
      <c r="AS20" s="224"/>
      <c r="AT20" s="224"/>
      <c r="AU20" s="224"/>
      <c r="AV20" s="224"/>
      <c r="AW20" s="224"/>
      <c r="AX20" s="224"/>
      <c r="AY20" s="224"/>
      <c r="AZ20" s="224"/>
      <c r="BA20" s="224"/>
      <c r="BB20" s="224"/>
      <c r="BC20" s="224"/>
      <c r="BD20" s="224"/>
      <c r="BE20" s="224" t="s">
        <v>636</v>
      </c>
      <c r="BF20" s="224"/>
      <c r="BG20" s="224" t="s">
        <v>636</v>
      </c>
      <c r="BH20" s="224"/>
      <c r="BI20" s="224"/>
      <c r="BJ20" s="224"/>
      <c r="BK20" s="224"/>
      <c r="BL20" s="224"/>
      <c r="BM20" s="224"/>
      <c r="BN20" s="224"/>
      <c r="BO20" s="224"/>
      <c r="BP20" s="224"/>
      <c r="BQ20" s="224"/>
      <c r="BR20" s="224"/>
      <c r="BS20" s="224" t="s">
        <v>636</v>
      </c>
      <c r="BT20" s="224">
        <f t="shared" si="0"/>
        <v>3</v>
      </c>
      <c r="BU20" s="221" t="str">
        <f t="shared" si="1"/>
        <v>; 8.6.1; 8.6.3; 10.2</v>
      </c>
    </row>
    <row r="21" spans="2:74" x14ac:dyDescent="0.3">
      <c r="B21" s="129" t="s">
        <v>830</v>
      </c>
      <c r="C21" s="222">
        <v>18</v>
      </c>
      <c r="D21" s="131" t="s">
        <v>551</v>
      </c>
      <c r="E21" s="224"/>
      <c r="F21" s="224"/>
      <c r="G21" s="224"/>
      <c r="H21" s="224"/>
      <c r="I21" s="224"/>
      <c r="J21" s="224"/>
      <c r="K21" s="224"/>
      <c r="L21" s="224"/>
      <c r="M21" s="224"/>
      <c r="N21" s="224"/>
      <c r="O21" s="224"/>
      <c r="P21" s="224"/>
      <c r="Q21" s="224"/>
      <c r="R21" s="224"/>
      <c r="S21" s="224"/>
      <c r="T21" s="224"/>
      <c r="U21" s="224"/>
      <c r="V21" s="224"/>
      <c r="W21" s="224"/>
      <c r="X21" s="224"/>
      <c r="Y21" s="224"/>
      <c r="Z21" s="224"/>
      <c r="AA21" s="224"/>
      <c r="AB21" s="224"/>
      <c r="AC21" s="224"/>
      <c r="AD21" s="224"/>
      <c r="AE21" s="224"/>
      <c r="AF21" s="224"/>
      <c r="AG21" s="224"/>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t="s">
        <v>636</v>
      </c>
      <c r="BF21" s="224"/>
      <c r="BG21" s="224"/>
      <c r="BH21" s="224"/>
      <c r="BI21" s="224"/>
      <c r="BJ21" s="224"/>
      <c r="BK21" s="224"/>
      <c r="BL21" s="224"/>
      <c r="BM21" s="224" t="s">
        <v>636</v>
      </c>
      <c r="BN21" s="224"/>
      <c r="BO21" s="224"/>
      <c r="BP21" s="224"/>
      <c r="BQ21" s="224"/>
      <c r="BR21" s="224"/>
      <c r="BS21" s="224"/>
      <c r="BT21" s="224">
        <f t="shared" si="0"/>
        <v>2</v>
      </c>
      <c r="BU21" s="221" t="str">
        <f t="shared" si="1"/>
        <v>; 8.6.1; 9.1</v>
      </c>
    </row>
    <row r="22" spans="2:74" x14ac:dyDescent="0.3">
      <c r="B22" s="129" t="s">
        <v>826</v>
      </c>
      <c r="C22" s="222">
        <v>19</v>
      </c>
      <c r="D22" s="131" t="s">
        <v>614</v>
      </c>
      <c r="E22" s="224"/>
      <c r="F22" s="224"/>
      <c r="G22" s="224"/>
      <c r="H22" s="224"/>
      <c r="I22" s="224"/>
      <c r="J22" s="224"/>
      <c r="K22" s="224"/>
      <c r="L22" s="224"/>
      <c r="M22" s="224"/>
      <c r="N22" s="224"/>
      <c r="O22" s="224"/>
      <c r="P22" s="224" t="s">
        <v>636</v>
      </c>
      <c r="Q22" s="224"/>
      <c r="R22" s="224"/>
      <c r="S22" s="224"/>
      <c r="T22" s="224"/>
      <c r="U22" s="224"/>
      <c r="V22" s="224"/>
      <c r="W22" s="224"/>
      <c r="X22" s="224"/>
      <c r="Y22" s="224" t="s">
        <v>636</v>
      </c>
      <c r="Z22" s="224"/>
      <c r="AA22" s="224"/>
      <c r="AB22" s="224"/>
      <c r="AC22" s="224"/>
      <c r="AD22" s="224"/>
      <c r="AE22" s="224"/>
      <c r="AF22" s="224"/>
      <c r="AG22" s="224"/>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24" t="s">
        <v>636</v>
      </c>
      <c r="BH22" s="224"/>
      <c r="BI22" s="224"/>
      <c r="BJ22" s="224"/>
      <c r="BK22" s="224"/>
      <c r="BL22" s="224"/>
      <c r="BM22" s="224"/>
      <c r="BN22" s="224"/>
      <c r="BO22" s="224"/>
      <c r="BP22" s="224"/>
      <c r="BQ22" s="224"/>
      <c r="BR22" s="224"/>
      <c r="BS22" s="224"/>
      <c r="BT22" s="224">
        <f t="shared" si="0"/>
        <v>3</v>
      </c>
      <c r="BU22" s="221" t="str">
        <f t="shared" si="1"/>
        <v>; 5.3; 7.2; 8.6.3</v>
      </c>
    </row>
    <row r="23" spans="2:74" ht="27.6" x14ac:dyDescent="0.3">
      <c r="B23" s="129" t="s">
        <v>826</v>
      </c>
      <c r="C23" s="222">
        <v>20</v>
      </c>
      <c r="D23" s="131" t="s">
        <v>615</v>
      </c>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24" t="s">
        <v>636</v>
      </c>
      <c r="BH23" s="224"/>
      <c r="BI23" s="224"/>
      <c r="BJ23" s="224"/>
      <c r="BK23" s="224"/>
      <c r="BL23" s="224"/>
      <c r="BM23" s="224"/>
      <c r="BN23" s="224" t="s">
        <v>636</v>
      </c>
      <c r="BO23" s="224"/>
      <c r="BP23" s="224"/>
      <c r="BQ23" s="224"/>
      <c r="BR23" s="224"/>
      <c r="BS23" s="224"/>
      <c r="BT23" s="224">
        <f t="shared" si="0"/>
        <v>2</v>
      </c>
      <c r="BU23" s="221" t="str">
        <f t="shared" si="1"/>
        <v>; 8.6.3; 9.2</v>
      </c>
    </row>
    <row r="24" spans="2:74" ht="27.6" x14ac:dyDescent="0.3">
      <c r="B24" s="129" t="s">
        <v>826</v>
      </c>
      <c r="C24" s="222">
        <v>21</v>
      </c>
      <c r="D24" s="131" t="s">
        <v>565</v>
      </c>
      <c r="E24" s="224"/>
      <c r="F24" s="224"/>
      <c r="G24" s="224"/>
      <c r="H24" s="224"/>
      <c r="I24" s="224"/>
      <c r="J24" s="224"/>
      <c r="K24" s="224"/>
      <c r="L24" s="224"/>
      <c r="M24" s="224"/>
      <c r="N24" s="224"/>
      <c r="O24" s="224"/>
      <c r="P24" s="224"/>
      <c r="Q24" s="224"/>
      <c r="R24" s="224"/>
      <c r="S24" s="224"/>
      <c r="T24" s="224"/>
      <c r="U24" s="224"/>
      <c r="V24" s="224"/>
      <c r="W24" s="224"/>
      <c r="X24" s="224"/>
      <c r="Y24" s="224"/>
      <c r="Z24" s="224"/>
      <c r="AA24" s="224"/>
      <c r="AB24" s="224"/>
      <c r="AC24" s="224"/>
      <c r="AD24" s="224"/>
      <c r="AE24" s="224"/>
      <c r="AF24" s="224"/>
      <c r="AG24" s="224"/>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c r="BL24" s="224"/>
      <c r="BM24" s="224"/>
      <c r="BN24" s="224"/>
      <c r="BO24" s="224"/>
      <c r="BP24" s="224"/>
      <c r="BQ24" s="224"/>
      <c r="BR24" s="224" t="s">
        <v>636</v>
      </c>
      <c r="BS24" s="224"/>
      <c r="BT24" s="224">
        <f t="shared" si="0"/>
        <v>1</v>
      </c>
      <c r="BU24" s="221" t="str">
        <f t="shared" si="1"/>
        <v>; 10.1</v>
      </c>
    </row>
    <row r="25" spans="2:74" x14ac:dyDescent="0.3">
      <c r="B25" s="129" t="s">
        <v>826</v>
      </c>
      <c r="C25" s="222">
        <v>22</v>
      </c>
      <c r="D25" s="131" t="s">
        <v>551</v>
      </c>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t="s">
        <v>636</v>
      </c>
      <c r="BH25" s="224"/>
      <c r="BI25" s="224"/>
      <c r="BJ25" s="224"/>
      <c r="BK25" s="224"/>
      <c r="BL25" s="224"/>
      <c r="BM25" s="224" t="s">
        <v>636</v>
      </c>
      <c r="BN25" s="224"/>
      <c r="BO25" s="224"/>
      <c r="BP25" s="224" t="s">
        <v>636</v>
      </c>
      <c r="BQ25" s="224"/>
      <c r="BR25" s="224"/>
      <c r="BS25" s="224"/>
      <c r="BT25" s="224">
        <f t="shared" si="0"/>
        <v>3</v>
      </c>
      <c r="BU25" s="221" t="str">
        <f t="shared" si="1"/>
        <v>; 8.6.3; 9.1; 9.4</v>
      </c>
    </row>
    <row r="26" spans="2:74" x14ac:dyDescent="0.3">
      <c r="B26" s="129" t="s">
        <v>661</v>
      </c>
      <c r="C26" s="222">
        <v>23</v>
      </c>
      <c r="D26" s="131" t="s">
        <v>556</v>
      </c>
      <c r="E26" s="224"/>
      <c r="F26" s="224"/>
      <c r="G26" s="224"/>
      <c r="H26" s="224"/>
      <c r="I26" s="224"/>
      <c r="J26" s="224"/>
      <c r="K26" s="224"/>
      <c r="L26" s="224"/>
      <c r="M26" s="224"/>
      <c r="N26" s="224"/>
      <c r="O26" s="224"/>
      <c r="P26" s="224" t="s">
        <v>636</v>
      </c>
      <c r="Q26" s="224"/>
      <c r="R26" s="224"/>
      <c r="S26" s="224"/>
      <c r="T26" s="224"/>
      <c r="U26" s="224"/>
      <c r="V26" s="224"/>
      <c r="W26" s="224"/>
      <c r="X26" s="224"/>
      <c r="Y26" s="224"/>
      <c r="Z26" s="224"/>
      <c r="AA26" s="224"/>
      <c r="AB26" s="224"/>
      <c r="AC26" s="224"/>
      <c r="AD26" s="224"/>
      <c r="AE26" s="224"/>
      <c r="AF26" s="224"/>
      <c r="AG26" s="224"/>
      <c r="AH26" s="224"/>
      <c r="AI26" s="224" t="s">
        <v>636</v>
      </c>
      <c r="AJ26" s="224"/>
      <c r="AK26" s="224"/>
      <c r="AL26" s="224"/>
      <c r="AM26" s="224"/>
      <c r="AN26" s="224"/>
      <c r="AO26" s="224"/>
      <c r="AP26" s="224"/>
      <c r="AQ26" s="224"/>
      <c r="AR26" s="224"/>
      <c r="AS26" s="224"/>
      <c r="AT26" s="224"/>
      <c r="AU26" s="224"/>
      <c r="AV26" s="224"/>
      <c r="AW26" s="224"/>
      <c r="AX26" s="224"/>
      <c r="AY26" s="224"/>
      <c r="AZ26" s="224"/>
      <c r="BA26" s="224" t="s">
        <v>636</v>
      </c>
      <c r="BB26" s="224"/>
      <c r="BC26" s="224"/>
      <c r="BD26" s="224"/>
      <c r="BE26" s="224"/>
      <c r="BF26" s="224"/>
      <c r="BG26" s="224"/>
      <c r="BH26" s="224"/>
      <c r="BI26" s="224"/>
      <c r="BJ26" s="224"/>
      <c r="BK26" s="224"/>
      <c r="BL26" s="224"/>
      <c r="BM26" s="224"/>
      <c r="BN26" s="224"/>
      <c r="BO26" s="224"/>
      <c r="BP26" s="224"/>
      <c r="BQ26" s="224"/>
      <c r="BR26" s="224"/>
      <c r="BS26" s="224"/>
      <c r="BT26" s="224">
        <f t="shared" si="0"/>
        <v>3</v>
      </c>
      <c r="BU26" s="221" t="str">
        <f t="shared" si="1"/>
        <v>; 5.3; 8.1; 8.5.1</v>
      </c>
    </row>
    <row r="27" spans="2:74" ht="27.6" x14ac:dyDescent="0.3">
      <c r="B27" s="129" t="s">
        <v>661</v>
      </c>
      <c r="C27" s="222">
        <v>24</v>
      </c>
      <c r="D27" s="131" t="s">
        <v>558</v>
      </c>
      <c r="E27" s="224"/>
      <c r="F27" s="224"/>
      <c r="G27" s="224"/>
      <c r="H27" s="224"/>
      <c r="I27" s="224"/>
      <c r="J27" s="224"/>
      <c r="K27" s="224"/>
      <c r="L27" s="224"/>
      <c r="M27" s="224"/>
      <c r="N27" s="224"/>
      <c r="O27" s="224"/>
      <c r="P27" s="224"/>
      <c r="Q27" s="224"/>
      <c r="R27" s="224"/>
      <c r="S27" s="224"/>
      <c r="T27" s="224"/>
      <c r="U27" s="224"/>
      <c r="V27" s="224"/>
      <c r="W27" s="224"/>
      <c r="X27" s="224"/>
      <c r="Y27" s="224"/>
      <c r="Z27" s="224"/>
      <c r="AA27" s="224"/>
      <c r="AB27" s="224"/>
      <c r="AC27" s="224"/>
      <c r="AD27" s="224"/>
      <c r="AE27" s="224"/>
      <c r="AF27" s="224"/>
      <c r="AG27" s="224"/>
      <c r="AH27" s="224"/>
      <c r="AI27" s="224"/>
      <c r="AJ27" s="224"/>
      <c r="AK27" s="224"/>
      <c r="AL27" s="224"/>
      <c r="AM27" s="224"/>
      <c r="AN27" s="224"/>
      <c r="AO27" s="224"/>
      <c r="AP27" s="224"/>
      <c r="AQ27" s="224"/>
      <c r="AR27" s="224"/>
      <c r="AS27" s="224"/>
      <c r="AT27" s="224"/>
      <c r="AU27" s="224"/>
      <c r="AV27" s="224"/>
      <c r="AW27" s="224"/>
      <c r="AX27" s="224"/>
      <c r="AY27" s="224"/>
      <c r="AZ27" s="224"/>
      <c r="BA27" s="224" t="s">
        <v>636</v>
      </c>
      <c r="BB27" s="224"/>
      <c r="BC27" s="224"/>
      <c r="BD27" s="224"/>
      <c r="BE27" s="224"/>
      <c r="BF27" s="224"/>
      <c r="BG27" s="224"/>
      <c r="BH27" s="224"/>
      <c r="BI27" s="224"/>
      <c r="BJ27" s="224"/>
      <c r="BK27" s="224"/>
      <c r="BL27" s="224"/>
      <c r="BM27" s="224"/>
      <c r="BN27" s="224"/>
      <c r="BO27" s="224"/>
      <c r="BP27" s="224"/>
      <c r="BQ27" s="224"/>
      <c r="BR27" s="224"/>
      <c r="BS27" s="224"/>
      <c r="BT27" s="224">
        <f t="shared" si="0"/>
        <v>1</v>
      </c>
      <c r="BU27" s="221" t="str">
        <f t="shared" si="1"/>
        <v>; 8.5.1</v>
      </c>
    </row>
    <row r="28" spans="2:74" ht="27.6" x14ac:dyDescent="0.3">
      <c r="B28" s="129" t="s">
        <v>661</v>
      </c>
      <c r="C28" s="222">
        <v>25</v>
      </c>
      <c r="D28" s="131" t="s">
        <v>563</v>
      </c>
      <c r="E28" s="224"/>
      <c r="F28" s="224"/>
      <c r="G28" s="224"/>
      <c r="H28" s="224"/>
      <c r="I28" s="224"/>
      <c r="J28" s="224"/>
      <c r="K28" s="224"/>
      <c r="L28" s="224"/>
      <c r="M28" s="224"/>
      <c r="N28" s="224"/>
      <c r="O28" s="224"/>
      <c r="P28" s="224"/>
      <c r="Q28" s="224"/>
      <c r="R28" s="224"/>
      <c r="S28" s="224"/>
      <c r="T28" s="224"/>
      <c r="U28" s="224"/>
      <c r="V28" s="224"/>
      <c r="W28" s="224"/>
      <c r="X28" s="224"/>
      <c r="Y28" s="224"/>
      <c r="Z28" s="224"/>
      <c r="AA28" s="224"/>
      <c r="AB28" s="224"/>
      <c r="AC28" s="224"/>
      <c r="AD28" s="224"/>
      <c r="AE28" s="224"/>
      <c r="AF28" s="224"/>
      <c r="AG28" s="224"/>
      <c r="AH28" s="224"/>
      <c r="AI28" s="224"/>
      <c r="AJ28" s="224"/>
      <c r="AK28" s="224"/>
      <c r="AL28" s="224"/>
      <c r="AM28" s="224"/>
      <c r="AN28" s="224"/>
      <c r="AO28" s="224"/>
      <c r="AP28" s="224"/>
      <c r="AQ28" s="224"/>
      <c r="AR28" s="224"/>
      <c r="AS28" s="224"/>
      <c r="AT28" s="224"/>
      <c r="AU28" s="224"/>
      <c r="AV28" s="224"/>
      <c r="AW28" s="224"/>
      <c r="AX28" s="224"/>
      <c r="AY28" s="224"/>
      <c r="AZ28" s="224"/>
      <c r="BA28" s="224" t="s">
        <v>636</v>
      </c>
      <c r="BB28" s="224"/>
      <c r="BC28" s="224"/>
      <c r="BD28" s="224"/>
      <c r="BE28" s="224"/>
      <c r="BF28" s="224"/>
      <c r="BG28" s="224"/>
      <c r="BH28" s="224"/>
      <c r="BI28" s="224"/>
      <c r="BJ28" s="224"/>
      <c r="BK28" s="224"/>
      <c r="BL28" s="224"/>
      <c r="BM28" s="224"/>
      <c r="BN28" s="224"/>
      <c r="BO28" s="224"/>
      <c r="BP28" s="224" t="s">
        <v>636</v>
      </c>
      <c r="BQ28" s="224"/>
      <c r="BR28" s="224"/>
      <c r="BS28" s="224"/>
      <c r="BT28" s="224">
        <f t="shared" si="0"/>
        <v>2</v>
      </c>
      <c r="BU28" s="221" t="str">
        <f t="shared" si="1"/>
        <v>; 8.5.1; 9.4</v>
      </c>
    </row>
    <row r="29" spans="2:74" ht="27.6" x14ac:dyDescent="0.3">
      <c r="B29" s="129" t="s">
        <v>661</v>
      </c>
      <c r="C29" s="222">
        <v>26</v>
      </c>
      <c r="D29" s="131" t="s">
        <v>559</v>
      </c>
      <c r="E29" s="224"/>
      <c r="F29" s="224"/>
      <c r="G29" s="224"/>
      <c r="H29" s="224"/>
      <c r="I29" s="224"/>
      <c r="J29" s="224"/>
      <c r="K29" s="224"/>
      <c r="L29" s="224"/>
      <c r="M29" s="224"/>
      <c r="N29" s="224"/>
      <c r="O29" s="224"/>
      <c r="P29" s="224"/>
      <c r="Q29" s="224"/>
      <c r="R29" s="224"/>
      <c r="S29" s="224"/>
      <c r="T29" s="224"/>
      <c r="U29" s="224"/>
      <c r="V29" s="224"/>
      <c r="W29" s="224"/>
      <c r="X29" s="224"/>
      <c r="Y29" s="224"/>
      <c r="Z29" s="224"/>
      <c r="AA29" s="224"/>
      <c r="AB29" s="224"/>
      <c r="AC29" s="224"/>
      <c r="AD29" s="224"/>
      <c r="AE29" s="224"/>
      <c r="AF29" s="224"/>
      <c r="AG29" s="224"/>
      <c r="AH29" s="224"/>
      <c r="AI29" s="224"/>
      <c r="AJ29" s="224"/>
      <c r="AK29" s="224"/>
      <c r="AL29" s="224"/>
      <c r="AM29" s="224"/>
      <c r="AN29" s="224"/>
      <c r="AO29" s="224"/>
      <c r="AP29" s="224"/>
      <c r="AQ29" s="224"/>
      <c r="AR29" s="224"/>
      <c r="AS29" s="224"/>
      <c r="AT29" s="224"/>
      <c r="AU29" s="224"/>
      <c r="AV29" s="224"/>
      <c r="AW29" s="224"/>
      <c r="AX29" s="224"/>
      <c r="AY29" s="224"/>
      <c r="AZ29" s="224"/>
      <c r="BA29" s="224" t="s">
        <v>636</v>
      </c>
      <c r="BB29" s="224"/>
      <c r="BC29" s="224"/>
      <c r="BD29" s="224"/>
      <c r="BE29" s="224"/>
      <c r="BF29" s="224"/>
      <c r="BG29" s="224"/>
      <c r="BH29" s="224"/>
      <c r="BI29" s="224"/>
      <c r="BJ29" s="224"/>
      <c r="BK29" s="224"/>
      <c r="BL29" s="224"/>
      <c r="BM29" s="224"/>
      <c r="BN29" s="224"/>
      <c r="BO29" s="224"/>
      <c r="BP29" s="224"/>
      <c r="BQ29" s="224"/>
      <c r="BR29" s="224"/>
      <c r="BS29" s="224"/>
      <c r="BT29" s="224">
        <f t="shared" si="0"/>
        <v>1</v>
      </c>
      <c r="BU29" s="221" t="str">
        <f t="shared" si="1"/>
        <v>; 8.5.1</v>
      </c>
    </row>
    <row r="30" spans="2:74" ht="27.6" x14ac:dyDescent="0.3">
      <c r="B30" s="129" t="s">
        <v>661</v>
      </c>
      <c r="C30" s="222">
        <v>27</v>
      </c>
      <c r="D30" s="131" t="s">
        <v>564</v>
      </c>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4"/>
      <c r="AI30" s="224"/>
      <c r="AJ30" s="224"/>
      <c r="AK30" s="224"/>
      <c r="AL30" s="224"/>
      <c r="AM30" s="224"/>
      <c r="AN30" s="224"/>
      <c r="AO30" s="224"/>
      <c r="AP30" s="224"/>
      <c r="AQ30" s="224"/>
      <c r="AR30" s="224"/>
      <c r="AS30" s="224"/>
      <c r="AT30" s="224"/>
      <c r="AU30" s="224"/>
      <c r="AV30" s="224"/>
      <c r="AW30" s="224"/>
      <c r="AX30" s="224"/>
      <c r="AY30" s="224"/>
      <c r="AZ30" s="224"/>
      <c r="BA30" s="224" t="s">
        <v>636</v>
      </c>
      <c r="BB30" s="224"/>
      <c r="BC30" s="224"/>
      <c r="BD30" s="224"/>
      <c r="BE30" s="224"/>
      <c r="BF30" s="224"/>
      <c r="BG30" s="224"/>
      <c r="BH30" s="224"/>
      <c r="BI30" s="224"/>
      <c r="BJ30" s="224"/>
      <c r="BK30" s="224"/>
      <c r="BL30" s="224"/>
      <c r="BM30" s="224"/>
      <c r="BN30" s="224"/>
      <c r="BO30" s="224"/>
      <c r="BP30" s="224"/>
      <c r="BQ30" s="224"/>
      <c r="BR30" s="224" t="s">
        <v>636</v>
      </c>
      <c r="BS30" s="224"/>
      <c r="BT30" s="224">
        <f t="shared" si="0"/>
        <v>2</v>
      </c>
      <c r="BU30" s="221" t="str">
        <f t="shared" si="1"/>
        <v>; 8.5.1; 10.1</v>
      </c>
    </row>
    <row r="31" spans="2:74" x14ac:dyDescent="0.3">
      <c r="B31" s="129" t="s">
        <v>661</v>
      </c>
      <c r="C31" s="222">
        <v>28</v>
      </c>
      <c r="D31" s="131" t="s">
        <v>551</v>
      </c>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24"/>
      <c r="BH31" s="224"/>
      <c r="BI31" s="224"/>
      <c r="BJ31" s="224"/>
      <c r="BK31" s="224"/>
      <c r="BL31" s="224"/>
      <c r="BM31" s="224" t="s">
        <v>636</v>
      </c>
      <c r="BN31" s="224"/>
      <c r="BO31" s="224"/>
      <c r="BP31" s="224" t="s">
        <v>636</v>
      </c>
      <c r="BQ31" s="224"/>
      <c r="BR31" s="224"/>
      <c r="BS31" s="224"/>
      <c r="BT31" s="224">
        <f t="shared" si="0"/>
        <v>2</v>
      </c>
      <c r="BU31" s="221" t="str">
        <f t="shared" si="1"/>
        <v>; 9.1; 9.4</v>
      </c>
    </row>
    <row r="32" spans="2:74" x14ac:dyDescent="0.3">
      <c r="B32" s="129" t="s">
        <v>831</v>
      </c>
      <c r="C32" s="222">
        <v>29</v>
      </c>
      <c r="D32" s="131" t="s">
        <v>560</v>
      </c>
      <c r="E32" s="224"/>
      <c r="F32" s="224"/>
      <c r="G32" s="224"/>
      <c r="H32" s="224"/>
      <c r="I32" s="224"/>
      <c r="J32" s="224"/>
      <c r="K32" s="224"/>
      <c r="L32" s="224"/>
      <c r="M32" s="224"/>
      <c r="N32" s="224"/>
      <c r="O32" s="224"/>
      <c r="P32" s="224"/>
      <c r="Q32" s="224"/>
      <c r="R32" s="224"/>
      <c r="S32" s="224"/>
      <c r="T32" s="224"/>
      <c r="U32" s="224"/>
      <c r="V32" s="224"/>
      <c r="W32" s="224"/>
      <c r="X32" s="224"/>
      <c r="Y32" s="224"/>
      <c r="Z32" s="224"/>
      <c r="AA32" s="224"/>
      <c r="AB32" s="224"/>
      <c r="AC32" s="224"/>
      <c r="AD32" s="224" t="s">
        <v>636</v>
      </c>
      <c r="AE32" s="224"/>
      <c r="AF32" s="224"/>
      <c r="AG32" s="224"/>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t="s">
        <v>636</v>
      </c>
      <c r="BG32" s="224"/>
      <c r="BH32" s="224"/>
      <c r="BI32" s="224"/>
      <c r="BJ32" s="224"/>
      <c r="BK32" s="224"/>
      <c r="BL32" s="224"/>
      <c r="BM32" s="224"/>
      <c r="BN32" s="224"/>
      <c r="BO32" s="224"/>
      <c r="BP32" s="224" t="s">
        <v>636</v>
      </c>
      <c r="BQ32" s="224"/>
      <c r="BR32" s="224"/>
      <c r="BS32" s="224"/>
      <c r="BT32" s="224">
        <f t="shared" si="0"/>
        <v>3</v>
      </c>
      <c r="BU32" s="221" t="str">
        <f t="shared" si="1"/>
        <v>; 7.5.2; 8.6.2; 9.4</v>
      </c>
    </row>
    <row r="33" spans="2:73" x14ac:dyDescent="0.3">
      <c r="B33" s="129" t="s">
        <v>833</v>
      </c>
      <c r="C33" s="222">
        <v>30</v>
      </c>
      <c r="D33" s="131" t="s">
        <v>561</v>
      </c>
      <c r="E33" s="224"/>
      <c r="F33" s="224"/>
      <c r="G33" s="224"/>
      <c r="H33" s="224"/>
      <c r="I33" s="224"/>
      <c r="J33" s="224"/>
      <c r="K33" s="224"/>
      <c r="L33" s="224"/>
      <c r="M33" s="224"/>
      <c r="N33" s="224"/>
      <c r="O33" s="224"/>
      <c r="P33" s="224"/>
      <c r="Q33" s="224"/>
      <c r="R33" s="224"/>
      <c r="S33" s="224"/>
      <c r="T33" s="224"/>
      <c r="U33" s="224"/>
      <c r="V33" s="224"/>
      <c r="W33" s="224"/>
      <c r="X33" s="224" t="s">
        <v>636</v>
      </c>
      <c r="Y33" s="224" t="s">
        <v>636</v>
      </c>
      <c r="Z33" s="224"/>
      <c r="AA33" s="224"/>
      <c r="AB33" s="224"/>
      <c r="AC33" s="224"/>
      <c r="AD33" s="224" t="s">
        <v>636</v>
      </c>
      <c r="AE33" s="224"/>
      <c r="AF33" s="224"/>
      <c r="AG33" s="224"/>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24"/>
      <c r="BH33" s="224"/>
      <c r="BI33" s="224"/>
      <c r="BJ33" s="224"/>
      <c r="BK33" s="224"/>
      <c r="BL33" s="224"/>
      <c r="BM33" s="224"/>
      <c r="BN33" s="224"/>
      <c r="BO33" s="224"/>
      <c r="BP33" s="224"/>
      <c r="BQ33" s="224"/>
      <c r="BR33" s="224"/>
      <c r="BS33" s="224"/>
      <c r="BT33" s="224">
        <f t="shared" si="0"/>
        <v>3</v>
      </c>
      <c r="BU33" s="221" t="str">
        <f t="shared" si="1"/>
        <v>; 7.1; 7.2; 7.5.2</v>
      </c>
    </row>
    <row r="34" spans="2:73" x14ac:dyDescent="0.3">
      <c r="B34" s="129" t="s">
        <v>833</v>
      </c>
      <c r="C34" s="222">
        <v>31</v>
      </c>
      <c r="D34" s="131" t="s">
        <v>562</v>
      </c>
      <c r="E34" s="224"/>
      <c r="F34" s="224"/>
      <c r="G34" s="224"/>
      <c r="H34" s="224"/>
      <c r="I34" s="224"/>
      <c r="J34" s="224"/>
      <c r="K34" s="224"/>
      <c r="L34" s="224"/>
      <c r="M34" s="224"/>
      <c r="N34" s="224"/>
      <c r="O34" s="224"/>
      <c r="P34" s="224"/>
      <c r="Q34" s="224"/>
      <c r="R34" s="224"/>
      <c r="S34" s="224"/>
      <c r="T34" s="224"/>
      <c r="U34" s="224"/>
      <c r="V34" s="224"/>
      <c r="W34" s="224"/>
      <c r="X34" s="224" t="s">
        <v>636</v>
      </c>
      <c r="Y34" s="224" t="s">
        <v>636</v>
      </c>
      <c r="Z34" s="224"/>
      <c r="AA34" s="224"/>
      <c r="AB34" s="224"/>
      <c r="AC34" s="224"/>
      <c r="AD34" s="224"/>
      <c r="AE34" s="224"/>
      <c r="AF34" s="224"/>
      <c r="AG34" s="224"/>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24"/>
      <c r="BH34" s="224"/>
      <c r="BI34" s="224"/>
      <c r="BJ34" s="224"/>
      <c r="BK34" s="224"/>
      <c r="BL34" s="224"/>
      <c r="BM34" s="224"/>
      <c r="BN34" s="224"/>
      <c r="BO34" s="224"/>
      <c r="BP34" s="224"/>
      <c r="BQ34" s="224"/>
      <c r="BR34" s="224"/>
      <c r="BS34" s="224"/>
      <c r="BT34" s="224">
        <f t="shared" si="0"/>
        <v>2</v>
      </c>
      <c r="BU34" s="221" t="str">
        <f t="shared" si="1"/>
        <v>; 7.1; 7.2</v>
      </c>
    </row>
    <row r="35" spans="2:73" ht="27.6" x14ac:dyDescent="0.3">
      <c r="B35" s="129" t="s">
        <v>836</v>
      </c>
      <c r="C35" s="222">
        <v>32</v>
      </c>
      <c r="D35" s="131" t="s">
        <v>778</v>
      </c>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4"/>
      <c r="AI35" s="224"/>
      <c r="AJ35" s="224"/>
      <c r="AK35" s="224"/>
      <c r="AL35" s="224"/>
      <c r="AM35" s="224" t="s">
        <v>636</v>
      </c>
      <c r="AN35" s="224"/>
      <c r="AO35" s="224" t="s">
        <v>636</v>
      </c>
      <c r="AP35" s="224" t="s">
        <v>636</v>
      </c>
      <c r="AQ35" s="224"/>
      <c r="AR35" s="224"/>
      <c r="AS35" s="224"/>
      <c r="AT35" s="224" t="s">
        <v>636</v>
      </c>
      <c r="AU35" s="224" t="s">
        <v>636</v>
      </c>
      <c r="AV35" s="224"/>
      <c r="AW35" s="224"/>
      <c r="AX35" s="224"/>
      <c r="AY35" s="224"/>
      <c r="AZ35" s="224"/>
      <c r="BA35" s="224"/>
      <c r="BB35" s="224"/>
      <c r="BC35" s="224"/>
      <c r="BD35" s="224"/>
      <c r="BE35" s="224"/>
      <c r="BF35" s="224"/>
      <c r="BG35" s="224"/>
      <c r="BH35" s="224"/>
      <c r="BI35" s="224"/>
      <c r="BJ35" s="224"/>
      <c r="BK35" s="224" t="s">
        <v>636</v>
      </c>
      <c r="BL35" s="224"/>
      <c r="BM35" s="224" t="s">
        <v>636</v>
      </c>
      <c r="BN35" s="224" t="s">
        <v>636</v>
      </c>
      <c r="BO35" s="224" t="s">
        <v>636</v>
      </c>
      <c r="BP35" s="224" t="s">
        <v>636</v>
      </c>
      <c r="BQ35" s="224"/>
      <c r="BR35" s="224"/>
      <c r="BS35" s="224"/>
      <c r="BT35" s="224">
        <f t="shared" ref="BT35:BT92" si="6">COUNTIF(E35:BS35,"Y")</f>
        <v>10</v>
      </c>
      <c r="BU35" s="221" t="str">
        <f t="shared" ref="BU35:BU92" si="7">IF(E35="Y",$E$3,"")&amp;IF(F35="Y","; "&amp;$F$3,"")&amp;IF(G35="Y","; "&amp;$G$3,"")&amp;IF(H35="Y","; "&amp;$H$3,"")&amp;IF(I35="Y","; "&amp;$I$3,"")&amp;IF(J35="Y","; "&amp;$J$3,"")&amp;IF(K35="Y","; "&amp;$K$3,"")&amp;IF(L35="Y","; "&amp;$L$3,"")&amp;IF(M35="Y","; "&amp;$M$3,"")&amp;IF(N35="Y","; "&amp;$N$3,"")&amp;IF(O35="Y","; "&amp;$O$3,"")&amp;IF(P35="Y","; "&amp;$P$3,"")&amp;IF(Q35="Y","; "&amp;$Q$3,"")&amp;IF(R35="Y","; "&amp;$R$3,"")&amp;IF(S35="Y","; "&amp;$S$3,"")&amp;IF(T35="Y","; "&amp;$T$3,"")&amp;IF(U35="Y","; "&amp;$U$3,"")&amp;IF(V35="Y","; "&amp;$V$3,"")&amp;IF(W35="Y","; "&amp;$W$3,"")&amp;IF(X35="Y","; "&amp;$X$3,"")&amp;IF(Y35="Y","; "&amp;$Y$3,"")&amp;IF(Z35="Y","; "&amp;$Z$3,"")&amp;IF(AA35="Y","; "&amp;$AA$3,"")&amp;IF(AB35="Y","; "&amp;$AB$3,"")&amp;IF(AC35="Y","; "&amp;$AC$3,"")&amp;IF(AD35="Y","; "&amp;$AD$3,"")&amp;IF(AE35="Y","; "&amp;$AE$3,"")&amp;IF(AF35="Y","; "&amp;$AF$3,"")&amp;IF(AG35="Y","; "&amp;$AG$3,"")&amp;IF(AH35="Y","; "&amp;$AH$3,"")&amp;IF(AI35="Y","; "&amp;$AI$3,"")&amp;IF(AJ35="Y","; "&amp;$AJ$3,"")&amp;IF(AK35="Y","; "&amp;$AK$3,"")&amp;IF(AL35="Y","; "&amp;$AL$3,"")&amp;IF(AM35="Y","; "&amp;$AM$3,"")&amp;IF(AN35="Y","; "&amp;$AN$3,"")&amp;IF(AO35="Y","; "&amp;$AO$3,"")&amp;IF(AP35="Y","; "&amp;$AP$3,"")&amp;IF(AQ35="Y","; "&amp;$AQ$3,"")&amp;IF(AR35="Y","; "&amp;$AR$3,"")&amp;IF(AS35="Y","; "&amp;$AS$3,"")&amp;IF(AT35="Y","; "&amp;$AT$3,"")&amp;IF(AU35="Y","; "&amp;$AU$3,"")&amp;IF(AV35="Y","; "&amp;$AV$3,"")&amp;IF(AW35="Y","; "&amp;$AW$3,"")&amp;IF(AX35="Y","; "&amp;$AX$3,"")&amp;IF(AY35="Y","; "&amp;$AY$3,"")&amp;IF(AZ35="Y","; "&amp;$AZ$3,"")&amp;IF(BA35="Y","; "&amp;$BA$3,"")&amp;IF(BB35="Y","; "&amp;$BB$3,"")&amp;IF(BC35="Y","; "&amp;$BC$3,"")&amp;IF(BD35="Y","; "&amp;$BD$3,"")&amp;IF(BE35="Y","; "&amp;$BE$3,"")&amp;IF(BF35="Y","; "&amp;$BF$3,"")&amp;IF(BG35="Y","; "&amp;$BG$3,"")&amp;IF(BH35="Y","; "&amp;$BH$3,"")&amp;IF(BI35="Y","; "&amp;$BI$3,"")&amp;IF(BJ35="Y","; "&amp;$BJ$3,"")&amp;IF(BK35="Y","; "&amp;$BK$3,"")&amp;IF(BL35="Y","; "&amp;$BL$3,"")&amp;IF(BM35="Y","; "&amp;$BM$3,"")&amp;IF(BN35="Y","; "&amp;$BN$3,"")&amp;IF(BO35="Y","; "&amp;$BO$3,"")&amp;IF(BP35="Y","; "&amp;$BP$3,"")&amp;IF(BQ35="Y","; "&amp;$BQ$3,"")&amp;IF(BR35="Y","; "&amp;$BR$3,"")&amp;IF(BS35="Y","; "&amp;$BS$3,"")</f>
        <v>; 8.2.3; 8.2.5; 8.2.6; 8.3.3; 8.3.4; 8.7.3; 9.1; 9.2; 9.3; 9.4</v>
      </c>
    </row>
    <row r="36" spans="2:73" ht="27.6" x14ac:dyDescent="0.3">
      <c r="B36" s="129" t="s">
        <v>836</v>
      </c>
      <c r="C36" s="222">
        <v>33</v>
      </c>
      <c r="D36" s="131" t="s">
        <v>776</v>
      </c>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4"/>
      <c r="AI36" s="224"/>
      <c r="AJ36" s="224"/>
      <c r="AK36" s="224"/>
      <c r="AL36" s="224"/>
      <c r="AM36" s="224" t="s">
        <v>636</v>
      </c>
      <c r="AN36" s="224"/>
      <c r="AO36" s="224" t="s">
        <v>636</v>
      </c>
      <c r="AP36" s="224" t="s">
        <v>636</v>
      </c>
      <c r="AQ36" s="224"/>
      <c r="AR36" s="224"/>
      <c r="AS36" s="224"/>
      <c r="AT36" s="224" t="s">
        <v>636</v>
      </c>
      <c r="AU36" s="224" t="s">
        <v>636</v>
      </c>
      <c r="AV36" s="224"/>
      <c r="AW36" s="224"/>
      <c r="AX36" s="224"/>
      <c r="AY36" s="224"/>
      <c r="AZ36" s="224"/>
      <c r="BA36" s="224"/>
      <c r="BB36" s="224"/>
      <c r="BC36" s="224"/>
      <c r="BD36" s="224"/>
      <c r="BE36" s="224"/>
      <c r="BF36" s="224"/>
      <c r="BG36" s="224"/>
      <c r="BH36" s="224"/>
      <c r="BI36" s="224"/>
      <c r="BJ36" s="224"/>
      <c r="BK36" s="224" t="s">
        <v>636</v>
      </c>
      <c r="BL36" s="224"/>
      <c r="BM36" s="224" t="s">
        <v>636</v>
      </c>
      <c r="BN36" s="224" t="s">
        <v>636</v>
      </c>
      <c r="BO36" s="224" t="s">
        <v>636</v>
      </c>
      <c r="BP36" s="224" t="s">
        <v>636</v>
      </c>
      <c r="BQ36" s="224"/>
      <c r="BR36" s="224"/>
      <c r="BS36" s="224"/>
      <c r="BT36" s="224">
        <f t="shared" si="6"/>
        <v>10</v>
      </c>
      <c r="BU36" s="221" t="str">
        <f t="shared" si="7"/>
        <v>; 8.2.3; 8.2.5; 8.2.6; 8.3.3; 8.3.4; 8.7.3; 9.1; 9.2; 9.3; 9.4</v>
      </c>
    </row>
    <row r="37" spans="2:73" ht="27.6" x14ac:dyDescent="0.3">
      <c r="B37" s="129" t="s">
        <v>836</v>
      </c>
      <c r="C37" s="222">
        <v>34</v>
      </c>
      <c r="D37" s="131" t="s">
        <v>779</v>
      </c>
      <c r="E37" s="224"/>
      <c r="F37" s="224"/>
      <c r="G37" s="224"/>
      <c r="H37" s="224"/>
      <c r="I37" s="224"/>
      <c r="J37" s="224"/>
      <c r="K37" s="224"/>
      <c r="L37" s="224"/>
      <c r="M37" s="224"/>
      <c r="N37" s="224"/>
      <c r="O37" s="224"/>
      <c r="P37" s="224"/>
      <c r="Q37" s="224"/>
      <c r="R37" s="224"/>
      <c r="S37" s="224"/>
      <c r="T37" s="224"/>
      <c r="U37" s="224"/>
      <c r="V37" s="224"/>
      <c r="W37" s="224"/>
      <c r="X37" s="224"/>
      <c r="Y37" s="224"/>
      <c r="Z37" s="224"/>
      <c r="AA37" s="224"/>
      <c r="AB37" s="224"/>
      <c r="AC37" s="224"/>
      <c r="AD37" s="224"/>
      <c r="AE37" s="224"/>
      <c r="AF37" s="224"/>
      <c r="AG37" s="224"/>
      <c r="AH37" s="224"/>
      <c r="AI37" s="224"/>
      <c r="AJ37" s="224"/>
      <c r="AK37" s="224"/>
      <c r="AL37" s="224"/>
      <c r="AM37" s="224" t="s">
        <v>636</v>
      </c>
      <c r="AN37" s="224"/>
      <c r="AO37" s="224" t="s">
        <v>636</v>
      </c>
      <c r="AP37" s="224" t="s">
        <v>636</v>
      </c>
      <c r="AQ37" s="224"/>
      <c r="AR37" s="224"/>
      <c r="AS37" s="224"/>
      <c r="AT37" s="224" t="s">
        <v>636</v>
      </c>
      <c r="AU37" s="224" t="s">
        <v>636</v>
      </c>
      <c r="AV37" s="224"/>
      <c r="AW37" s="224"/>
      <c r="AX37" s="224"/>
      <c r="AY37" s="224"/>
      <c r="AZ37" s="224"/>
      <c r="BA37" s="224"/>
      <c r="BB37" s="224"/>
      <c r="BC37" s="224"/>
      <c r="BD37" s="224"/>
      <c r="BE37" s="224"/>
      <c r="BF37" s="224"/>
      <c r="BG37" s="224"/>
      <c r="BH37" s="224"/>
      <c r="BI37" s="224"/>
      <c r="BJ37" s="224"/>
      <c r="BK37" s="224" t="s">
        <v>636</v>
      </c>
      <c r="BL37" s="224"/>
      <c r="BM37" s="224" t="s">
        <v>636</v>
      </c>
      <c r="BN37" s="224" t="s">
        <v>636</v>
      </c>
      <c r="BO37" s="224" t="s">
        <v>636</v>
      </c>
      <c r="BP37" s="224" t="s">
        <v>636</v>
      </c>
      <c r="BQ37" s="224"/>
      <c r="BR37" s="224"/>
      <c r="BS37" s="224"/>
      <c r="BT37" s="224">
        <f t="shared" si="6"/>
        <v>10</v>
      </c>
      <c r="BU37" s="221" t="str">
        <f t="shared" si="7"/>
        <v>; 8.2.3; 8.2.5; 8.2.6; 8.3.3; 8.3.4; 8.7.3; 9.1; 9.2; 9.3; 9.4</v>
      </c>
    </row>
    <row r="38" spans="2:73" ht="27.6" x14ac:dyDescent="0.3">
      <c r="B38" s="129" t="s">
        <v>836</v>
      </c>
      <c r="C38" s="222">
        <v>35</v>
      </c>
      <c r="D38" s="131" t="s">
        <v>780</v>
      </c>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224"/>
      <c r="AD38" s="224"/>
      <c r="AE38" s="224"/>
      <c r="AF38" s="224"/>
      <c r="AG38" s="224"/>
      <c r="AH38" s="224"/>
      <c r="AI38" s="224"/>
      <c r="AJ38" s="224"/>
      <c r="AK38" s="224"/>
      <c r="AL38" s="224"/>
      <c r="AM38" s="224" t="s">
        <v>636</v>
      </c>
      <c r="AN38" s="224"/>
      <c r="AO38" s="224" t="s">
        <v>636</v>
      </c>
      <c r="AP38" s="224" t="s">
        <v>636</v>
      </c>
      <c r="AQ38" s="224"/>
      <c r="AR38" s="224"/>
      <c r="AS38" s="224"/>
      <c r="AT38" s="224" t="s">
        <v>636</v>
      </c>
      <c r="AU38" s="224" t="s">
        <v>636</v>
      </c>
      <c r="AV38" s="224"/>
      <c r="AW38" s="224"/>
      <c r="AX38" s="224"/>
      <c r="AY38" s="224"/>
      <c r="AZ38" s="224"/>
      <c r="BA38" s="224"/>
      <c r="BB38" s="224"/>
      <c r="BC38" s="224"/>
      <c r="BD38" s="224"/>
      <c r="BE38" s="224"/>
      <c r="BF38" s="224"/>
      <c r="BG38" s="224"/>
      <c r="BH38" s="224"/>
      <c r="BI38" s="224"/>
      <c r="BJ38" s="224"/>
      <c r="BK38" s="224" t="s">
        <v>636</v>
      </c>
      <c r="BL38" s="224"/>
      <c r="BM38" s="224" t="s">
        <v>636</v>
      </c>
      <c r="BN38" s="224" t="s">
        <v>636</v>
      </c>
      <c r="BO38" s="224" t="s">
        <v>636</v>
      </c>
      <c r="BP38" s="224" t="s">
        <v>636</v>
      </c>
      <c r="BQ38" s="224"/>
      <c r="BR38" s="224"/>
      <c r="BS38" s="224"/>
      <c r="BT38" s="224">
        <f t="shared" si="6"/>
        <v>10</v>
      </c>
      <c r="BU38" s="221" t="str">
        <f t="shared" si="7"/>
        <v>; 8.2.3; 8.2.5; 8.2.6; 8.3.3; 8.3.4; 8.7.3; 9.1; 9.2; 9.3; 9.4</v>
      </c>
    </row>
    <row r="39" spans="2:73" ht="27.6" x14ac:dyDescent="0.3">
      <c r="B39" s="129" t="s">
        <v>836</v>
      </c>
      <c r="C39" s="222">
        <v>36</v>
      </c>
      <c r="D39" s="131" t="s">
        <v>781</v>
      </c>
      <c r="E39" s="224"/>
      <c r="F39" s="224"/>
      <c r="G39" s="224"/>
      <c r="H39" s="224"/>
      <c r="I39" s="224"/>
      <c r="J39" s="224"/>
      <c r="K39" s="224"/>
      <c r="L39" s="224"/>
      <c r="M39" s="224"/>
      <c r="N39" s="224"/>
      <c r="O39" s="224"/>
      <c r="P39" s="224"/>
      <c r="Q39" s="224"/>
      <c r="R39" s="224"/>
      <c r="S39" s="224"/>
      <c r="T39" s="224"/>
      <c r="U39" s="224"/>
      <c r="V39" s="224"/>
      <c r="W39" s="224"/>
      <c r="X39" s="224"/>
      <c r="Y39" s="224"/>
      <c r="Z39" s="224"/>
      <c r="AA39" s="224"/>
      <c r="AB39" s="224"/>
      <c r="AC39" s="224"/>
      <c r="AD39" s="224"/>
      <c r="AE39" s="224"/>
      <c r="AF39" s="224"/>
      <c r="AG39" s="224"/>
      <c r="AH39" s="224"/>
      <c r="AI39" s="224"/>
      <c r="AJ39" s="224"/>
      <c r="AK39" s="224"/>
      <c r="AL39" s="224"/>
      <c r="AM39" s="224" t="s">
        <v>636</v>
      </c>
      <c r="AN39" s="224"/>
      <c r="AO39" s="224" t="s">
        <v>636</v>
      </c>
      <c r="AP39" s="224" t="s">
        <v>636</v>
      </c>
      <c r="AQ39" s="224"/>
      <c r="AR39" s="224"/>
      <c r="AS39" s="224"/>
      <c r="AT39" s="224" t="s">
        <v>636</v>
      </c>
      <c r="AU39" s="224" t="s">
        <v>636</v>
      </c>
      <c r="AV39" s="224"/>
      <c r="AW39" s="224"/>
      <c r="AX39" s="224"/>
      <c r="AY39" s="224"/>
      <c r="AZ39" s="224"/>
      <c r="BA39" s="224"/>
      <c r="BB39" s="224"/>
      <c r="BC39" s="224"/>
      <c r="BD39" s="224"/>
      <c r="BE39" s="224"/>
      <c r="BF39" s="224"/>
      <c r="BG39" s="224"/>
      <c r="BH39" s="224"/>
      <c r="BI39" s="224"/>
      <c r="BJ39" s="224"/>
      <c r="BK39" s="224" t="s">
        <v>636</v>
      </c>
      <c r="BL39" s="224"/>
      <c r="BM39" s="224" t="s">
        <v>636</v>
      </c>
      <c r="BN39" s="224" t="s">
        <v>636</v>
      </c>
      <c r="BO39" s="224" t="s">
        <v>636</v>
      </c>
      <c r="BP39" s="224" t="s">
        <v>636</v>
      </c>
      <c r="BQ39" s="224"/>
      <c r="BR39" s="224"/>
      <c r="BS39" s="224"/>
      <c r="BT39" s="224">
        <f t="shared" si="6"/>
        <v>10</v>
      </c>
      <c r="BU39" s="221" t="str">
        <f t="shared" si="7"/>
        <v>; 8.2.3; 8.2.5; 8.2.6; 8.3.3; 8.3.4; 8.7.3; 9.1; 9.2; 9.3; 9.4</v>
      </c>
    </row>
    <row r="40" spans="2:73" ht="27.6" x14ac:dyDescent="0.3">
      <c r="B40" s="129" t="s">
        <v>836</v>
      </c>
      <c r="C40" s="222">
        <v>37</v>
      </c>
      <c r="D40" s="131" t="s">
        <v>782</v>
      </c>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4"/>
      <c r="AI40" s="224"/>
      <c r="AJ40" s="224"/>
      <c r="AK40" s="224"/>
      <c r="AL40" s="224"/>
      <c r="AM40" s="224" t="s">
        <v>636</v>
      </c>
      <c r="AN40" s="224"/>
      <c r="AO40" s="224" t="s">
        <v>636</v>
      </c>
      <c r="AP40" s="224" t="s">
        <v>636</v>
      </c>
      <c r="AQ40" s="224"/>
      <c r="AR40" s="224"/>
      <c r="AS40" s="224"/>
      <c r="AT40" s="224" t="s">
        <v>636</v>
      </c>
      <c r="AU40" s="224" t="s">
        <v>636</v>
      </c>
      <c r="AV40" s="224"/>
      <c r="AW40" s="224"/>
      <c r="AX40" s="224"/>
      <c r="AY40" s="224"/>
      <c r="AZ40" s="224"/>
      <c r="BA40" s="224"/>
      <c r="BB40" s="224"/>
      <c r="BC40" s="224"/>
      <c r="BD40" s="224"/>
      <c r="BE40" s="224"/>
      <c r="BF40" s="224"/>
      <c r="BG40" s="224"/>
      <c r="BH40" s="224"/>
      <c r="BI40" s="224"/>
      <c r="BJ40" s="224"/>
      <c r="BK40" s="224" t="s">
        <v>636</v>
      </c>
      <c r="BL40" s="224"/>
      <c r="BM40" s="224" t="s">
        <v>636</v>
      </c>
      <c r="BN40" s="224" t="s">
        <v>636</v>
      </c>
      <c r="BO40" s="224" t="s">
        <v>636</v>
      </c>
      <c r="BP40" s="224" t="s">
        <v>636</v>
      </c>
      <c r="BQ40" s="224"/>
      <c r="BR40" s="224"/>
      <c r="BS40" s="224"/>
      <c r="BT40" s="224">
        <f t="shared" si="6"/>
        <v>10</v>
      </c>
      <c r="BU40" s="221" t="str">
        <f t="shared" si="7"/>
        <v>; 8.2.3; 8.2.5; 8.2.6; 8.3.3; 8.3.4; 8.7.3; 9.1; 9.2; 9.3; 9.4</v>
      </c>
    </row>
    <row r="41" spans="2:73" ht="41.4" x14ac:dyDescent="0.3">
      <c r="B41" s="129" t="s">
        <v>836</v>
      </c>
      <c r="C41" s="222">
        <v>38</v>
      </c>
      <c r="D41" s="131" t="s">
        <v>783</v>
      </c>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4"/>
      <c r="AI41" s="224"/>
      <c r="AJ41" s="224"/>
      <c r="AK41" s="224"/>
      <c r="AL41" s="224"/>
      <c r="AM41" s="224" t="s">
        <v>636</v>
      </c>
      <c r="AN41" s="224"/>
      <c r="AO41" s="224" t="s">
        <v>636</v>
      </c>
      <c r="AP41" s="224" t="s">
        <v>636</v>
      </c>
      <c r="AQ41" s="224"/>
      <c r="AR41" s="224"/>
      <c r="AS41" s="224"/>
      <c r="AT41" s="224" t="s">
        <v>636</v>
      </c>
      <c r="AU41" s="224" t="s">
        <v>636</v>
      </c>
      <c r="AV41" s="224"/>
      <c r="AW41" s="224"/>
      <c r="AX41" s="224"/>
      <c r="AY41" s="224"/>
      <c r="AZ41" s="224"/>
      <c r="BA41" s="224"/>
      <c r="BB41" s="224"/>
      <c r="BC41" s="224"/>
      <c r="BD41" s="224"/>
      <c r="BE41" s="224"/>
      <c r="BF41" s="224"/>
      <c r="BG41" s="224"/>
      <c r="BH41" s="224"/>
      <c r="BI41" s="224"/>
      <c r="BJ41" s="224"/>
      <c r="BK41" s="224" t="s">
        <v>636</v>
      </c>
      <c r="BL41" s="224"/>
      <c r="BM41" s="224" t="s">
        <v>636</v>
      </c>
      <c r="BN41" s="224" t="s">
        <v>636</v>
      </c>
      <c r="BO41" s="224" t="s">
        <v>636</v>
      </c>
      <c r="BP41" s="224" t="s">
        <v>636</v>
      </c>
      <c r="BQ41" s="224"/>
      <c r="BR41" s="224"/>
      <c r="BS41" s="224"/>
      <c r="BT41" s="224">
        <f t="shared" si="6"/>
        <v>10</v>
      </c>
      <c r="BU41" s="221" t="str">
        <f t="shared" si="7"/>
        <v>; 8.2.3; 8.2.5; 8.2.6; 8.3.3; 8.3.4; 8.7.3; 9.1; 9.2; 9.3; 9.4</v>
      </c>
    </row>
    <row r="42" spans="2:73" ht="27.6" x14ac:dyDescent="0.3">
      <c r="B42" s="129" t="s">
        <v>837</v>
      </c>
      <c r="C42" s="222">
        <v>39</v>
      </c>
      <c r="D42" s="131" t="s">
        <v>785</v>
      </c>
      <c r="E42" s="224"/>
      <c r="F42" s="224"/>
      <c r="G42" s="224"/>
      <c r="H42" s="224"/>
      <c r="I42" s="224"/>
      <c r="J42" s="224"/>
      <c r="K42" s="224"/>
      <c r="L42" s="224"/>
      <c r="M42" s="224"/>
      <c r="N42" s="224"/>
      <c r="O42" s="224"/>
      <c r="P42" s="224"/>
      <c r="Q42" s="224"/>
      <c r="R42" s="224"/>
      <c r="S42" s="224"/>
      <c r="T42" s="224"/>
      <c r="U42" s="224"/>
      <c r="V42" s="224"/>
      <c r="W42" s="224"/>
      <c r="X42" s="224"/>
      <c r="Y42" s="224"/>
      <c r="Z42" s="224"/>
      <c r="AA42" s="224"/>
      <c r="AB42" s="224"/>
      <c r="AC42" s="224"/>
      <c r="AD42" s="224"/>
      <c r="AE42" s="224"/>
      <c r="AF42" s="224"/>
      <c r="AG42" s="224"/>
      <c r="AH42" s="224"/>
      <c r="AI42" s="224" t="s">
        <v>636</v>
      </c>
      <c r="AJ42" s="224"/>
      <c r="AK42" s="224" t="s">
        <v>636</v>
      </c>
      <c r="AL42" s="224" t="s">
        <v>636</v>
      </c>
      <c r="AM42" s="224" t="s">
        <v>636</v>
      </c>
      <c r="AN42" s="224"/>
      <c r="AO42" s="224"/>
      <c r="AP42" s="224"/>
      <c r="AQ42" s="224"/>
      <c r="AR42" s="224"/>
      <c r="AS42" s="224"/>
      <c r="AT42" s="224"/>
      <c r="AU42" s="224"/>
      <c r="AV42" s="224"/>
      <c r="AW42" s="224"/>
      <c r="AX42" s="224"/>
      <c r="AY42" s="224"/>
      <c r="AZ42" s="224"/>
      <c r="BA42" s="224"/>
      <c r="BB42" s="224"/>
      <c r="BC42" s="224"/>
      <c r="BD42" s="224"/>
      <c r="BE42" s="224"/>
      <c r="BF42" s="224"/>
      <c r="BG42" s="224"/>
      <c r="BH42" s="224"/>
      <c r="BI42" s="224"/>
      <c r="BJ42" s="224"/>
      <c r="BK42" s="224" t="s">
        <v>636</v>
      </c>
      <c r="BL42" s="224"/>
      <c r="BM42" s="224" t="s">
        <v>636</v>
      </c>
      <c r="BN42" s="224" t="s">
        <v>636</v>
      </c>
      <c r="BO42" s="224" t="s">
        <v>636</v>
      </c>
      <c r="BP42" s="224" t="s">
        <v>636</v>
      </c>
      <c r="BQ42" s="224"/>
      <c r="BR42" s="224"/>
      <c r="BS42" s="224"/>
      <c r="BT42" s="224">
        <f t="shared" si="6"/>
        <v>9</v>
      </c>
      <c r="BU42" s="221" t="str">
        <f t="shared" si="7"/>
        <v>; 8.1; 8.2.1; 8.2.2; 8.2.3; 8.7.3; 9.1; 9.2; 9.3; 9.4</v>
      </c>
    </row>
    <row r="43" spans="2:73" ht="27.6" x14ac:dyDescent="0.3">
      <c r="B43" s="129" t="s">
        <v>837</v>
      </c>
      <c r="C43" s="222">
        <v>40</v>
      </c>
      <c r="D43" s="131" t="s">
        <v>786</v>
      </c>
      <c r="E43" s="224"/>
      <c r="F43" s="224"/>
      <c r="G43" s="224"/>
      <c r="H43" s="224"/>
      <c r="I43" s="224"/>
      <c r="J43" s="224"/>
      <c r="K43" s="224"/>
      <c r="L43" s="224"/>
      <c r="M43" s="224"/>
      <c r="N43" s="224"/>
      <c r="O43" s="224"/>
      <c r="P43" s="224"/>
      <c r="Q43" s="224"/>
      <c r="R43" s="224"/>
      <c r="S43" s="224"/>
      <c r="T43" s="224"/>
      <c r="U43" s="224"/>
      <c r="V43" s="224"/>
      <c r="W43" s="224"/>
      <c r="X43" s="224"/>
      <c r="Y43" s="224"/>
      <c r="Z43" s="224"/>
      <c r="AA43" s="224"/>
      <c r="AB43" s="224"/>
      <c r="AC43" s="224"/>
      <c r="AD43" s="224"/>
      <c r="AE43" s="224"/>
      <c r="AF43" s="224"/>
      <c r="AG43" s="224"/>
      <c r="AH43" s="224"/>
      <c r="AI43" s="224" t="s">
        <v>636</v>
      </c>
      <c r="AJ43" s="224"/>
      <c r="AK43" s="224" t="s">
        <v>636</v>
      </c>
      <c r="AL43" s="224" t="s">
        <v>636</v>
      </c>
      <c r="AM43" s="224" t="s">
        <v>636</v>
      </c>
      <c r="AN43" s="224"/>
      <c r="AO43" s="224"/>
      <c r="AP43" s="224"/>
      <c r="AQ43" s="224"/>
      <c r="AR43" s="224"/>
      <c r="AS43" s="224"/>
      <c r="AT43" s="224"/>
      <c r="AU43" s="224"/>
      <c r="AV43" s="224"/>
      <c r="AW43" s="224"/>
      <c r="AX43" s="224"/>
      <c r="AY43" s="224"/>
      <c r="AZ43" s="224"/>
      <c r="BA43" s="224"/>
      <c r="BB43" s="224"/>
      <c r="BC43" s="224"/>
      <c r="BD43" s="224"/>
      <c r="BE43" s="224"/>
      <c r="BF43" s="224"/>
      <c r="BG43" s="224"/>
      <c r="BH43" s="224"/>
      <c r="BI43" s="224"/>
      <c r="BJ43" s="224"/>
      <c r="BK43" s="224" t="s">
        <v>636</v>
      </c>
      <c r="BL43" s="224"/>
      <c r="BM43" s="224" t="s">
        <v>636</v>
      </c>
      <c r="BN43" s="224" t="s">
        <v>636</v>
      </c>
      <c r="BO43" s="224" t="s">
        <v>636</v>
      </c>
      <c r="BP43" s="224" t="s">
        <v>636</v>
      </c>
      <c r="BQ43" s="224"/>
      <c r="BR43" s="224"/>
      <c r="BS43" s="224"/>
      <c r="BT43" s="224">
        <f t="shared" si="6"/>
        <v>9</v>
      </c>
      <c r="BU43" s="221" t="str">
        <f t="shared" si="7"/>
        <v>; 8.1; 8.2.1; 8.2.2; 8.2.3; 8.7.3; 9.1; 9.2; 9.3; 9.4</v>
      </c>
    </row>
    <row r="44" spans="2:73" ht="27.6" x14ac:dyDescent="0.3">
      <c r="B44" s="129" t="s">
        <v>837</v>
      </c>
      <c r="C44" s="222">
        <v>41</v>
      </c>
      <c r="D44" s="131" t="s">
        <v>787</v>
      </c>
      <c r="E44" s="224"/>
      <c r="F44" s="224"/>
      <c r="G44" s="224"/>
      <c r="H44" s="224"/>
      <c r="I44" s="224"/>
      <c r="J44" s="224"/>
      <c r="K44" s="224"/>
      <c r="L44" s="224"/>
      <c r="M44" s="224"/>
      <c r="N44" s="224"/>
      <c r="O44" s="224"/>
      <c r="P44" s="224"/>
      <c r="Q44" s="224"/>
      <c r="R44" s="224"/>
      <c r="S44" s="224"/>
      <c r="T44" s="224"/>
      <c r="U44" s="224"/>
      <c r="V44" s="224"/>
      <c r="W44" s="224"/>
      <c r="X44" s="224"/>
      <c r="Y44" s="224"/>
      <c r="Z44" s="224"/>
      <c r="AA44" s="224"/>
      <c r="AB44" s="224"/>
      <c r="AC44" s="224"/>
      <c r="AD44" s="224"/>
      <c r="AE44" s="224"/>
      <c r="AF44" s="224"/>
      <c r="AG44" s="224"/>
      <c r="AH44" s="224"/>
      <c r="AI44" s="224" t="s">
        <v>636</v>
      </c>
      <c r="AJ44" s="224"/>
      <c r="AK44" s="224" t="s">
        <v>636</v>
      </c>
      <c r="AL44" s="224" t="s">
        <v>636</v>
      </c>
      <c r="AM44" s="224" t="s">
        <v>636</v>
      </c>
      <c r="AN44" s="224"/>
      <c r="AO44" s="224"/>
      <c r="AP44" s="224"/>
      <c r="AQ44" s="224"/>
      <c r="AR44" s="224"/>
      <c r="AS44" s="224"/>
      <c r="AT44" s="224"/>
      <c r="AU44" s="224"/>
      <c r="AV44" s="224"/>
      <c r="AW44" s="224"/>
      <c r="AX44" s="224"/>
      <c r="AY44" s="224"/>
      <c r="AZ44" s="224"/>
      <c r="BA44" s="224"/>
      <c r="BB44" s="224"/>
      <c r="BC44" s="224"/>
      <c r="BD44" s="224"/>
      <c r="BE44" s="224"/>
      <c r="BF44" s="224"/>
      <c r="BG44" s="224"/>
      <c r="BH44" s="224"/>
      <c r="BI44" s="224"/>
      <c r="BJ44" s="224"/>
      <c r="BK44" s="224" t="s">
        <v>636</v>
      </c>
      <c r="BL44" s="224"/>
      <c r="BM44" s="224" t="s">
        <v>636</v>
      </c>
      <c r="BN44" s="224" t="s">
        <v>636</v>
      </c>
      <c r="BO44" s="224" t="s">
        <v>636</v>
      </c>
      <c r="BP44" s="224" t="s">
        <v>636</v>
      </c>
      <c r="BQ44" s="224"/>
      <c r="BR44" s="224"/>
      <c r="BS44" s="224"/>
      <c r="BT44" s="224">
        <f t="shared" si="6"/>
        <v>9</v>
      </c>
      <c r="BU44" s="221" t="str">
        <f t="shared" si="7"/>
        <v>; 8.1; 8.2.1; 8.2.2; 8.2.3; 8.7.3; 9.1; 9.2; 9.3; 9.4</v>
      </c>
    </row>
    <row r="45" spans="2:73" ht="27.6" x14ac:dyDescent="0.3">
      <c r="B45" s="129" t="s">
        <v>837</v>
      </c>
      <c r="C45" s="222">
        <v>42</v>
      </c>
      <c r="D45" s="131" t="s">
        <v>788</v>
      </c>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4"/>
      <c r="AI45" s="224" t="s">
        <v>636</v>
      </c>
      <c r="AJ45" s="224"/>
      <c r="AK45" s="224" t="s">
        <v>636</v>
      </c>
      <c r="AL45" s="224" t="s">
        <v>636</v>
      </c>
      <c r="AM45" s="224" t="s">
        <v>636</v>
      </c>
      <c r="AN45" s="224"/>
      <c r="AO45" s="224"/>
      <c r="AP45" s="224"/>
      <c r="AQ45" s="224"/>
      <c r="AR45" s="224"/>
      <c r="AS45" s="224"/>
      <c r="AT45" s="224"/>
      <c r="AU45" s="224"/>
      <c r="AV45" s="224"/>
      <c r="AW45" s="224"/>
      <c r="AX45" s="224"/>
      <c r="AY45" s="224"/>
      <c r="AZ45" s="224"/>
      <c r="BA45" s="224"/>
      <c r="BB45" s="224"/>
      <c r="BC45" s="224"/>
      <c r="BD45" s="224"/>
      <c r="BE45" s="224"/>
      <c r="BF45" s="224"/>
      <c r="BG45" s="224"/>
      <c r="BH45" s="224"/>
      <c r="BI45" s="224"/>
      <c r="BJ45" s="224"/>
      <c r="BK45" s="224" t="s">
        <v>636</v>
      </c>
      <c r="BL45" s="224"/>
      <c r="BM45" s="224" t="s">
        <v>636</v>
      </c>
      <c r="BN45" s="224" t="s">
        <v>636</v>
      </c>
      <c r="BO45" s="224" t="s">
        <v>636</v>
      </c>
      <c r="BP45" s="224" t="s">
        <v>636</v>
      </c>
      <c r="BQ45" s="224"/>
      <c r="BR45" s="224"/>
      <c r="BS45" s="224"/>
      <c r="BT45" s="224">
        <f t="shared" si="6"/>
        <v>9</v>
      </c>
      <c r="BU45" s="221" t="str">
        <f t="shared" si="7"/>
        <v>; 8.1; 8.2.1; 8.2.2; 8.2.3; 8.7.3; 9.1; 9.2; 9.3; 9.4</v>
      </c>
    </row>
    <row r="46" spans="2:73" ht="27.6" x14ac:dyDescent="0.3">
      <c r="B46" s="129" t="s">
        <v>837</v>
      </c>
      <c r="C46" s="222">
        <v>43</v>
      </c>
      <c r="D46" s="131" t="s">
        <v>789</v>
      </c>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4"/>
      <c r="AI46" s="224" t="s">
        <v>636</v>
      </c>
      <c r="AJ46" s="224"/>
      <c r="AK46" s="224" t="s">
        <v>636</v>
      </c>
      <c r="AL46" s="224" t="s">
        <v>636</v>
      </c>
      <c r="AM46" s="224" t="s">
        <v>636</v>
      </c>
      <c r="AN46" s="224"/>
      <c r="AO46" s="224"/>
      <c r="AP46" s="224"/>
      <c r="AQ46" s="224"/>
      <c r="AR46" s="224"/>
      <c r="AS46" s="224"/>
      <c r="AT46" s="224"/>
      <c r="AU46" s="224"/>
      <c r="AV46" s="224"/>
      <c r="AW46" s="224"/>
      <c r="AX46" s="224"/>
      <c r="AY46" s="224"/>
      <c r="AZ46" s="224"/>
      <c r="BA46" s="224"/>
      <c r="BB46" s="224"/>
      <c r="BC46" s="224"/>
      <c r="BD46" s="224"/>
      <c r="BE46" s="224"/>
      <c r="BF46" s="224"/>
      <c r="BG46" s="224"/>
      <c r="BH46" s="224"/>
      <c r="BI46" s="224"/>
      <c r="BJ46" s="224"/>
      <c r="BK46" s="224" t="s">
        <v>636</v>
      </c>
      <c r="BL46" s="224"/>
      <c r="BM46" s="224" t="s">
        <v>636</v>
      </c>
      <c r="BN46" s="224" t="s">
        <v>636</v>
      </c>
      <c r="BO46" s="224" t="s">
        <v>636</v>
      </c>
      <c r="BP46" s="224" t="s">
        <v>636</v>
      </c>
      <c r="BQ46" s="224"/>
      <c r="BR46" s="224"/>
      <c r="BS46" s="224"/>
      <c r="BT46" s="224">
        <f t="shared" si="6"/>
        <v>9</v>
      </c>
      <c r="BU46" s="221" t="str">
        <f t="shared" si="7"/>
        <v>; 8.1; 8.2.1; 8.2.2; 8.2.3; 8.7.3; 9.1; 9.2; 9.3; 9.4</v>
      </c>
    </row>
    <row r="47" spans="2:73" ht="27.6" x14ac:dyDescent="0.3">
      <c r="B47" s="129" t="s">
        <v>837</v>
      </c>
      <c r="C47" s="222">
        <v>44</v>
      </c>
      <c r="D47" s="131" t="s">
        <v>790</v>
      </c>
      <c r="E47" s="224"/>
      <c r="F47" s="224"/>
      <c r="G47" s="224"/>
      <c r="H47" s="224"/>
      <c r="I47" s="224"/>
      <c r="J47" s="224"/>
      <c r="K47" s="224"/>
      <c r="L47" s="224"/>
      <c r="M47" s="224"/>
      <c r="N47" s="224"/>
      <c r="O47" s="224"/>
      <c r="P47" s="224"/>
      <c r="Q47" s="224"/>
      <c r="R47" s="224"/>
      <c r="S47" s="224"/>
      <c r="T47" s="224"/>
      <c r="U47" s="224"/>
      <c r="V47" s="224"/>
      <c r="W47" s="224"/>
      <c r="X47" s="224"/>
      <c r="Y47" s="224"/>
      <c r="Z47" s="224"/>
      <c r="AA47" s="224"/>
      <c r="AB47" s="224"/>
      <c r="AC47" s="224"/>
      <c r="AD47" s="224"/>
      <c r="AE47" s="224"/>
      <c r="AF47" s="224"/>
      <c r="AG47" s="224"/>
      <c r="AH47" s="224"/>
      <c r="AI47" s="224" t="s">
        <v>636</v>
      </c>
      <c r="AJ47" s="224"/>
      <c r="AK47" s="224" t="s">
        <v>636</v>
      </c>
      <c r="AL47" s="224" t="s">
        <v>636</v>
      </c>
      <c r="AM47" s="224" t="s">
        <v>636</v>
      </c>
      <c r="AN47" s="224"/>
      <c r="AO47" s="224"/>
      <c r="AP47" s="224"/>
      <c r="AQ47" s="224"/>
      <c r="AR47" s="224"/>
      <c r="AS47" s="224"/>
      <c r="AT47" s="224"/>
      <c r="AU47" s="224"/>
      <c r="AV47" s="224"/>
      <c r="AW47" s="224"/>
      <c r="AX47" s="224"/>
      <c r="AY47" s="224"/>
      <c r="AZ47" s="224"/>
      <c r="BA47" s="224"/>
      <c r="BB47" s="224"/>
      <c r="BC47" s="224"/>
      <c r="BD47" s="224"/>
      <c r="BE47" s="224"/>
      <c r="BF47" s="224"/>
      <c r="BG47" s="224"/>
      <c r="BH47" s="224"/>
      <c r="BI47" s="224"/>
      <c r="BJ47" s="224"/>
      <c r="BK47" s="224" t="s">
        <v>636</v>
      </c>
      <c r="BL47" s="224"/>
      <c r="BM47" s="224" t="s">
        <v>636</v>
      </c>
      <c r="BN47" s="224" t="s">
        <v>636</v>
      </c>
      <c r="BO47" s="224" t="s">
        <v>636</v>
      </c>
      <c r="BP47" s="224" t="s">
        <v>636</v>
      </c>
      <c r="BQ47" s="224"/>
      <c r="BR47" s="224"/>
      <c r="BS47" s="224"/>
      <c r="BT47" s="224">
        <f t="shared" si="6"/>
        <v>9</v>
      </c>
      <c r="BU47" s="221" t="str">
        <f t="shared" si="7"/>
        <v>; 8.1; 8.2.1; 8.2.2; 8.2.3; 8.7.3; 9.1; 9.2; 9.3; 9.4</v>
      </c>
    </row>
    <row r="48" spans="2:73" ht="27.6" x14ac:dyDescent="0.3">
      <c r="B48" s="129" t="s">
        <v>837</v>
      </c>
      <c r="C48" s="222">
        <v>45</v>
      </c>
      <c r="D48" s="131" t="s">
        <v>701</v>
      </c>
      <c r="E48" s="224"/>
      <c r="F48" s="224"/>
      <c r="G48" s="224"/>
      <c r="H48" s="224"/>
      <c r="I48" s="224"/>
      <c r="J48" s="224"/>
      <c r="K48" s="224"/>
      <c r="L48" s="224"/>
      <c r="M48" s="224"/>
      <c r="N48" s="224"/>
      <c r="O48" s="224"/>
      <c r="P48" s="224"/>
      <c r="Q48" s="224"/>
      <c r="R48" s="224"/>
      <c r="S48" s="224"/>
      <c r="T48" s="224"/>
      <c r="U48" s="224"/>
      <c r="V48" s="224"/>
      <c r="W48" s="224"/>
      <c r="X48" s="224"/>
      <c r="Y48" s="224"/>
      <c r="Z48" s="224"/>
      <c r="AA48" s="224"/>
      <c r="AB48" s="224"/>
      <c r="AC48" s="224"/>
      <c r="AD48" s="224"/>
      <c r="AE48" s="224"/>
      <c r="AF48" s="224"/>
      <c r="AG48" s="224"/>
      <c r="AH48" s="224"/>
      <c r="AI48" s="224" t="s">
        <v>636</v>
      </c>
      <c r="AJ48" s="224"/>
      <c r="AK48" s="224" t="s">
        <v>636</v>
      </c>
      <c r="AL48" s="224" t="s">
        <v>636</v>
      </c>
      <c r="AM48" s="224" t="s">
        <v>636</v>
      </c>
      <c r="AN48" s="224"/>
      <c r="AO48" s="224"/>
      <c r="AP48" s="224"/>
      <c r="AQ48" s="224"/>
      <c r="AR48" s="224"/>
      <c r="AS48" s="224"/>
      <c r="AT48" s="224"/>
      <c r="AU48" s="224"/>
      <c r="AV48" s="224"/>
      <c r="AW48" s="224"/>
      <c r="AX48" s="224"/>
      <c r="AY48" s="224"/>
      <c r="AZ48" s="224"/>
      <c r="BA48" s="224"/>
      <c r="BB48" s="224"/>
      <c r="BC48" s="224"/>
      <c r="BD48" s="224"/>
      <c r="BE48" s="224"/>
      <c r="BF48" s="224"/>
      <c r="BG48" s="224"/>
      <c r="BH48" s="224"/>
      <c r="BI48" s="224"/>
      <c r="BJ48" s="224"/>
      <c r="BK48" s="224" t="s">
        <v>636</v>
      </c>
      <c r="BL48" s="224"/>
      <c r="BM48" s="224" t="s">
        <v>636</v>
      </c>
      <c r="BN48" s="224" t="s">
        <v>636</v>
      </c>
      <c r="BO48" s="224" t="s">
        <v>636</v>
      </c>
      <c r="BP48" s="224" t="s">
        <v>636</v>
      </c>
      <c r="BQ48" s="224"/>
      <c r="BR48" s="224"/>
      <c r="BS48" s="224"/>
      <c r="BT48" s="224">
        <f t="shared" si="6"/>
        <v>9</v>
      </c>
      <c r="BU48" s="221" t="str">
        <f t="shared" si="7"/>
        <v>; 8.1; 8.2.1; 8.2.2; 8.2.3; 8.7.3; 9.1; 9.2; 9.3; 9.4</v>
      </c>
    </row>
    <row r="49" spans="2:73" ht="41.4" x14ac:dyDescent="0.3">
      <c r="B49" s="129" t="s">
        <v>837</v>
      </c>
      <c r="C49" s="222">
        <v>46</v>
      </c>
      <c r="D49" s="131" t="s">
        <v>791</v>
      </c>
      <c r="E49" s="224"/>
      <c r="F49" s="224"/>
      <c r="G49" s="224"/>
      <c r="H49" s="224"/>
      <c r="I49" s="224"/>
      <c r="J49" s="224"/>
      <c r="K49" s="224"/>
      <c r="L49" s="224"/>
      <c r="M49" s="224"/>
      <c r="N49" s="224"/>
      <c r="O49" s="224"/>
      <c r="P49" s="224"/>
      <c r="Q49" s="224"/>
      <c r="R49" s="224"/>
      <c r="S49" s="224"/>
      <c r="T49" s="224"/>
      <c r="U49" s="224"/>
      <c r="V49" s="224"/>
      <c r="W49" s="224"/>
      <c r="X49" s="224"/>
      <c r="Y49" s="224"/>
      <c r="Z49" s="224"/>
      <c r="AA49" s="224"/>
      <c r="AB49" s="224"/>
      <c r="AC49" s="224"/>
      <c r="AD49" s="224"/>
      <c r="AE49" s="224"/>
      <c r="AF49" s="224"/>
      <c r="AG49" s="224"/>
      <c r="AH49" s="224"/>
      <c r="AI49" s="224" t="s">
        <v>636</v>
      </c>
      <c r="AJ49" s="224"/>
      <c r="AK49" s="224" t="s">
        <v>636</v>
      </c>
      <c r="AL49" s="224" t="s">
        <v>636</v>
      </c>
      <c r="AM49" s="224" t="s">
        <v>636</v>
      </c>
      <c r="AN49" s="224"/>
      <c r="AO49" s="224"/>
      <c r="AP49" s="224"/>
      <c r="AQ49" s="224"/>
      <c r="AR49" s="224"/>
      <c r="AS49" s="224"/>
      <c r="AT49" s="224"/>
      <c r="AU49" s="224"/>
      <c r="AV49" s="224"/>
      <c r="AW49" s="224"/>
      <c r="AX49" s="224"/>
      <c r="AY49" s="224"/>
      <c r="AZ49" s="224"/>
      <c r="BA49" s="224"/>
      <c r="BB49" s="224"/>
      <c r="BC49" s="224"/>
      <c r="BD49" s="224"/>
      <c r="BE49" s="224"/>
      <c r="BF49" s="224"/>
      <c r="BG49" s="224"/>
      <c r="BH49" s="224"/>
      <c r="BI49" s="224"/>
      <c r="BJ49" s="224"/>
      <c r="BK49" s="224" t="s">
        <v>636</v>
      </c>
      <c r="BL49" s="224"/>
      <c r="BM49" s="224" t="s">
        <v>636</v>
      </c>
      <c r="BN49" s="224" t="s">
        <v>636</v>
      </c>
      <c r="BO49" s="224" t="s">
        <v>636</v>
      </c>
      <c r="BP49" s="224" t="s">
        <v>636</v>
      </c>
      <c r="BQ49" s="224"/>
      <c r="BR49" s="224"/>
      <c r="BS49" s="224"/>
      <c r="BT49" s="224">
        <f t="shared" si="6"/>
        <v>9</v>
      </c>
      <c r="BU49" s="221" t="str">
        <f t="shared" si="7"/>
        <v>; 8.1; 8.2.1; 8.2.2; 8.2.3; 8.7.3; 9.1; 9.2; 9.3; 9.4</v>
      </c>
    </row>
    <row r="50" spans="2:73" ht="41.4" x14ac:dyDescent="0.3">
      <c r="B50" s="129" t="s">
        <v>837</v>
      </c>
      <c r="C50" s="222">
        <v>47</v>
      </c>
      <c r="D50" s="131" t="s">
        <v>792</v>
      </c>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4"/>
      <c r="AI50" s="224" t="s">
        <v>636</v>
      </c>
      <c r="AJ50" s="224"/>
      <c r="AK50" s="224" t="s">
        <v>636</v>
      </c>
      <c r="AL50" s="224" t="s">
        <v>636</v>
      </c>
      <c r="AM50" s="224" t="s">
        <v>636</v>
      </c>
      <c r="AN50" s="224"/>
      <c r="AO50" s="224"/>
      <c r="AP50" s="224"/>
      <c r="AQ50" s="224"/>
      <c r="AR50" s="224"/>
      <c r="AS50" s="224"/>
      <c r="AT50" s="224"/>
      <c r="AU50" s="224"/>
      <c r="AV50" s="224"/>
      <c r="AW50" s="224"/>
      <c r="AX50" s="224"/>
      <c r="AY50" s="224"/>
      <c r="AZ50" s="224"/>
      <c r="BA50" s="224"/>
      <c r="BB50" s="224"/>
      <c r="BC50" s="224"/>
      <c r="BD50" s="224"/>
      <c r="BE50" s="224"/>
      <c r="BF50" s="224"/>
      <c r="BG50" s="224"/>
      <c r="BH50" s="224"/>
      <c r="BI50" s="224"/>
      <c r="BJ50" s="224"/>
      <c r="BK50" s="224" t="s">
        <v>636</v>
      </c>
      <c r="BL50" s="224"/>
      <c r="BM50" s="224" t="s">
        <v>636</v>
      </c>
      <c r="BN50" s="224" t="s">
        <v>636</v>
      </c>
      <c r="BO50" s="224" t="s">
        <v>636</v>
      </c>
      <c r="BP50" s="224" t="s">
        <v>636</v>
      </c>
      <c r="BQ50" s="224"/>
      <c r="BR50" s="224"/>
      <c r="BS50" s="224"/>
      <c r="BT50" s="224">
        <f t="shared" si="6"/>
        <v>9</v>
      </c>
      <c r="BU50" s="221" t="str">
        <f t="shared" si="7"/>
        <v>; 8.1; 8.2.1; 8.2.2; 8.2.3; 8.7.3; 9.1; 9.2; 9.3; 9.4</v>
      </c>
    </row>
    <row r="51" spans="2:73" x14ac:dyDescent="0.3">
      <c r="B51" s="129" t="s">
        <v>838</v>
      </c>
      <c r="C51" s="222">
        <v>48</v>
      </c>
      <c r="D51" s="131" t="s">
        <v>793</v>
      </c>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24"/>
      <c r="BH51" s="224"/>
      <c r="BI51" s="224" t="s">
        <v>636</v>
      </c>
      <c r="BJ51" s="224" t="s">
        <v>636</v>
      </c>
      <c r="BK51" s="224" t="s">
        <v>636</v>
      </c>
      <c r="BL51" s="224"/>
      <c r="BM51" s="224" t="s">
        <v>636</v>
      </c>
      <c r="BN51" s="224" t="s">
        <v>636</v>
      </c>
      <c r="BO51" s="224"/>
      <c r="BP51" s="224" t="s">
        <v>636</v>
      </c>
      <c r="BQ51" s="224"/>
      <c r="BR51" s="224"/>
      <c r="BS51" s="224"/>
      <c r="BT51" s="224">
        <f t="shared" si="6"/>
        <v>6</v>
      </c>
      <c r="BU51" s="221" t="str">
        <f t="shared" si="7"/>
        <v>; 8.7.1; 8.7.2; 8.7.3; 9.1; 9.2; 9.4</v>
      </c>
    </row>
    <row r="52" spans="2:73" x14ac:dyDescent="0.3">
      <c r="B52" s="129" t="s">
        <v>838</v>
      </c>
      <c r="C52" s="222">
        <v>49</v>
      </c>
      <c r="D52" s="131" t="s">
        <v>794</v>
      </c>
      <c r="E52" s="224"/>
      <c r="F52" s="224"/>
      <c r="G52" s="224"/>
      <c r="H52" s="224"/>
      <c r="I52" s="224"/>
      <c r="J52" s="224"/>
      <c r="K52" s="224"/>
      <c r="L52" s="224"/>
      <c r="M52" s="224"/>
      <c r="N52" s="224"/>
      <c r="O52" s="224"/>
      <c r="P52" s="224"/>
      <c r="Q52" s="224"/>
      <c r="R52" s="224"/>
      <c r="S52" s="224"/>
      <c r="T52" s="224"/>
      <c r="U52" s="224"/>
      <c r="V52" s="224"/>
      <c r="W52" s="224"/>
      <c r="X52" s="224"/>
      <c r="Y52" s="224"/>
      <c r="Z52" s="224"/>
      <c r="AA52" s="224"/>
      <c r="AB52" s="224"/>
      <c r="AC52" s="224"/>
      <c r="AD52" s="224"/>
      <c r="AE52" s="224"/>
      <c r="AF52" s="224"/>
      <c r="AG52" s="224"/>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24"/>
      <c r="BH52" s="224"/>
      <c r="BI52" s="224" t="s">
        <v>636</v>
      </c>
      <c r="BJ52" s="224" t="s">
        <v>636</v>
      </c>
      <c r="BK52" s="224" t="s">
        <v>636</v>
      </c>
      <c r="BL52" s="224"/>
      <c r="BM52" s="224" t="s">
        <v>636</v>
      </c>
      <c r="BN52" s="224" t="s">
        <v>636</v>
      </c>
      <c r="BO52" s="224"/>
      <c r="BP52" s="224" t="s">
        <v>636</v>
      </c>
      <c r="BQ52" s="224"/>
      <c r="BR52" s="224"/>
      <c r="BS52" s="224"/>
      <c r="BT52" s="224">
        <f t="shared" si="6"/>
        <v>6</v>
      </c>
      <c r="BU52" s="221" t="str">
        <f t="shared" si="7"/>
        <v>; 8.7.1; 8.7.2; 8.7.3; 9.1; 9.2; 9.4</v>
      </c>
    </row>
    <row r="53" spans="2:73" x14ac:dyDescent="0.3">
      <c r="B53" s="129" t="s">
        <v>838</v>
      </c>
      <c r="C53" s="222">
        <v>50</v>
      </c>
      <c r="D53" s="131" t="s">
        <v>795</v>
      </c>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24"/>
      <c r="AD53" s="224"/>
      <c r="AE53" s="224"/>
      <c r="AF53" s="224"/>
      <c r="AG53" s="224"/>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24"/>
      <c r="BH53" s="224"/>
      <c r="BI53" s="224" t="s">
        <v>636</v>
      </c>
      <c r="BJ53" s="224" t="s">
        <v>636</v>
      </c>
      <c r="BK53" s="224" t="s">
        <v>636</v>
      </c>
      <c r="BL53" s="224"/>
      <c r="BM53" s="224" t="s">
        <v>636</v>
      </c>
      <c r="BN53" s="224" t="s">
        <v>636</v>
      </c>
      <c r="BO53" s="224"/>
      <c r="BP53" s="224" t="s">
        <v>636</v>
      </c>
      <c r="BQ53" s="224"/>
      <c r="BR53" s="224"/>
      <c r="BS53" s="224"/>
      <c r="BT53" s="224">
        <f t="shared" si="6"/>
        <v>6</v>
      </c>
      <c r="BU53" s="221" t="str">
        <f t="shared" si="7"/>
        <v>; 8.7.1; 8.7.2; 8.7.3; 9.1; 9.2; 9.4</v>
      </c>
    </row>
    <row r="54" spans="2:73" x14ac:dyDescent="0.3">
      <c r="B54" s="129" t="s">
        <v>838</v>
      </c>
      <c r="C54" s="222">
        <v>51</v>
      </c>
      <c r="D54" s="131" t="s">
        <v>796</v>
      </c>
      <c r="E54" s="224"/>
      <c r="F54" s="224"/>
      <c r="G54" s="224"/>
      <c r="H54" s="224"/>
      <c r="I54" s="224"/>
      <c r="J54" s="224"/>
      <c r="K54" s="224"/>
      <c r="L54" s="224"/>
      <c r="M54" s="224"/>
      <c r="N54" s="224"/>
      <c r="O54" s="224"/>
      <c r="P54" s="224"/>
      <c r="Q54" s="224"/>
      <c r="R54" s="224"/>
      <c r="S54" s="224"/>
      <c r="T54" s="224"/>
      <c r="U54" s="224"/>
      <c r="V54" s="224"/>
      <c r="W54" s="224"/>
      <c r="X54" s="224"/>
      <c r="Y54" s="224"/>
      <c r="Z54" s="224"/>
      <c r="AA54" s="224"/>
      <c r="AB54" s="224"/>
      <c r="AC54" s="224"/>
      <c r="AD54" s="224"/>
      <c r="AE54" s="224"/>
      <c r="AF54" s="224"/>
      <c r="AG54" s="224"/>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24"/>
      <c r="BH54" s="224"/>
      <c r="BI54" s="224" t="s">
        <v>636</v>
      </c>
      <c r="BJ54" s="224" t="s">
        <v>636</v>
      </c>
      <c r="BK54" s="224" t="s">
        <v>636</v>
      </c>
      <c r="BL54" s="224"/>
      <c r="BM54" s="224" t="s">
        <v>636</v>
      </c>
      <c r="BN54" s="224" t="s">
        <v>636</v>
      </c>
      <c r="BO54" s="224"/>
      <c r="BP54" s="224" t="s">
        <v>636</v>
      </c>
      <c r="BQ54" s="224"/>
      <c r="BR54" s="224"/>
      <c r="BS54" s="224"/>
      <c r="BT54" s="224">
        <f t="shared" si="6"/>
        <v>6</v>
      </c>
      <c r="BU54" s="221" t="str">
        <f t="shared" si="7"/>
        <v>; 8.7.1; 8.7.2; 8.7.3; 9.1; 9.2; 9.4</v>
      </c>
    </row>
    <row r="55" spans="2:73" x14ac:dyDescent="0.3">
      <c r="B55" s="129" t="s">
        <v>838</v>
      </c>
      <c r="C55" s="222">
        <v>52</v>
      </c>
      <c r="D55" s="131" t="s">
        <v>797</v>
      </c>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24"/>
      <c r="BH55" s="224"/>
      <c r="BI55" s="224" t="s">
        <v>636</v>
      </c>
      <c r="BJ55" s="224" t="s">
        <v>636</v>
      </c>
      <c r="BK55" s="224" t="s">
        <v>636</v>
      </c>
      <c r="BL55" s="224"/>
      <c r="BM55" s="224" t="s">
        <v>636</v>
      </c>
      <c r="BN55" s="224" t="s">
        <v>636</v>
      </c>
      <c r="BO55" s="224"/>
      <c r="BP55" s="224" t="s">
        <v>636</v>
      </c>
      <c r="BQ55" s="224"/>
      <c r="BR55" s="224"/>
      <c r="BS55" s="224"/>
      <c r="BT55" s="224">
        <f t="shared" si="6"/>
        <v>6</v>
      </c>
      <c r="BU55" s="221" t="str">
        <f t="shared" si="7"/>
        <v>; 8.7.1; 8.7.2; 8.7.3; 9.1; 9.2; 9.4</v>
      </c>
    </row>
    <row r="56" spans="2:73" ht="27.6" x14ac:dyDescent="0.3">
      <c r="B56" s="129" t="s">
        <v>838</v>
      </c>
      <c r="C56" s="222">
        <v>53</v>
      </c>
      <c r="D56" s="131" t="s">
        <v>798</v>
      </c>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24"/>
      <c r="BH56" s="224"/>
      <c r="BI56" s="224" t="s">
        <v>636</v>
      </c>
      <c r="BJ56" s="224" t="s">
        <v>636</v>
      </c>
      <c r="BK56" s="224" t="s">
        <v>636</v>
      </c>
      <c r="BL56" s="224"/>
      <c r="BM56" s="224" t="s">
        <v>636</v>
      </c>
      <c r="BN56" s="224" t="s">
        <v>636</v>
      </c>
      <c r="BO56" s="224"/>
      <c r="BP56" s="224" t="s">
        <v>636</v>
      </c>
      <c r="BQ56" s="224"/>
      <c r="BR56" s="224"/>
      <c r="BS56" s="224"/>
      <c r="BT56" s="224">
        <f t="shared" si="6"/>
        <v>6</v>
      </c>
      <c r="BU56" s="221" t="str">
        <f t="shared" si="7"/>
        <v>; 8.7.1; 8.7.2; 8.7.3; 9.1; 9.2; 9.4</v>
      </c>
    </row>
    <row r="57" spans="2:73" ht="27.6" x14ac:dyDescent="0.3">
      <c r="B57" s="129" t="s">
        <v>838</v>
      </c>
      <c r="C57" s="222">
        <v>54</v>
      </c>
      <c r="D57" s="131" t="s">
        <v>799</v>
      </c>
      <c r="E57" s="224"/>
      <c r="F57" s="224"/>
      <c r="G57" s="224"/>
      <c r="H57" s="224"/>
      <c r="I57" s="224"/>
      <c r="J57" s="224"/>
      <c r="K57" s="224"/>
      <c r="L57" s="224"/>
      <c r="M57" s="224"/>
      <c r="N57" s="224"/>
      <c r="O57" s="224"/>
      <c r="P57" s="224"/>
      <c r="Q57" s="224"/>
      <c r="R57" s="224"/>
      <c r="S57" s="224"/>
      <c r="T57" s="224"/>
      <c r="U57" s="224"/>
      <c r="V57" s="224"/>
      <c r="W57" s="224"/>
      <c r="X57" s="224"/>
      <c r="Y57" s="224"/>
      <c r="Z57" s="224"/>
      <c r="AA57" s="224"/>
      <c r="AB57" s="224"/>
      <c r="AC57" s="224"/>
      <c r="AD57" s="224"/>
      <c r="AE57" s="224"/>
      <c r="AF57" s="224"/>
      <c r="AG57" s="224"/>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24"/>
      <c r="BH57" s="224"/>
      <c r="BI57" s="224" t="s">
        <v>636</v>
      </c>
      <c r="BJ57" s="224" t="s">
        <v>636</v>
      </c>
      <c r="BK57" s="224" t="s">
        <v>636</v>
      </c>
      <c r="BL57" s="224"/>
      <c r="BM57" s="224" t="s">
        <v>636</v>
      </c>
      <c r="BN57" s="224" t="s">
        <v>636</v>
      </c>
      <c r="BO57" s="224"/>
      <c r="BP57" s="224" t="s">
        <v>636</v>
      </c>
      <c r="BQ57" s="224"/>
      <c r="BR57" s="224"/>
      <c r="BS57" s="224"/>
      <c r="BT57" s="224">
        <f t="shared" si="6"/>
        <v>6</v>
      </c>
      <c r="BU57" s="221" t="str">
        <f t="shared" si="7"/>
        <v>; 8.7.1; 8.7.2; 8.7.3; 9.1; 9.2; 9.4</v>
      </c>
    </row>
    <row r="58" spans="2:73" x14ac:dyDescent="0.3">
      <c r="B58" s="129" t="s">
        <v>839</v>
      </c>
      <c r="C58" s="222">
        <v>55</v>
      </c>
      <c r="D58" s="131" t="s">
        <v>800</v>
      </c>
      <c r="E58" s="224"/>
      <c r="F58" s="224"/>
      <c r="G58" s="224"/>
      <c r="H58" s="224"/>
      <c r="I58" s="224"/>
      <c r="J58" s="224"/>
      <c r="K58" s="224"/>
      <c r="L58" s="224"/>
      <c r="M58" s="224"/>
      <c r="N58" s="224"/>
      <c r="O58" s="224"/>
      <c r="P58" s="224"/>
      <c r="Q58" s="224"/>
      <c r="R58" s="224"/>
      <c r="S58" s="224"/>
      <c r="T58" s="224"/>
      <c r="U58" s="224"/>
      <c r="V58" s="224"/>
      <c r="W58" s="224"/>
      <c r="X58" s="224"/>
      <c r="Y58" s="224"/>
      <c r="Z58" s="224"/>
      <c r="AA58" s="224"/>
      <c r="AB58" s="224"/>
      <c r="AC58" s="224"/>
      <c r="AD58" s="224"/>
      <c r="AE58" s="224"/>
      <c r="AF58" s="224"/>
      <c r="AG58" s="224"/>
      <c r="AH58" s="224"/>
      <c r="AI58" s="224"/>
      <c r="AJ58" s="224"/>
      <c r="AK58" s="224"/>
      <c r="AL58" s="224"/>
      <c r="AM58" s="224" t="s">
        <v>636</v>
      </c>
      <c r="AN58" s="224" t="s">
        <v>636</v>
      </c>
      <c r="AO58" s="224" t="s">
        <v>636</v>
      </c>
      <c r="AP58" s="224"/>
      <c r="AQ58" s="224"/>
      <c r="AR58" s="224"/>
      <c r="AS58" s="224"/>
      <c r="AT58" s="224"/>
      <c r="AU58" s="224"/>
      <c r="AV58" s="224"/>
      <c r="AW58" s="224"/>
      <c r="AX58" s="224"/>
      <c r="AY58" s="224"/>
      <c r="AZ58" s="224"/>
      <c r="BA58" s="224"/>
      <c r="BB58" s="224"/>
      <c r="BC58" s="224"/>
      <c r="BD58" s="224"/>
      <c r="BE58" s="224"/>
      <c r="BF58" s="224"/>
      <c r="BG58" s="224"/>
      <c r="BH58" s="224"/>
      <c r="BI58" s="224"/>
      <c r="BJ58" s="224"/>
      <c r="BK58" s="224"/>
      <c r="BL58" s="224"/>
      <c r="BM58" s="224"/>
      <c r="BN58" s="224"/>
      <c r="BO58" s="224"/>
      <c r="BP58" s="224"/>
      <c r="BQ58" s="224"/>
      <c r="BR58" s="224"/>
      <c r="BS58" s="224"/>
      <c r="BT58" s="224">
        <f t="shared" si="6"/>
        <v>3</v>
      </c>
      <c r="BU58" s="221" t="str">
        <f t="shared" si="7"/>
        <v>; 8.2.3; 8.2.4; 8.2.5</v>
      </c>
    </row>
    <row r="59" spans="2:73" x14ac:dyDescent="0.3">
      <c r="B59" s="129" t="s">
        <v>839</v>
      </c>
      <c r="C59" s="222">
        <v>56</v>
      </c>
      <c r="D59" s="131" t="s">
        <v>802</v>
      </c>
      <c r="E59" s="224"/>
      <c r="F59" s="224"/>
      <c r="G59" s="224"/>
      <c r="H59" s="224"/>
      <c r="I59" s="224"/>
      <c r="J59" s="224"/>
      <c r="K59" s="224"/>
      <c r="L59" s="224"/>
      <c r="M59" s="224"/>
      <c r="N59" s="224"/>
      <c r="O59" s="224"/>
      <c r="P59" s="224"/>
      <c r="Q59" s="224"/>
      <c r="R59" s="224"/>
      <c r="S59" s="224"/>
      <c r="T59" s="224"/>
      <c r="U59" s="224"/>
      <c r="V59" s="224"/>
      <c r="W59" s="224"/>
      <c r="X59" s="224"/>
      <c r="Y59" s="224"/>
      <c r="Z59" s="224"/>
      <c r="AA59" s="224"/>
      <c r="AB59" s="224"/>
      <c r="AC59" s="224"/>
      <c r="AD59" s="224"/>
      <c r="AE59" s="224"/>
      <c r="AF59" s="224"/>
      <c r="AG59" s="224"/>
      <c r="AH59" s="224"/>
      <c r="AI59" s="224"/>
      <c r="AJ59" s="224"/>
      <c r="AK59" s="224"/>
      <c r="AL59" s="224"/>
      <c r="AM59" s="224" t="s">
        <v>636</v>
      </c>
      <c r="AN59" s="224" t="s">
        <v>636</v>
      </c>
      <c r="AO59" s="224" t="s">
        <v>636</v>
      </c>
      <c r="AP59" s="224"/>
      <c r="AQ59" s="224"/>
      <c r="AR59" s="224"/>
      <c r="AS59" s="224"/>
      <c r="AT59" s="224"/>
      <c r="AU59" s="224"/>
      <c r="AV59" s="224"/>
      <c r="AW59" s="224"/>
      <c r="AX59" s="224"/>
      <c r="AY59" s="224"/>
      <c r="AZ59" s="224"/>
      <c r="BA59" s="224"/>
      <c r="BB59" s="224"/>
      <c r="BC59" s="224"/>
      <c r="BD59" s="224"/>
      <c r="BE59" s="224"/>
      <c r="BF59" s="224"/>
      <c r="BG59" s="224"/>
      <c r="BH59" s="224"/>
      <c r="BI59" s="224"/>
      <c r="BJ59" s="224"/>
      <c r="BK59" s="224"/>
      <c r="BL59" s="224"/>
      <c r="BM59" s="224"/>
      <c r="BN59" s="224"/>
      <c r="BO59" s="224"/>
      <c r="BP59" s="224"/>
      <c r="BQ59" s="224"/>
      <c r="BR59" s="224"/>
      <c r="BS59" s="224"/>
      <c r="BT59" s="224">
        <f t="shared" si="6"/>
        <v>3</v>
      </c>
      <c r="BU59" s="221" t="str">
        <f t="shared" si="7"/>
        <v>; 8.2.3; 8.2.4; 8.2.5</v>
      </c>
    </row>
    <row r="60" spans="2:73" x14ac:dyDescent="0.3">
      <c r="B60" s="129" t="s">
        <v>839</v>
      </c>
      <c r="C60" s="222">
        <v>57</v>
      </c>
      <c r="D60" s="131" t="s">
        <v>803</v>
      </c>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4"/>
      <c r="AI60" s="224"/>
      <c r="AJ60" s="224"/>
      <c r="AK60" s="224"/>
      <c r="AL60" s="224"/>
      <c r="AM60" s="224" t="s">
        <v>636</v>
      </c>
      <c r="AN60" s="224" t="s">
        <v>636</v>
      </c>
      <c r="AO60" s="224" t="s">
        <v>636</v>
      </c>
      <c r="AP60" s="224"/>
      <c r="AQ60" s="224"/>
      <c r="AR60" s="224"/>
      <c r="AS60" s="224"/>
      <c r="AT60" s="224"/>
      <c r="AU60" s="224"/>
      <c r="AV60" s="224"/>
      <c r="AW60" s="224"/>
      <c r="AX60" s="224"/>
      <c r="AY60" s="224"/>
      <c r="AZ60" s="224"/>
      <c r="BA60" s="224"/>
      <c r="BB60" s="224"/>
      <c r="BC60" s="224"/>
      <c r="BD60" s="224"/>
      <c r="BE60" s="224"/>
      <c r="BF60" s="224"/>
      <c r="BG60" s="224"/>
      <c r="BH60" s="224"/>
      <c r="BI60" s="224"/>
      <c r="BJ60" s="224"/>
      <c r="BK60" s="224"/>
      <c r="BL60" s="224"/>
      <c r="BM60" s="224"/>
      <c r="BN60" s="224"/>
      <c r="BO60" s="224"/>
      <c r="BP60" s="224"/>
      <c r="BQ60" s="224"/>
      <c r="BR60" s="224"/>
      <c r="BS60" s="224"/>
      <c r="BT60" s="224">
        <f t="shared" si="6"/>
        <v>3</v>
      </c>
      <c r="BU60" s="221" t="str">
        <f t="shared" si="7"/>
        <v>; 8.2.3; 8.2.4; 8.2.5</v>
      </c>
    </row>
    <row r="61" spans="2:73" x14ac:dyDescent="0.3">
      <c r="B61" s="129" t="s">
        <v>839</v>
      </c>
      <c r="C61" s="222">
        <v>58</v>
      </c>
      <c r="D61" s="131" t="s">
        <v>804</v>
      </c>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4"/>
      <c r="AI61" s="224"/>
      <c r="AJ61" s="224"/>
      <c r="AK61" s="224"/>
      <c r="AL61" s="224"/>
      <c r="AM61" s="224" t="s">
        <v>636</v>
      </c>
      <c r="AN61" s="224" t="s">
        <v>636</v>
      </c>
      <c r="AO61" s="224" t="s">
        <v>636</v>
      </c>
      <c r="AP61" s="224"/>
      <c r="AQ61" s="224"/>
      <c r="AR61" s="224"/>
      <c r="AS61" s="224"/>
      <c r="AT61" s="224"/>
      <c r="AU61" s="224"/>
      <c r="AV61" s="224"/>
      <c r="AW61" s="224"/>
      <c r="AX61" s="224"/>
      <c r="AY61" s="224"/>
      <c r="AZ61" s="224"/>
      <c r="BA61" s="224"/>
      <c r="BB61" s="224"/>
      <c r="BC61" s="224"/>
      <c r="BD61" s="224"/>
      <c r="BE61" s="224"/>
      <c r="BF61" s="224"/>
      <c r="BG61" s="224"/>
      <c r="BH61" s="224"/>
      <c r="BI61" s="224"/>
      <c r="BJ61" s="224"/>
      <c r="BK61" s="224"/>
      <c r="BL61" s="224"/>
      <c r="BM61" s="224"/>
      <c r="BN61" s="224"/>
      <c r="BO61" s="224"/>
      <c r="BP61" s="224"/>
      <c r="BQ61" s="224"/>
      <c r="BR61" s="224"/>
      <c r="BS61" s="224"/>
      <c r="BT61" s="224">
        <f t="shared" si="6"/>
        <v>3</v>
      </c>
      <c r="BU61" s="221" t="str">
        <f t="shared" si="7"/>
        <v>; 8.2.3; 8.2.4; 8.2.5</v>
      </c>
    </row>
    <row r="62" spans="2:73" x14ac:dyDescent="0.3">
      <c r="B62" s="129" t="s">
        <v>827</v>
      </c>
      <c r="C62" s="222">
        <v>59</v>
      </c>
      <c r="D62" s="131" t="s">
        <v>810</v>
      </c>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4"/>
      <c r="AI62" s="224"/>
      <c r="AJ62" s="224"/>
      <c r="AK62" s="224" t="s">
        <v>636</v>
      </c>
      <c r="AL62" s="224"/>
      <c r="AM62" s="224"/>
      <c r="AN62" s="224"/>
      <c r="AO62" s="224"/>
      <c r="AP62" s="224"/>
      <c r="AQ62" s="224"/>
      <c r="AR62" s="224"/>
      <c r="AS62" s="224"/>
      <c r="AT62" s="224"/>
      <c r="AU62" s="224"/>
      <c r="AV62" s="224"/>
      <c r="AW62" s="224"/>
      <c r="AX62" s="224"/>
      <c r="AY62" s="224"/>
      <c r="AZ62" s="224"/>
      <c r="BA62" s="224"/>
      <c r="BB62" s="224"/>
      <c r="BC62" s="224"/>
      <c r="BD62" s="224"/>
      <c r="BE62" s="224"/>
      <c r="BF62" s="224"/>
      <c r="BG62" s="224"/>
      <c r="BH62" s="224"/>
      <c r="BI62" s="224" t="s">
        <v>636</v>
      </c>
      <c r="BJ62" s="224" t="s">
        <v>636</v>
      </c>
      <c r="BK62" s="224"/>
      <c r="BL62" s="224"/>
      <c r="BM62" s="224" t="s">
        <v>636</v>
      </c>
      <c r="BN62" s="224"/>
      <c r="BO62" s="224" t="s">
        <v>636</v>
      </c>
      <c r="BP62" s="224"/>
      <c r="BQ62" s="224"/>
      <c r="BR62" s="224"/>
      <c r="BS62" s="224"/>
      <c r="BT62" s="224">
        <f t="shared" si="6"/>
        <v>5</v>
      </c>
      <c r="BU62" s="221" t="str">
        <f t="shared" si="7"/>
        <v>; 8.2.1; 8.7.1; 8.7.2; 9.1; 9.3</v>
      </c>
    </row>
    <row r="63" spans="2:73" x14ac:dyDescent="0.3">
      <c r="B63" s="129" t="s">
        <v>827</v>
      </c>
      <c r="C63" s="222">
        <v>60</v>
      </c>
      <c r="D63" s="131" t="s">
        <v>811</v>
      </c>
      <c r="E63" s="224"/>
      <c r="F63" s="224"/>
      <c r="G63" s="224"/>
      <c r="H63" s="224"/>
      <c r="I63" s="224"/>
      <c r="J63" s="224"/>
      <c r="K63" s="224"/>
      <c r="L63" s="224"/>
      <c r="M63" s="224"/>
      <c r="N63" s="224"/>
      <c r="O63" s="224"/>
      <c r="P63" s="224"/>
      <c r="Q63" s="224"/>
      <c r="R63" s="224"/>
      <c r="S63" s="224"/>
      <c r="T63" s="224"/>
      <c r="U63" s="224"/>
      <c r="V63" s="224"/>
      <c r="W63" s="224"/>
      <c r="X63" s="224"/>
      <c r="Y63" s="224"/>
      <c r="Z63" s="224"/>
      <c r="AA63" s="224"/>
      <c r="AB63" s="224"/>
      <c r="AC63" s="224"/>
      <c r="AD63" s="224"/>
      <c r="AE63" s="224"/>
      <c r="AF63" s="224"/>
      <c r="AG63" s="224"/>
      <c r="AH63" s="224"/>
      <c r="AI63" s="224"/>
      <c r="AJ63" s="224"/>
      <c r="AK63" s="224" t="s">
        <v>636</v>
      </c>
      <c r="AL63" s="224"/>
      <c r="AM63" s="224"/>
      <c r="AN63" s="224"/>
      <c r="AO63" s="224"/>
      <c r="AP63" s="224"/>
      <c r="AQ63" s="224"/>
      <c r="AR63" s="224"/>
      <c r="AS63" s="224"/>
      <c r="AT63" s="224"/>
      <c r="AU63" s="224"/>
      <c r="AV63" s="224"/>
      <c r="AW63" s="224"/>
      <c r="AX63" s="224"/>
      <c r="AY63" s="224"/>
      <c r="AZ63" s="224"/>
      <c r="BA63" s="224"/>
      <c r="BB63" s="224"/>
      <c r="BC63" s="224"/>
      <c r="BD63" s="224"/>
      <c r="BE63" s="224"/>
      <c r="BF63" s="224"/>
      <c r="BG63" s="224"/>
      <c r="BH63" s="224"/>
      <c r="BI63" s="224" t="s">
        <v>636</v>
      </c>
      <c r="BJ63" s="224" t="s">
        <v>636</v>
      </c>
      <c r="BK63" s="224"/>
      <c r="BL63" s="224"/>
      <c r="BM63" s="224" t="s">
        <v>636</v>
      </c>
      <c r="BN63" s="224"/>
      <c r="BO63" s="224" t="s">
        <v>636</v>
      </c>
      <c r="BP63" s="224"/>
      <c r="BQ63" s="224"/>
      <c r="BR63" s="224"/>
      <c r="BS63" s="224"/>
      <c r="BT63" s="224">
        <f t="shared" si="6"/>
        <v>5</v>
      </c>
      <c r="BU63" s="221" t="str">
        <f t="shared" si="7"/>
        <v>; 8.2.1; 8.7.1; 8.7.2; 9.1; 9.3</v>
      </c>
    </row>
    <row r="64" spans="2:73" x14ac:dyDescent="0.3">
      <c r="B64" s="129" t="s">
        <v>827</v>
      </c>
      <c r="C64" s="222">
        <v>61</v>
      </c>
      <c r="D64" s="131" t="s">
        <v>812</v>
      </c>
      <c r="E64" s="224"/>
      <c r="F64" s="224"/>
      <c r="G64" s="224"/>
      <c r="H64" s="224"/>
      <c r="I64" s="224"/>
      <c r="J64" s="224"/>
      <c r="K64" s="224"/>
      <c r="L64" s="224"/>
      <c r="M64" s="224"/>
      <c r="N64" s="224"/>
      <c r="O64" s="224"/>
      <c r="P64" s="224"/>
      <c r="Q64" s="224"/>
      <c r="R64" s="224"/>
      <c r="S64" s="224"/>
      <c r="T64" s="224"/>
      <c r="U64" s="224"/>
      <c r="V64" s="224"/>
      <c r="W64" s="224"/>
      <c r="X64" s="224"/>
      <c r="Y64" s="224"/>
      <c r="Z64" s="224"/>
      <c r="AA64" s="224"/>
      <c r="AB64" s="224"/>
      <c r="AC64" s="224"/>
      <c r="AD64" s="224"/>
      <c r="AE64" s="224"/>
      <c r="AF64" s="224"/>
      <c r="AG64" s="224"/>
      <c r="AH64" s="224"/>
      <c r="AI64" s="224"/>
      <c r="AJ64" s="224"/>
      <c r="AK64" s="224" t="s">
        <v>636</v>
      </c>
      <c r="AL64" s="224"/>
      <c r="AM64" s="224"/>
      <c r="AN64" s="224"/>
      <c r="AO64" s="224"/>
      <c r="AP64" s="224"/>
      <c r="AQ64" s="224"/>
      <c r="AR64" s="224"/>
      <c r="AS64" s="224"/>
      <c r="AT64" s="224"/>
      <c r="AU64" s="224"/>
      <c r="AV64" s="224"/>
      <c r="AW64" s="224"/>
      <c r="AX64" s="224"/>
      <c r="AY64" s="224"/>
      <c r="AZ64" s="224"/>
      <c r="BA64" s="224"/>
      <c r="BB64" s="224"/>
      <c r="BC64" s="224"/>
      <c r="BD64" s="224"/>
      <c r="BE64" s="224"/>
      <c r="BF64" s="224"/>
      <c r="BG64" s="224"/>
      <c r="BH64" s="224"/>
      <c r="BI64" s="224" t="s">
        <v>636</v>
      </c>
      <c r="BJ64" s="224" t="s">
        <v>636</v>
      </c>
      <c r="BK64" s="224"/>
      <c r="BL64" s="224"/>
      <c r="BM64" s="224" t="s">
        <v>636</v>
      </c>
      <c r="BN64" s="224"/>
      <c r="BO64" s="224" t="s">
        <v>636</v>
      </c>
      <c r="BP64" s="224"/>
      <c r="BQ64" s="224"/>
      <c r="BR64" s="224"/>
      <c r="BS64" s="224"/>
      <c r="BT64" s="224">
        <f t="shared" si="6"/>
        <v>5</v>
      </c>
      <c r="BU64" s="221" t="str">
        <f t="shared" si="7"/>
        <v>; 8.2.1; 8.7.1; 8.7.2; 9.1; 9.3</v>
      </c>
    </row>
    <row r="65" spans="2:73" ht="27.6" x14ac:dyDescent="0.3">
      <c r="B65" s="129" t="s">
        <v>828</v>
      </c>
      <c r="C65" s="222">
        <v>62</v>
      </c>
      <c r="D65" s="131" t="s">
        <v>814</v>
      </c>
      <c r="E65" s="224"/>
      <c r="F65" s="224"/>
      <c r="G65" s="224" t="s">
        <v>636</v>
      </c>
      <c r="H65" s="224"/>
      <c r="I65" s="224"/>
      <c r="J65" s="224"/>
      <c r="K65" s="224"/>
      <c r="L65" s="224"/>
      <c r="M65" s="224"/>
      <c r="N65" s="224"/>
      <c r="O65" s="224"/>
      <c r="P65" s="224" t="s">
        <v>636</v>
      </c>
      <c r="Q65" s="224"/>
      <c r="R65" s="224"/>
      <c r="S65" s="224"/>
      <c r="T65" s="224"/>
      <c r="U65" s="224"/>
      <c r="V65" s="224"/>
      <c r="W65" s="224"/>
      <c r="X65" s="224" t="s">
        <v>636</v>
      </c>
      <c r="Y65" s="224" t="s">
        <v>636</v>
      </c>
      <c r="Z65" s="224"/>
      <c r="AA65" s="224"/>
      <c r="AB65" s="224"/>
      <c r="AC65" s="224"/>
      <c r="AD65" s="224"/>
      <c r="AE65" s="224"/>
      <c r="AF65" s="224"/>
      <c r="AG65" s="224"/>
      <c r="AH65" s="224"/>
      <c r="AI65" s="224"/>
      <c r="AJ65" s="224"/>
      <c r="AK65" s="224"/>
      <c r="AL65" s="224"/>
      <c r="AM65" s="224"/>
      <c r="AN65" s="224"/>
      <c r="AO65" s="224"/>
      <c r="AP65" s="224"/>
      <c r="AQ65" s="224"/>
      <c r="AR65" s="224"/>
      <c r="AS65" s="224"/>
      <c r="AT65" s="224"/>
      <c r="AU65" s="224"/>
      <c r="AV65" s="224"/>
      <c r="AW65" s="224"/>
      <c r="AX65" s="224"/>
      <c r="AY65" s="224"/>
      <c r="AZ65" s="224"/>
      <c r="BA65" s="224"/>
      <c r="BB65" s="224"/>
      <c r="BC65" s="224"/>
      <c r="BD65" s="224"/>
      <c r="BE65" s="224"/>
      <c r="BF65" s="224"/>
      <c r="BG65" s="224"/>
      <c r="BH65" s="224"/>
      <c r="BI65" s="224"/>
      <c r="BJ65" s="224"/>
      <c r="BK65" s="224"/>
      <c r="BL65" s="224"/>
      <c r="BM65" s="224"/>
      <c r="BN65" s="224"/>
      <c r="BO65" s="224" t="s">
        <v>636</v>
      </c>
      <c r="BP65" s="224"/>
      <c r="BQ65" s="224"/>
      <c r="BR65" s="224"/>
      <c r="BS65" s="224"/>
      <c r="BT65" s="224">
        <f t="shared" si="6"/>
        <v>5</v>
      </c>
      <c r="BU65" s="221" t="str">
        <f t="shared" si="7"/>
        <v>; 4.2; 5.3; 7.1; 7.2; 9.3</v>
      </c>
    </row>
    <row r="66" spans="2:73" x14ac:dyDescent="0.3">
      <c r="B66" s="129" t="s">
        <v>828</v>
      </c>
      <c r="C66" s="222">
        <v>63</v>
      </c>
      <c r="D66" s="131" t="s">
        <v>786</v>
      </c>
      <c r="E66" s="224"/>
      <c r="F66" s="224"/>
      <c r="G66" s="224" t="s">
        <v>636</v>
      </c>
      <c r="H66" s="224"/>
      <c r="I66" s="224"/>
      <c r="J66" s="224"/>
      <c r="K66" s="224"/>
      <c r="L66" s="224"/>
      <c r="M66" s="224"/>
      <c r="N66" s="224"/>
      <c r="O66" s="224"/>
      <c r="P66" s="224" t="s">
        <v>636</v>
      </c>
      <c r="Q66" s="224"/>
      <c r="R66" s="224"/>
      <c r="S66" s="224"/>
      <c r="T66" s="224"/>
      <c r="U66" s="224"/>
      <c r="V66" s="224"/>
      <c r="W66" s="224"/>
      <c r="X66" s="224" t="s">
        <v>636</v>
      </c>
      <c r="Y66" s="224" t="s">
        <v>636</v>
      </c>
      <c r="Z66" s="224"/>
      <c r="AA66" s="224"/>
      <c r="AB66" s="224"/>
      <c r="AC66" s="224"/>
      <c r="AD66" s="224"/>
      <c r="AE66" s="224"/>
      <c r="AF66" s="224"/>
      <c r="AG66" s="224"/>
      <c r="AH66" s="224"/>
      <c r="AI66" s="224"/>
      <c r="AJ66" s="224"/>
      <c r="AK66" s="224"/>
      <c r="AL66" s="224"/>
      <c r="AM66" s="224"/>
      <c r="AN66" s="224"/>
      <c r="AO66" s="224"/>
      <c r="AP66" s="224"/>
      <c r="AQ66" s="224"/>
      <c r="AR66" s="224"/>
      <c r="AS66" s="224"/>
      <c r="AT66" s="224"/>
      <c r="AU66" s="224"/>
      <c r="AV66" s="224"/>
      <c r="AW66" s="224"/>
      <c r="AX66" s="224"/>
      <c r="AY66" s="224"/>
      <c r="AZ66" s="224"/>
      <c r="BA66" s="224"/>
      <c r="BB66" s="224"/>
      <c r="BC66" s="224"/>
      <c r="BD66" s="224"/>
      <c r="BE66" s="224"/>
      <c r="BF66" s="224"/>
      <c r="BG66" s="224"/>
      <c r="BH66" s="224"/>
      <c r="BI66" s="224"/>
      <c r="BJ66" s="224"/>
      <c r="BK66" s="224"/>
      <c r="BL66" s="224"/>
      <c r="BM66" s="224"/>
      <c r="BN66" s="224"/>
      <c r="BO66" s="224" t="s">
        <v>636</v>
      </c>
      <c r="BP66" s="224"/>
      <c r="BQ66" s="224"/>
      <c r="BR66" s="224"/>
      <c r="BS66" s="224"/>
      <c r="BT66" s="224">
        <f t="shared" si="6"/>
        <v>5</v>
      </c>
      <c r="BU66" s="221" t="str">
        <f t="shared" si="7"/>
        <v>; 4.2; 5.3; 7.1; 7.2; 9.3</v>
      </c>
    </row>
    <row r="67" spans="2:73" x14ac:dyDescent="0.3">
      <c r="B67" s="129" t="s">
        <v>828</v>
      </c>
      <c r="C67" s="222">
        <v>64</v>
      </c>
      <c r="D67" s="131" t="s">
        <v>787</v>
      </c>
      <c r="E67" s="224"/>
      <c r="F67" s="224"/>
      <c r="G67" s="224" t="s">
        <v>636</v>
      </c>
      <c r="H67" s="224"/>
      <c r="I67" s="224"/>
      <c r="J67" s="224"/>
      <c r="K67" s="224"/>
      <c r="L67" s="224"/>
      <c r="M67" s="224"/>
      <c r="N67" s="224"/>
      <c r="O67" s="224"/>
      <c r="P67" s="224" t="s">
        <v>636</v>
      </c>
      <c r="Q67" s="224"/>
      <c r="R67" s="224"/>
      <c r="S67" s="224"/>
      <c r="T67" s="224"/>
      <c r="U67" s="224"/>
      <c r="V67" s="224"/>
      <c r="W67" s="224"/>
      <c r="X67" s="224" t="s">
        <v>636</v>
      </c>
      <c r="Y67" s="224" t="s">
        <v>636</v>
      </c>
      <c r="Z67" s="224"/>
      <c r="AA67" s="224"/>
      <c r="AB67" s="224"/>
      <c r="AC67" s="224"/>
      <c r="AD67" s="224"/>
      <c r="AE67" s="224"/>
      <c r="AF67" s="224"/>
      <c r="AG67" s="224"/>
      <c r="AH67" s="224"/>
      <c r="AI67" s="224"/>
      <c r="AJ67" s="224"/>
      <c r="AK67" s="224"/>
      <c r="AL67" s="224"/>
      <c r="AM67" s="224"/>
      <c r="AN67" s="224"/>
      <c r="AO67" s="224"/>
      <c r="AP67" s="224"/>
      <c r="AQ67" s="224"/>
      <c r="AR67" s="224"/>
      <c r="AS67" s="224"/>
      <c r="AT67" s="224"/>
      <c r="AU67" s="224"/>
      <c r="AV67" s="224"/>
      <c r="AW67" s="224"/>
      <c r="AX67" s="224"/>
      <c r="AY67" s="224"/>
      <c r="AZ67" s="224"/>
      <c r="BA67" s="224"/>
      <c r="BB67" s="224"/>
      <c r="BC67" s="224"/>
      <c r="BD67" s="224"/>
      <c r="BE67" s="224"/>
      <c r="BF67" s="224"/>
      <c r="BG67" s="224"/>
      <c r="BH67" s="224"/>
      <c r="BI67" s="224"/>
      <c r="BJ67" s="224"/>
      <c r="BK67" s="224"/>
      <c r="BL67" s="224"/>
      <c r="BM67" s="224"/>
      <c r="BN67" s="224"/>
      <c r="BO67" s="224" t="s">
        <v>636</v>
      </c>
      <c r="BP67" s="224"/>
      <c r="BQ67" s="224"/>
      <c r="BR67" s="224"/>
      <c r="BS67" s="224"/>
      <c r="BT67" s="224">
        <f t="shared" si="6"/>
        <v>5</v>
      </c>
      <c r="BU67" s="221" t="str">
        <f t="shared" si="7"/>
        <v>; 4.2; 5.3; 7.1; 7.2; 9.3</v>
      </c>
    </row>
    <row r="68" spans="2:73" x14ac:dyDescent="0.3">
      <c r="B68" s="129" t="s">
        <v>828</v>
      </c>
      <c r="C68" s="222">
        <v>65</v>
      </c>
      <c r="D68" s="131" t="s">
        <v>789</v>
      </c>
      <c r="E68" s="224"/>
      <c r="F68" s="224"/>
      <c r="G68" s="224" t="s">
        <v>636</v>
      </c>
      <c r="H68" s="224"/>
      <c r="I68" s="224"/>
      <c r="J68" s="224"/>
      <c r="K68" s="224"/>
      <c r="L68" s="224"/>
      <c r="M68" s="224"/>
      <c r="N68" s="224"/>
      <c r="O68" s="224"/>
      <c r="P68" s="224" t="s">
        <v>636</v>
      </c>
      <c r="Q68" s="224"/>
      <c r="R68" s="224"/>
      <c r="S68" s="224"/>
      <c r="T68" s="224"/>
      <c r="U68" s="224"/>
      <c r="V68" s="224"/>
      <c r="W68" s="224"/>
      <c r="X68" s="224" t="s">
        <v>636</v>
      </c>
      <c r="Y68" s="224" t="s">
        <v>636</v>
      </c>
      <c r="Z68" s="224"/>
      <c r="AA68" s="224"/>
      <c r="AB68" s="224"/>
      <c r="AC68" s="224"/>
      <c r="AD68" s="224"/>
      <c r="AE68" s="224"/>
      <c r="AF68" s="224"/>
      <c r="AG68" s="224"/>
      <c r="AH68" s="224"/>
      <c r="AI68" s="224"/>
      <c r="AJ68" s="224"/>
      <c r="AK68" s="224"/>
      <c r="AL68" s="224"/>
      <c r="AM68" s="224"/>
      <c r="AN68" s="224"/>
      <c r="AO68" s="224"/>
      <c r="AP68" s="224"/>
      <c r="AQ68" s="224"/>
      <c r="AR68" s="224"/>
      <c r="AS68" s="224"/>
      <c r="AT68" s="224"/>
      <c r="AU68" s="224"/>
      <c r="AV68" s="224"/>
      <c r="AW68" s="224"/>
      <c r="AX68" s="224"/>
      <c r="AY68" s="224"/>
      <c r="AZ68" s="224"/>
      <c r="BA68" s="224"/>
      <c r="BB68" s="224"/>
      <c r="BC68" s="224"/>
      <c r="BD68" s="224"/>
      <c r="BE68" s="224"/>
      <c r="BF68" s="224"/>
      <c r="BG68" s="224"/>
      <c r="BH68" s="224"/>
      <c r="BI68" s="224"/>
      <c r="BJ68" s="224"/>
      <c r="BK68" s="224"/>
      <c r="BL68" s="224"/>
      <c r="BM68" s="224"/>
      <c r="BN68" s="224"/>
      <c r="BO68" s="224" t="s">
        <v>636</v>
      </c>
      <c r="BP68" s="224"/>
      <c r="BQ68" s="224"/>
      <c r="BR68" s="224"/>
      <c r="BS68" s="224"/>
      <c r="BT68" s="224">
        <f t="shared" si="6"/>
        <v>5</v>
      </c>
      <c r="BU68" s="221" t="str">
        <f t="shared" si="7"/>
        <v>; 4.2; 5.3; 7.1; 7.2; 9.3</v>
      </c>
    </row>
    <row r="69" spans="2:73" x14ac:dyDescent="0.3">
      <c r="B69" s="129" t="s">
        <v>828</v>
      </c>
      <c r="C69" s="222">
        <v>66</v>
      </c>
      <c r="D69" s="131" t="s">
        <v>790</v>
      </c>
      <c r="E69" s="224"/>
      <c r="F69" s="224"/>
      <c r="G69" s="224" t="s">
        <v>636</v>
      </c>
      <c r="H69" s="224"/>
      <c r="I69" s="224"/>
      <c r="J69" s="224"/>
      <c r="K69" s="224"/>
      <c r="L69" s="224"/>
      <c r="M69" s="224"/>
      <c r="N69" s="224"/>
      <c r="O69" s="224"/>
      <c r="P69" s="224" t="s">
        <v>636</v>
      </c>
      <c r="Q69" s="224"/>
      <c r="R69" s="224"/>
      <c r="S69" s="224"/>
      <c r="T69" s="224"/>
      <c r="U69" s="224"/>
      <c r="V69" s="224"/>
      <c r="W69" s="224"/>
      <c r="X69" s="224" t="s">
        <v>636</v>
      </c>
      <c r="Y69" s="224" t="s">
        <v>636</v>
      </c>
      <c r="Z69" s="224"/>
      <c r="AA69" s="224"/>
      <c r="AB69" s="224"/>
      <c r="AC69" s="224"/>
      <c r="AD69" s="224"/>
      <c r="AE69" s="224"/>
      <c r="AF69" s="224"/>
      <c r="AG69" s="224"/>
      <c r="AH69" s="224"/>
      <c r="AI69" s="224"/>
      <c r="AJ69" s="224"/>
      <c r="AK69" s="224"/>
      <c r="AL69" s="224"/>
      <c r="AM69" s="224"/>
      <c r="AN69" s="224"/>
      <c r="AO69" s="224"/>
      <c r="AP69" s="224"/>
      <c r="AQ69" s="224"/>
      <c r="AR69" s="224"/>
      <c r="AS69" s="224"/>
      <c r="AT69" s="224"/>
      <c r="AU69" s="224"/>
      <c r="AV69" s="224"/>
      <c r="AW69" s="224"/>
      <c r="AX69" s="224"/>
      <c r="AY69" s="224"/>
      <c r="AZ69" s="224"/>
      <c r="BA69" s="224"/>
      <c r="BB69" s="224"/>
      <c r="BC69" s="224"/>
      <c r="BD69" s="224"/>
      <c r="BE69" s="224"/>
      <c r="BF69" s="224"/>
      <c r="BG69" s="224"/>
      <c r="BH69" s="224"/>
      <c r="BI69" s="224"/>
      <c r="BJ69" s="224"/>
      <c r="BK69" s="224"/>
      <c r="BL69" s="224"/>
      <c r="BM69" s="224"/>
      <c r="BN69" s="224"/>
      <c r="BO69" s="224" t="s">
        <v>636</v>
      </c>
      <c r="BP69" s="224"/>
      <c r="BQ69" s="224"/>
      <c r="BR69" s="224"/>
      <c r="BS69" s="224"/>
      <c r="BT69" s="224">
        <f t="shared" si="6"/>
        <v>5</v>
      </c>
      <c r="BU69" s="221" t="str">
        <f t="shared" si="7"/>
        <v>; 4.2; 5.3; 7.1; 7.2; 9.3</v>
      </c>
    </row>
    <row r="70" spans="2:73" ht="27.6" x14ac:dyDescent="0.3">
      <c r="B70" s="129" t="s">
        <v>828</v>
      </c>
      <c r="C70" s="222">
        <v>67</v>
      </c>
      <c r="D70" s="131" t="s">
        <v>815</v>
      </c>
      <c r="E70" s="224"/>
      <c r="F70" s="224"/>
      <c r="G70" s="224" t="s">
        <v>636</v>
      </c>
      <c r="H70" s="224"/>
      <c r="I70" s="224"/>
      <c r="J70" s="224"/>
      <c r="K70" s="224"/>
      <c r="L70" s="224"/>
      <c r="M70" s="224"/>
      <c r="N70" s="224"/>
      <c r="O70" s="224"/>
      <c r="P70" s="224" t="s">
        <v>636</v>
      </c>
      <c r="Q70" s="224"/>
      <c r="R70" s="224"/>
      <c r="S70" s="224"/>
      <c r="T70" s="224"/>
      <c r="U70" s="224"/>
      <c r="V70" s="224"/>
      <c r="W70" s="224"/>
      <c r="X70" s="224" t="s">
        <v>636</v>
      </c>
      <c r="Y70" s="224" t="s">
        <v>636</v>
      </c>
      <c r="Z70" s="224"/>
      <c r="AA70" s="224"/>
      <c r="AB70" s="224"/>
      <c r="AC70" s="224"/>
      <c r="AD70" s="224"/>
      <c r="AE70" s="224"/>
      <c r="AF70" s="224"/>
      <c r="AG70" s="224"/>
      <c r="AH70" s="224"/>
      <c r="AI70" s="224"/>
      <c r="AJ70" s="224"/>
      <c r="AK70" s="224"/>
      <c r="AL70" s="224"/>
      <c r="AM70" s="224"/>
      <c r="AN70" s="224"/>
      <c r="AO70" s="224"/>
      <c r="AP70" s="224"/>
      <c r="AQ70" s="224"/>
      <c r="AR70" s="224"/>
      <c r="AS70" s="224"/>
      <c r="AT70" s="224"/>
      <c r="AU70" s="224"/>
      <c r="AV70" s="224"/>
      <c r="AW70" s="224"/>
      <c r="AX70" s="224"/>
      <c r="AY70" s="224"/>
      <c r="AZ70" s="224"/>
      <c r="BA70" s="224"/>
      <c r="BB70" s="224"/>
      <c r="BC70" s="224"/>
      <c r="BD70" s="224"/>
      <c r="BE70" s="224"/>
      <c r="BF70" s="224"/>
      <c r="BG70" s="224"/>
      <c r="BH70" s="224"/>
      <c r="BI70" s="224"/>
      <c r="BJ70" s="224"/>
      <c r="BK70" s="224"/>
      <c r="BL70" s="224"/>
      <c r="BM70" s="224"/>
      <c r="BN70" s="224"/>
      <c r="BO70" s="224" t="s">
        <v>636</v>
      </c>
      <c r="BP70" s="224"/>
      <c r="BQ70" s="224"/>
      <c r="BR70" s="224"/>
      <c r="BS70" s="224"/>
      <c r="BT70" s="224">
        <f t="shared" si="6"/>
        <v>5</v>
      </c>
      <c r="BU70" s="221" t="str">
        <f t="shared" si="7"/>
        <v>; 4.2; 5.3; 7.1; 7.2; 9.3</v>
      </c>
    </row>
    <row r="71" spans="2:73" ht="41.4" x14ac:dyDescent="0.3">
      <c r="B71" s="129" t="s">
        <v>828</v>
      </c>
      <c r="C71" s="222">
        <v>68</v>
      </c>
      <c r="D71" s="131" t="s">
        <v>816</v>
      </c>
      <c r="E71" s="224"/>
      <c r="F71" s="224"/>
      <c r="G71" s="224" t="s">
        <v>636</v>
      </c>
      <c r="H71" s="224"/>
      <c r="I71" s="224"/>
      <c r="J71" s="224"/>
      <c r="K71" s="224"/>
      <c r="L71" s="224"/>
      <c r="M71" s="224"/>
      <c r="N71" s="224"/>
      <c r="O71" s="224"/>
      <c r="P71" s="224" t="s">
        <v>636</v>
      </c>
      <c r="Q71" s="224"/>
      <c r="R71" s="224"/>
      <c r="S71" s="224"/>
      <c r="T71" s="224"/>
      <c r="U71" s="224"/>
      <c r="V71" s="224"/>
      <c r="W71" s="224"/>
      <c r="X71" s="224" t="s">
        <v>636</v>
      </c>
      <c r="Y71" s="224" t="s">
        <v>636</v>
      </c>
      <c r="Z71" s="224"/>
      <c r="AA71" s="224"/>
      <c r="AB71" s="224"/>
      <c r="AC71" s="224"/>
      <c r="AD71" s="224"/>
      <c r="AE71" s="224"/>
      <c r="AF71" s="224"/>
      <c r="AG71" s="224"/>
      <c r="AH71" s="224"/>
      <c r="AI71" s="224"/>
      <c r="AJ71" s="224"/>
      <c r="AK71" s="224"/>
      <c r="AL71" s="224"/>
      <c r="AM71" s="224"/>
      <c r="AN71" s="224"/>
      <c r="AO71" s="224"/>
      <c r="AP71" s="224"/>
      <c r="AQ71" s="224"/>
      <c r="AR71" s="224"/>
      <c r="AS71" s="224"/>
      <c r="AT71" s="224"/>
      <c r="AU71" s="224"/>
      <c r="AV71" s="224"/>
      <c r="AW71" s="224"/>
      <c r="AX71" s="224"/>
      <c r="AY71" s="224"/>
      <c r="AZ71" s="224"/>
      <c r="BA71" s="224"/>
      <c r="BB71" s="224"/>
      <c r="BC71" s="224"/>
      <c r="BD71" s="224"/>
      <c r="BE71" s="224"/>
      <c r="BF71" s="224"/>
      <c r="BG71" s="224"/>
      <c r="BH71" s="224"/>
      <c r="BI71" s="224"/>
      <c r="BJ71" s="224"/>
      <c r="BK71" s="224"/>
      <c r="BL71" s="224"/>
      <c r="BM71" s="224"/>
      <c r="BN71" s="224"/>
      <c r="BO71" s="224" t="s">
        <v>636</v>
      </c>
      <c r="BP71" s="224"/>
      <c r="BQ71" s="224"/>
      <c r="BR71" s="224"/>
      <c r="BS71" s="224"/>
      <c r="BT71" s="224">
        <f t="shared" si="6"/>
        <v>5</v>
      </c>
      <c r="BU71" s="221" t="str">
        <f t="shared" si="7"/>
        <v>; 4.2; 5.3; 7.1; 7.2; 9.3</v>
      </c>
    </row>
    <row r="72" spans="2:73" x14ac:dyDescent="0.3">
      <c r="B72" s="129" t="s">
        <v>829</v>
      </c>
      <c r="C72" s="222">
        <v>69</v>
      </c>
      <c r="D72" s="131" t="s">
        <v>817</v>
      </c>
      <c r="E72" s="224"/>
      <c r="F72" s="224"/>
      <c r="G72" s="224"/>
      <c r="H72" s="224"/>
      <c r="I72" s="224"/>
      <c r="J72" s="224"/>
      <c r="K72" s="224"/>
      <c r="L72" s="224"/>
      <c r="M72" s="224"/>
      <c r="N72" s="224"/>
      <c r="O72" s="224"/>
      <c r="P72" s="224"/>
      <c r="Q72" s="224"/>
      <c r="R72" s="224"/>
      <c r="S72" s="224"/>
      <c r="T72" s="224"/>
      <c r="U72" s="224"/>
      <c r="V72" s="224"/>
      <c r="W72" s="224"/>
      <c r="X72" s="224"/>
      <c r="Y72" s="224"/>
      <c r="Z72" s="224"/>
      <c r="AA72" s="224"/>
      <c r="AB72" s="224"/>
      <c r="AC72" s="224"/>
      <c r="AD72" s="224"/>
      <c r="AE72" s="224"/>
      <c r="AF72" s="224"/>
      <c r="AG72" s="224"/>
      <c r="AH72" s="224"/>
      <c r="AI72" s="224"/>
      <c r="AJ72" s="224"/>
      <c r="AK72" s="224" t="s">
        <v>636</v>
      </c>
      <c r="AL72" s="224" t="s">
        <v>636</v>
      </c>
      <c r="AM72" s="224"/>
      <c r="AN72" s="224"/>
      <c r="AO72" s="224"/>
      <c r="AP72" s="224"/>
      <c r="AQ72" s="224"/>
      <c r="AR72" s="224"/>
      <c r="AS72" s="224"/>
      <c r="AT72" s="224"/>
      <c r="AU72" s="224"/>
      <c r="AV72" s="224"/>
      <c r="AW72" s="224"/>
      <c r="AX72" s="224"/>
      <c r="AY72" s="224"/>
      <c r="AZ72" s="224"/>
      <c r="BA72" s="224"/>
      <c r="BB72" s="224"/>
      <c r="BC72" s="224"/>
      <c r="BD72" s="224"/>
      <c r="BE72" s="224" t="s">
        <v>636</v>
      </c>
      <c r="BF72" s="224"/>
      <c r="BG72" s="224"/>
      <c r="BH72" s="224"/>
      <c r="BI72" s="224" t="s">
        <v>636</v>
      </c>
      <c r="BJ72" s="224"/>
      <c r="BK72" s="224"/>
      <c r="BL72" s="224"/>
      <c r="BM72" s="224" t="s">
        <v>636</v>
      </c>
      <c r="BN72" s="224"/>
      <c r="BO72" s="224"/>
      <c r="BP72" s="224"/>
      <c r="BQ72" s="224"/>
      <c r="BR72" s="224"/>
      <c r="BS72" s="224"/>
      <c r="BT72" s="224">
        <f t="shared" si="6"/>
        <v>5</v>
      </c>
      <c r="BU72" s="221" t="str">
        <f t="shared" si="7"/>
        <v>; 8.2.1; 8.2.2; 8.6.1; 8.7.1; 9.1</v>
      </c>
    </row>
    <row r="73" spans="2:73" x14ac:dyDescent="0.3">
      <c r="B73" s="129" t="s">
        <v>829</v>
      </c>
      <c r="C73" s="222">
        <v>70</v>
      </c>
      <c r="D73" s="131" t="s">
        <v>786</v>
      </c>
      <c r="E73" s="224"/>
      <c r="F73" s="224"/>
      <c r="G73" s="224"/>
      <c r="H73" s="224"/>
      <c r="I73" s="224"/>
      <c r="J73" s="224"/>
      <c r="K73" s="224"/>
      <c r="L73" s="224"/>
      <c r="M73" s="224"/>
      <c r="N73" s="224"/>
      <c r="O73" s="224"/>
      <c r="P73" s="224"/>
      <c r="Q73" s="224"/>
      <c r="R73" s="224"/>
      <c r="S73" s="224"/>
      <c r="T73" s="224"/>
      <c r="U73" s="224"/>
      <c r="V73" s="224"/>
      <c r="W73" s="224"/>
      <c r="X73" s="224"/>
      <c r="Y73" s="224"/>
      <c r="Z73" s="224"/>
      <c r="AA73" s="224"/>
      <c r="AB73" s="224"/>
      <c r="AC73" s="224"/>
      <c r="AD73" s="224"/>
      <c r="AE73" s="224"/>
      <c r="AF73" s="224"/>
      <c r="AG73" s="224"/>
      <c r="AH73" s="224"/>
      <c r="AI73" s="224"/>
      <c r="AJ73" s="224"/>
      <c r="AK73" s="224" t="s">
        <v>636</v>
      </c>
      <c r="AL73" s="224" t="s">
        <v>636</v>
      </c>
      <c r="AM73" s="224"/>
      <c r="AN73" s="224"/>
      <c r="AO73" s="224"/>
      <c r="AP73" s="224"/>
      <c r="AQ73" s="224"/>
      <c r="AR73" s="224"/>
      <c r="AS73" s="224"/>
      <c r="AT73" s="224"/>
      <c r="AU73" s="224"/>
      <c r="AV73" s="224"/>
      <c r="AW73" s="224"/>
      <c r="AX73" s="224"/>
      <c r="AY73" s="224"/>
      <c r="AZ73" s="224"/>
      <c r="BA73" s="224"/>
      <c r="BB73" s="224"/>
      <c r="BC73" s="224"/>
      <c r="BD73" s="224"/>
      <c r="BE73" s="224" t="s">
        <v>636</v>
      </c>
      <c r="BF73" s="224"/>
      <c r="BG73" s="224"/>
      <c r="BH73" s="224"/>
      <c r="BI73" s="224" t="s">
        <v>636</v>
      </c>
      <c r="BJ73" s="224"/>
      <c r="BK73" s="224"/>
      <c r="BL73" s="224"/>
      <c r="BM73" s="224" t="s">
        <v>636</v>
      </c>
      <c r="BN73" s="224"/>
      <c r="BO73" s="224"/>
      <c r="BP73" s="224"/>
      <c r="BQ73" s="224"/>
      <c r="BR73" s="224"/>
      <c r="BS73" s="224"/>
      <c r="BT73" s="224">
        <f t="shared" si="6"/>
        <v>5</v>
      </c>
      <c r="BU73" s="221" t="str">
        <f t="shared" si="7"/>
        <v>; 8.2.1; 8.2.2; 8.6.1; 8.7.1; 9.1</v>
      </c>
    </row>
    <row r="74" spans="2:73" x14ac:dyDescent="0.3">
      <c r="B74" s="129" t="s">
        <v>829</v>
      </c>
      <c r="C74" s="222">
        <v>71</v>
      </c>
      <c r="D74" s="131" t="s">
        <v>818</v>
      </c>
      <c r="E74" s="224"/>
      <c r="F74" s="224"/>
      <c r="G74" s="224"/>
      <c r="H74" s="224"/>
      <c r="I74" s="224"/>
      <c r="J74" s="224"/>
      <c r="K74" s="224"/>
      <c r="L74" s="224"/>
      <c r="M74" s="224"/>
      <c r="N74" s="224"/>
      <c r="O74" s="224"/>
      <c r="P74" s="224"/>
      <c r="Q74" s="224"/>
      <c r="R74" s="224"/>
      <c r="S74" s="224"/>
      <c r="T74" s="224"/>
      <c r="U74" s="224"/>
      <c r="V74" s="224"/>
      <c r="W74" s="224"/>
      <c r="X74" s="224"/>
      <c r="Y74" s="224"/>
      <c r="Z74" s="224"/>
      <c r="AA74" s="224"/>
      <c r="AB74" s="224"/>
      <c r="AC74" s="224"/>
      <c r="AD74" s="224"/>
      <c r="AE74" s="224"/>
      <c r="AF74" s="224"/>
      <c r="AG74" s="224"/>
      <c r="AH74" s="224"/>
      <c r="AI74" s="224"/>
      <c r="AJ74" s="224"/>
      <c r="AK74" s="224" t="s">
        <v>636</v>
      </c>
      <c r="AL74" s="224" t="s">
        <v>636</v>
      </c>
      <c r="AM74" s="224"/>
      <c r="AN74" s="224"/>
      <c r="AO74" s="224"/>
      <c r="AP74" s="224"/>
      <c r="AQ74" s="224"/>
      <c r="AR74" s="224"/>
      <c r="AS74" s="224"/>
      <c r="AT74" s="224"/>
      <c r="AU74" s="224"/>
      <c r="AV74" s="224"/>
      <c r="AW74" s="224"/>
      <c r="AX74" s="224"/>
      <c r="AY74" s="224"/>
      <c r="AZ74" s="224"/>
      <c r="BA74" s="224"/>
      <c r="BB74" s="224"/>
      <c r="BC74" s="224"/>
      <c r="BD74" s="224"/>
      <c r="BE74" s="224" t="s">
        <v>636</v>
      </c>
      <c r="BF74" s="224"/>
      <c r="BG74" s="224"/>
      <c r="BH74" s="224"/>
      <c r="BI74" s="224" t="s">
        <v>636</v>
      </c>
      <c r="BJ74" s="224"/>
      <c r="BK74" s="224"/>
      <c r="BL74" s="224"/>
      <c r="BM74" s="224" t="s">
        <v>636</v>
      </c>
      <c r="BN74" s="224"/>
      <c r="BO74" s="224"/>
      <c r="BP74" s="224"/>
      <c r="BQ74" s="224"/>
      <c r="BR74" s="224"/>
      <c r="BS74" s="224"/>
      <c r="BT74" s="224">
        <f t="shared" si="6"/>
        <v>5</v>
      </c>
      <c r="BU74" s="221" t="str">
        <f t="shared" si="7"/>
        <v>; 8.2.1; 8.2.2; 8.6.1; 8.7.1; 9.1</v>
      </c>
    </row>
    <row r="75" spans="2:73" x14ac:dyDescent="0.3">
      <c r="B75" s="129" t="s">
        <v>829</v>
      </c>
      <c r="C75" s="222">
        <v>72</v>
      </c>
      <c r="D75" s="131" t="s">
        <v>787</v>
      </c>
      <c r="E75" s="224"/>
      <c r="F75" s="224"/>
      <c r="G75" s="224"/>
      <c r="H75" s="224"/>
      <c r="I75" s="224"/>
      <c r="J75" s="224"/>
      <c r="K75" s="224"/>
      <c r="L75" s="224"/>
      <c r="M75" s="224"/>
      <c r="N75" s="224"/>
      <c r="O75" s="224"/>
      <c r="P75" s="224"/>
      <c r="Q75" s="224"/>
      <c r="R75" s="224"/>
      <c r="S75" s="224"/>
      <c r="T75" s="224"/>
      <c r="U75" s="224"/>
      <c r="V75" s="224"/>
      <c r="W75" s="224"/>
      <c r="X75" s="224"/>
      <c r="Y75" s="224"/>
      <c r="Z75" s="224"/>
      <c r="AA75" s="224"/>
      <c r="AB75" s="224"/>
      <c r="AC75" s="224"/>
      <c r="AD75" s="224"/>
      <c r="AE75" s="224"/>
      <c r="AF75" s="224"/>
      <c r="AG75" s="224"/>
      <c r="AH75" s="224"/>
      <c r="AI75" s="224"/>
      <c r="AJ75" s="224"/>
      <c r="AK75" s="224" t="s">
        <v>636</v>
      </c>
      <c r="AL75" s="224" t="s">
        <v>636</v>
      </c>
      <c r="AM75" s="224"/>
      <c r="AN75" s="224"/>
      <c r="AO75" s="224"/>
      <c r="AP75" s="224"/>
      <c r="AQ75" s="224"/>
      <c r="AR75" s="224"/>
      <c r="AS75" s="224"/>
      <c r="AT75" s="224"/>
      <c r="AU75" s="224"/>
      <c r="AV75" s="224"/>
      <c r="AW75" s="224"/>
      <c r="AX75" s="224"/>
      <c r="AY75" s="224"/>
      <c r="AZ75" s="224"/>
      <c r="BA75" s="224"/>
      <c r="BB75" s="224"/>
      <c r="BC75" s="224"/>
      <c r="BD75" s="224"/>
      <c r="BE75" s="224" t="s">
        <v>636</v>
      </c>
      <c r="BF75" s="224"/>
      <c r="BG75" s="224"/>
      <c r="BH75" s="224"/>
      <c r="BI75" s="224" t="s">
        <v>636</v>
      </c>
      <c r="BJ75" s="224"/>
      <c r="BK75" s="224"/>
      <c r="BL75" s="224"/>
      <c r="BM75" s="224" t="s">
        <v>636</v>
      </c>
      <c r="BN75" s="224"/>
      <c r="BO75" s="224"/>
      <c r="BP75" s="224"/>
      <c r="BQ75" s="224"/>
      <c r="BR75" s="224"/>
      <c r="BS75" s="224"/>
      <c r="BT75" s="224">
        <f t="shared" si="6"/>
        <v>5</v>
      </c>
      <c r="BU75" s="221" t="str">
        <f t="shared" si="7"/>
        <v>; 8.2.1; 8.2.2; 8.6.1; 8.7.1; 9.1</v>
      </c>
    </row>
    <row r="76" spans="2:73" x14ac:dyDescent="0.3">
      <c r="B76" s="129" t="s">
        <v>829</v>
      </c>
      <c r="C76" s="222">
        <v>73</v>
      </c>
      <c r="D76" s="131" t="s">
        <v>788</v>
      </c>
      <c r="E76" s="224"/>
      <c r="F76" s="224"/>
      <c r="G76" s="224"/>
      <c r="H76" s="224"/>
      <c r="I76" s="224"/>
      <c r="J76" s="224"/>
      <c r="K76" s="224"/>
      <c r="L76" s="224"/>
      <c r="M76" s="224"/>
      <c r="N76" s="224"/>
      <c r="O76" s="224"/>
      <c r="P76" s="224"/>
      <c r="Q76" s="224"/>
      <c r="R76" s="224"/>
      <c r="S76" s="224"/>
      <c r="T76" s="224"/>
      <c r="U76" s="224"/>
      <c r="V76" s="224"/>
      <c r="W76" s="224"/>
      <c r="X76" s="224"/>
      <c r="Y76" s="224"/>
      <c r="Z76" s="224"/>
      <c r="AA76" s="224"/>
      <c r="AB76" s="224"/>
      <c r="AC76" s="224"/>
      <c r="AD76" s="224"/>
      <c r="AE76" s="224"/>
      <c r="AF76" s="224"/>
      <c r="AG76" s="224"/>
      <c r="AH76" s="224"/>
      <c r="AI76" s="224"/>
      <c r="AJ76" s="224"/>
      <c r="AK76" s="224" t="s">
        <v>636</v>
      </c>
      <c r="AL76" s="224" t="s">
        <v>636</v>
      </c>
      <c r="AM76" s="224"/>
      <c r="AN76" s="224"/>
      <c r="AO76" s="224"/>
      <c r="AP76" s="224"/>
      <c r="AQ76" s="224"/>
      <c r="AR76" s="224"/>
      <c r="AS76" s="224"/>
      <c r="AT76" s="224"/>
      <c r="AU76" s="224"/>
      <c r="AV76" s="224"/>
      <c r="AW76" s="224"/>
      <c r="AX76" s="224"/>
      <c r="AY76" s="224"/>
      <c r="AZ76" s="224"/>
      <c r="BA76" s="224"/>
      <c r="BB76" s="224"/>
      <c r="BC76" s="224"/>
      <c r="BD76" s="224"/>
      <c r="BE76" s="224" t="s">
        <v>636</v>
      </c>
      <c r="BF76" s="224"/>
      <c r="BG76" s="224"/>
      <c r="BH76" s="224"/>
      <c r="BI76" s="224" t="s">
        <v>636</v>
      </c>
      <c r="BJ76" s="224"/>
      <c r="BK76" s="224"/>
      <c r="BL76" s="224"/>
      <c r="BM76" s="224" t="s">
        <v>636</v>
      </c>
      <c r="BN76" s="224"/>
      <c r="BO76" s="224"/>
      <c r="BP76" s="224"/>
      <c r="BQ76" s="224"/>
      <c r="BR76" s="224"/>
      <c r="BS76" s="224"/>
      <c r="BT76" s="224">
        <f t="shared" si="6"/>
        <v>5</v>
      </c>
      <c r="BU76" s="221" t="str">
        <f t="shared" si="7"/>
        <v>; 8.2.1; 8.2.2; 8.6.1; 8.7.1; 9.1</v>
      </c>
    </row>
    <row r="77" spans="2:73" x14ac:dyDescent="0.3">
      <c r="B77" s="129" t="s">
        <v>829</v>
      </c>
      <c r="C77" s="222">
        <v>74</v>
      </c>
      <c r="D77" s="131" t="s">
        <v>789</v>
      </c>
      <c r="E77" s="224"/>
      <c r="F77" s="224"/>
      <c r="G77" s="224"/>
      <c r="H77" s="224"/>
      <c r="I77" s="224"/>
      <c r="J77" s="224"/>
      <c r="K77" s="224"/>
      <c r="L77" s="224"/>
      <c r="M77" s="224"/>
      <c r="N77" s="224"/>
      <c r="O77" s="224"/>
      <c r="P77" s="224"/>
      <c r="Q77" s="224"/>
      <c r="R77" s="224"/>
      <c r="S77" s="224"/>
      <c r="T77" s="224"/>
      <c r="U77" s="224"/>
      <c r="V77" s="224"/>
      <c r="W77" s="224"/>
      <c r="X77" s="224"/>
      <c r="Y77" s="224"/>
      <c r="Z77" s="224"/>
      <c r="AA77" s="224"/>
      <c r="AB77" s="224"/>
      <c r="AC77" s="224"/>
      <c r="AD77" s="224"/>
      <c r="AE77" s="224"/>
      <c r="AF77" s="224"/>
      <c r="AG77" s="224"/>
      <c r="AH77" s="224"/>
      <c r="AI77" s="224"/>
      <c r="AJ77" s="224"/>
      <c r="AK77" s="224" t="s">
        <v>636</v>
      </c>
      <c r="AL77" s="224" t="s">
        <v>636</v>
      </c>
      <c r="AM77" s="224"/>
      <c r="AN77" s="224"/>
      <c r="AO77" s="224"/>
      <c r="AP77" s="224"/>
      <c r="AQ77" s="224"/>
      <c r="AR77" s="224"/>
      <c r="AS77" s="224"/>
      <c r="AT77" s="224"/>
      <c r="AU77" s="224"/>
      <c r="AV77" s="224"/>
      <c r="AW77" s="224"/>
      <c r="AX77" s="224"/>
      <c r="AY77" s="224"/>
      <c r="AZ77" s="224"/>
      <c r="BA77" s="224"/>
      <c r="BB77" s="224"/>
      <c r="BC77" s="224"/>
      <c r="BD77" s="224"/>
      <c r="BE77" s="224" t="s">
        <v>636</v>
      </c>
      <c r="BF77" s="224"/>
      <c r="BG77" s="224"/>
      <c r="BH77" s="224"/>
      <c r="BI77" s="224" t="s">
        <v>636</v>
      </c>
      <c r="BJ77" s="224"/>
      <c r="BK77" s="224"/>
      <c r="BL77" s="224"/>
      <c r="BM77" s="224" t="s">
        <v>636</v>
      </c>
      <c r="BN77" s="224"/>
      <c r="BO77" s="224"/>
      <c r="BP77" s="224"/>
      <c r="BQ77" s="224"/>
      <c r="BR77" s="224"/>
      <c r="BS77" s="224"/>
      <c r="BT77" s="224">
        <f t="shared" si="6"/>
        <v>5</v>
      </c>
      <c r="BU77" s="221" t="str">
        <f t="shared" si="7"/>
        <v>; 8.2.1; 8.2.2; 8.6.1; 8.7.1; 9.1</v>
      </c>
    </row>
    <row r="78" spans="2:73" x14ac:dyDescent="0.3">
      <c r="B78" s="129" t="s">
        <v>829</v>
      </c>
      <c r="C78" s="222">
        <v>75</v>
      </c>
      <c r="D78" s="131" t="s">
        <v>790</v>
      </c>
      <c r="E78" s="224"/>
      <c r="F78" s="224"/>
      <c r="G78" s="224"/>
      <c r="H78" s="224"/>
      <c r="I78" s="224"/>
      <c r="J78" s="224"/>
      <c r="K78" s="224"/>
      <c r="L78" s="224"/>
      <c r="M78" s="224"/>
      <c r="N78" s="224"/>
      <c r="O78" s="224"/>
      <c r="P78" s="224"/>
      <c r="Q78" s="224"/>
      <c r="R78" s="224"/>
      <c r="S78" s="224"/>
      <c r="T78" s="224"/>
      <c r="U78" s="224"/>
      <c r="V78" s="224"/>
      <c r="W78" s="224"/>
      <c r="X78" s="224"/>
      <c r="Y78" s="224"/>
      <c r="Z78" s="224"/>
      <c r="AA78" s="224"/>
      <c r="AB78" s="224"/>
      <c r="AC78" s="224"/>
      <c r="AD78" s="224"/>
      <c r="AE78" s="224"/>
      <c r="AF78" s="224"/>
      <c r="AG78" s="224"/>
      <c r="AH78" s="224"/>
      <c r="AI78" s="224"/>
      <c r="AJ78" s="224"/>
      <c r="AK78" s="224" t="s">
        <v>636</v>
      </c>
      <c r="AL78" s="224" t="s">
        <v>636</v>
      </c>
      <c r="AM78" s="224"/>
      <c r="AN78" s="224"/>
      <c r="AO78" s="224"/>
      <c r="AP78" s="224"/>
      <c r="AQ78" s="224"/>
      <c r="AR78" s="224"/>
      <c r="AS78" s="224"/>
      <c r="AT78" s="224"/>
      <c r="AU78" s="224"/>
      <c r="AV78" s="224"/>
      <c r="AW78" s="224"/>
      <c r="AX78" s="224"/>
      <c r="AY78" s="224"/>
      <c r="AZ78" s="224"/>
      <c r="BA78" s="224"/>
      <c r="BB78" s="224"/>
      <c r="BC78" s="224"/>
      <c r="BD78" s="224"/>
      <c r="BE78" s="224" t="s">
        <v>636</v>
      </c>
      <c r="BF78" s="224"/>
      <c r="BG78" s="224"/>
      <c r="BH78" s="224"/>
      <c r="BI78" s="224" t="s">
        <v>636</v>
      </c>
      <c r="BJ78" s="224"/>
      <c r="BK78" s="224"/>
      <c r="BL78" s="224"/>
      <c r="BM78" s="224" t="s">
        <v>636</v>
      </c>
      <c r="BN78" s="224"/>
      <c r="BO78" s="224"/>
      <c r="BP78" s="224"/>
      <c r="BQ78" s="224"/>
      <c r="BR78" s="224"/>
      <c r="BS78" s="224"/>
      <c r="BT78" s="224">
        <f t="shared" si="6"/>
        <v>5</v>
      </c>
      <c r="BU78" s="221" t="str">
        <f t="shared" si="7"/>
        <v>; 8.2.1; 8.2.2; 8.6.1; 8.7.1; 9.1</v>
      </c>
    </row>
    <row r="79" spans="2:73" x14ac:dyDescent="0.3">
      <c r="B79" s="129" t="s">
        <v>824</v>
      </c>
      <c r="C79" s="222">
        <v>76</v>
      </c>
      <c r="D79" s="131" t="s">
        <v>842</v>
      </c>
      <c r="E79" s="224"/>
      <c r="F79" s="224"/>
      <c r="G79" s="224"/>
      <c r="H79" s="224"/>
      <c r="I79" s="224"/>
      <c r="J79" s="224"/>
      <c r="K79" s="224"/>
      <c r="L79" s="224"/>
      <c r="M79" s="224"/>
      <c r="N79" s="224"/>
      <c r="O79" s="224"/>
      <c r="P79" s="224"/>
      <c r="Q79" s="224"/>
      <c r="R79" s="224"/>
      <c r="S79" s="224"/>
      <c r="T79" s="224"/>
      <c r="U79" s="224"/>
      <c r="V79" s="224"/>
      <c r="W79" s="224"/>
      <c r="X79" s="224"/>
      <c r="Y79" s="224"/>
      <c r="Z79" s="224"/>
      <c r="AA79" s="224"/>
      <c r="AB79" s="224"/>
      <c r="AC79" s="224"/>
      <c r="AD79" s="224"/>
      <c r="AE79" s="224"/>
      <c r="AF79" s="224"/>
      <c r="AG79" s="224"/>
      <c r="AH79" s="224"/>
      <c r="AI79" s="224"/>
      <c r="AJ79" s="224"/>
      <c r="AK79" s="224"/>
      <c r="AL79" s="224"/>
      <c r="AM79" s="224"/>
      <c r="AN79" s="224"/>
      <c r="AO79" s="224"/>
      <c r="AP79" s="224"/>
      <c r="AQ79" s="224"/>
      <c r="AR79" s="224"/>
      <c r="AS79" s="224"/>
      <c r="AT79" s="224"/>
      <c r="AU79" s="224"/>
      <c r="AV79" s="224"/>
      <c r="AW79" s="224"/>
      <c r="AX79" s="224"/>
      <c r="AY79" s="224"/>
      <c r="AZ79" s="224"/>
      <c r="BA79" s="224"/>
      <c r="BB79" s="224"/>
      <c r="BC79" s="224"/>
      <c r="BD79" s="224"/>
      <c r="BE79" s="224"/>
      <c r="BF79" s="224"/>
      <c r="BG79" s="224"/>
      <c r="BH79" s="224"/>
      <c r="BI79" s="224" t="s">
        <v>636</v>
      </c>
      <c r="BJ79" s="224"/>
      <c r="BK79" s="224"/>
      <c r="BL79" s="224"/>
      <c r="BM79" s="224"/>
      <c r="BN79" s="224"/>
      <c r="BO79" s="224"/>
      <c r="BP79" s="224"/>
      <c r="BQ79" s="224"/>
      <c r="BR79" s="224"/>
      <c r="BS79" s="224"/>
      <c r="BT79" s="224">
        <f t="shared" si="6"/>
        <v>1</v>
      </c>
      <c r="BU79" s="221" t="str">
        <f t="shared" si="7"/>
        <v>; 8.7.1</v>
      </c>
    </row>
    <row r="80" spans="2:73" x14ac:dyDescent="0.3">
      <c r="B80" s="129" t="s">
        <v>824</v>
      </c>
      <c r="C80" s="222">
        <v>77</v>
      </c>
      <c r="D80" s="131" t="s">
        <v>786</v>
      </c>
      <c r="E80" s="224"/>
      <c r="F80" s="224"/>
      <c r="G80" s="224"/>
      <c r="H80" s="224"/>
      <c r="I80" s="224"/>
      <c r="J80" s="224"/>
      <c r="K80" s="224"/>
      <c r="L80" s="224"/>
      <c r="M80" s="224"/>
      <c r="N80" s="224"/>
      <c r="O80" s="224"/>
      <c r="P80" s="224"/>
      <c r="Q80" s="224"/>
      <c r="R80" s="224"/>
      <c r="S80" s="224"/>
      <c r="T80" s="224"/>
      <c r="U80" s="224"/>
      <c r="V80" s="224"/>
      <c r="W80" s="224"/>
      <c r="X80" s="224"/>
      <c r="Y80" s="224"/>
      <c r="Z80" s="224"/>
      <c r="AA80" s="224"/>
      <c r="AB80" s="224"/>
      <c r="AC80" s="224"/>
      <c r="AD80" s="224"/>
      <c r="AE80" s="224"/>
      <c r="AF80" s="224"/>
      <c r="AG80" s="224"/>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24"/>
      <c r="BH80" s="224"/>
      <c r="BI80" s="224" t="s">
        <v>636</v>
      </c>
      <c r="BJ80" s="224"/>
      <c r="BK80" s="224"/>
      <c r="BL80" s="224"/>
      <c r="BM80" s="224"/>
      <c r="BN80" s="224"/>
      <c r="BO80" s="224"/>
      <c r="BP80" s="224"/>
      <c r="BQ80" s="224"/>
      <c r="BR80" s="224"/>
      <c r="BS80" s="224"/>
      <c r="BT80" s="224">
        <f t="shared" si="6"/>
        <v>1</v>
      </c>
      <c r="BU80" s="221" t="str">
        <f t="shared" si="7"/>
        <v>; 8.7.1</v>
      </c>
    </row>
    <row r="81" spans="2:73" x14ac:dyDescent="0.3">
      <c r="B81" s="129" t="s">
        <v>824</v>
      </c>
      <c r="C81" s="222">
        <v>78</v>
      </c>
      <c r="D81" s="131" t="s">
        <v>818</v>
      </c>
      <c r="E81" s="224"/>
      <c r="F81" s="224"/>
      <c r="G81" s="224"/>
      <c r="H81" s="224"/>
      <c r="I81" s="224"/>
      <c r="J81" s="224"/>
      <c r="K81" s="224"/>
      <c r="L81" s="224"/>
      <c r="M81" s="224"/>
      <c r="N81" s="224"/>
      <c r="O81" s="224"/>
      <c r="P81" s="224"/>
      <c r="Q81" s="224"/>
      <c r="R81" s="224"/>
      <c r="S81" s="224"/>
      <c r="T81" s="224"/>
      <c r="U81" s="224"/>
      <c r="V81" s="224"/>
      <c r="W81" s="224"/>
      <c r="X81" s="224"/>
      <c r="Y81" s="224"/>
      <c r="Z81" s="224"/>
      <c r="AA81" s="224"/>
      <c r="AB81" s="224"/>
      <c r="AC81" s="224"/>
      <c r="AD81" s="224"/>
      <c r="AE81" s="224"/>
      <c r="AF81" s="224"/>
      <c r="AG81" s="224"/>
      <c r="AH81" s="224"/>
      <c r="AI81" s="224"/>
      <c r="AJ81" s="224"/>
      <c r="AK81" s="224"/>
      <c r="AL81" s="224"/>
      <c r="AM81" s="224"/>
      <c r="AN81" s="224"/>
      <c r="AO81" s="224"/>
      <c r="AP81" s="224"/>
      <c r="AQ81" s="224"/>
      <c r="AR81" s="224"/>
      <c r="AS81" s="224"/>
      <c r="AT81" s="224"/>
      <c r="AU81" s="224"/>
      <c r="AV81" s="224"/>
      <c r="AW81" s="224"/>
      <c r="AX81" s="224"/>
      <c r="AY81" s="224"/>
      <c r="AZ81" s="224"/>
      <c r="BA81" s="224"/>
      <c r="BB81" s="224"/>
      <c r="BC81" s="224"/>
      <c r="BD81" s="224"/>
      <c r="BE81" s="224"/>
      <c r="BF81" s="224"/>
      <c r="BG81" s="224"/>
      <c r="BH81" s="224"/>
      <c r="BI81" s="224" t="s">
        <v>636</v>
      </c>
      <c r="BJ81" s="224"/>
      <c r="BK81" s="224"/>
      <c r="BL81" s="224"/>
      <c r="BM81" s="224"/>
      <c r="BN81" s="224"/>
      <c r="BO81" s="224"/>
      <c r="BP81" s="224"/>
      <c r="BQ81" s="224"/>
      <c r="BR81" s="224"/>
      <c r="BS81" s="224"/>
      <c r="BT81" s="224">
        <f t="shared" si="6"/>
        <v>1</v>
      </c>
      <c r="BU81" s="221" t="str">
        <f t="shared" si="7"/>
        <v>; 8.7.1</v>
      </c>
    </row>
    <row r="82" spans="2:73" x14ac:dyDescent="0.3">
      <c r="B82" s="129" t="s">
        <v>824</v>
      </c>
      <c r="C82" s="222">
        <v>79</v>
      </c>
      <c r="D82" s="131" t="s">
        <v>787</v>
      </c>
      <c r="E82" s="224"/>
      <c r="F82" s="224"/>
      <c r="G82" s="224"/>
      <c r="H82" s="224"/>
      <c r="I82" s="224"/>
      <c r="J82" s="224"/>
      <c r="K82" s="224"/>
      <c r="L82" s="224"/>
      <c r="M82" s="224"/>
      <c r="N82" s="224"/>
      <c r="O82" s="224"/>
      <c r="P82" s="224"/>
      <c r="Q82" s="224"/>
      <c r="R82" s="224"/>
      <c r="S82" s="224"/>
      <c r="T82" s="224"/>
      <c r="U82" s="224"/>
      <c r="V82" s="224"/>
      <c r="W82" s="224"/>
      <c r="X82" s="224"/>
      <c r="Y82" s="224"/>
      <c r="Z82" s="224"/>
      <c r="AA82" s="224"/>
      <c r="AB82" s="224"/>
      <c r="AC82" s="224"/>
      <c r="AD82" s="224"/>
      <c r="AE82" s="224"/>
      <c r="AF82" s="224"/>
      <c r="AG82" s="224"/>
      <c r="AH82" s="224"/>
      <c r="AI82" s="224"/>
      <c r="AJ82" s="224"/>
      <c r="AK82" s="224"/>
      <c r="AL82" s="224"/>
      <c r="AM82" s="224"/>
      <c r="AN82" s="224"/>
      <c r="AO82" s="224"/>
      <c r="AP82" s="224"/>
      <c r="AQ82" s="224"/>
      <c r="AR82" s="224"/>
      <c r="AS82" s="224"/>
      <c r="AT82" s="224"/>
      <c r="AU82" s="224"/>
      <c r="AV82" s="224"/>
      <c r="AW82" s="224"/>
      <c r="AX82" s="224"/>
      <c r="AY82" s="224"/>
      <c r="AZ82" s="224"/>
      <c r="BA82" s="224"/>
      <c r="BB82" s="224"/>
      <c r="BC82" s="224"/>
      <c r="BD82" s="224"/>
      <c r="BE82" s="224"/>
      <c r="BF82" s="224"/>
      <c r="BG82" s="224"/>
      <c r="BH82" s="224"/>
      <c r="BI82" s="224" t="s">
        <v>636</v>
      </c>
      <c r="BJ82" s="224"/>
      <c r="BK82" s="224"/>
      <c r="BL82" s="224"/>
      <c r="BM82" s="224"/>
      <c r="BN82" s="224"/>
      <c r="BO82" s="224"/>
      <c r="BP82" s="224"/>
      <c r="BQ82" s="224"/>
      <c r="BR82" s="224"/>
      <c r="BS82" s="224"/>
      <c r="BT82" s="224">
        <f t="shared" si="6"/>
        <v>1</v>
      </c>
      <c r="BU82" s="221" t="str">
        <f t="shared" si="7"/>
        <v>; 8.7.1</v>
      </c>
    </row>
    <row r="83" spans="2:73" x14ac:dyDescent="0.3">
      <c r="B83" s="129" t="s">
        <v>824</v>
      </c>
      <c r="C83" s="222">
        <v>80</v>
      </c>
      <c r="D83" s="131" t="s">
        <v>788</v>
      </c>
      <c r="E83" s="224"/>
      <c r="F83" s="224"/>
      <c r="G83" s="224"/>
      <c r="H83" s="224"/>
      <c r="I83" s="224"/>
      <c r="J83" s="224"/>
      <c r="K83" s="224"/>
      <c r="L83" s="224"/>
      <c r="M83" s="224"/>
      <c r="N83" s="224"/>
      <c r="O83" s="224"/>
      <c r="P83" s="224"/>
      <c r="Q83" s="224"/>
      <c r="R83" s="224"/>
      <c r="S83" s="224"/>
      <c r="T83" s="224"/>
      <c r="U83" s="224"/>
      <c r="V83" s="224"/>
      <c r="W83" s="224"/>
      <c r="X83" s="224"/>
      <c r="Y83" s="224"/>
      <c r="Z83" s="224"/>
      <c r="AA83" s="224"/>
      <c r="AB83" s="224"/>
      <c r="AC83" s="224"/>
      <c r="AD83" s="224"/>
      <c r="AE83" s="224"/>
      <c r="AF83" s="224"/>
      <c r="AG83" s="224"/>
      <c r="AH83" s="224"/>
      <c r="AI83" s="224"/>
      <c r="AJ83" s="224"/>
      <c r="AK83" s="224"/>
      <c r="AL83" s="224"/>
      <c r="AM83" s="224"/>
      <c r="AN83" s="224"/>
      <c r="AO83" s="224"/>
      <c r="AP83" s="224"/>
      <c r="AQ83" s="224"/>
      <c r="AR83" s="224"/>
      <c r="AS83" s="224"/>
      <c r="AT83" s="224"/>
      <c r="AU83" s="224"/>
      <c r="AV83" s="224"/>
      <c r="AW83" s="224"/>
      <c r="AX83" s="224"/>
      <c r="AY83" s="224"/>
      <c r="AZ83" s="224"/>
      <c r="BA83" s="224"/>
      <c r="BB83" s="224"/>
      <c r="BC83" s="224"/>
      <c r="BD83" s="224"/>
      <c r="BE83" s="224"/>
      <c r="BF83" s="224"/>
      <c r="BG83" s="224"/>
      <c r="BH83" s="224"/>
      <c r="BI83" s="224" t="s">
        <v>636</v>
      </c>
      <c r="BJ83" s="224"/>
      <c r="BK83" s="224"/>
      <c r="BL83" s="224"/>
      <c r="BM83" s="224"/>
      <c r="BN83" s="224"/>
      <c r="BO83" s="224"/>
      <c r="BP83" s="224"/>
      <c r="BQ83" s="224"/>
      <c r="BR83" s="224"/>
      <c r="BS83" s="224"/>
      <c r="BT83" s="224">
        <f t="shared" si="6"/>
        <v>1</v>
      </c>
      <c r="BU83" s="221" t="str">
        <f t="shared" si="7"/>
        <v>; 8.7.1</v>
      </c>
    </row>
    <row r="84" spans="2:73" x14ac:dyDescent="0.3">
      <c r="B84" s="129" t="s">
        <v>824</v>
      </c>
      <c r="C84" s="222">
        <v>81</v>
      </c>
      <c r="D84" s="131" t="s">
        <v>789</v>
      </c>
      <c r="E84" s="224"/>
      <c r="F84" s="224"/>
      <c r="G84" s="224"/>
      <c r="H84" s="224"/>
      <c r="I84" s="224"/>
      <c r="J84" s="224"/>
      <c r="K84" s="224"/>
      <c r="L84" s="224"/>
      <c r="M84" s="224"/>
      <c r="N84" s="224"/>
      <c r="O84" s="224"/>
      <c r="P84" s="224"/>
      <c r="Q84" s="224"/>
      <c r="R84" s="224"/>
      <c r="S84" s="224"/>
      <c r="T84" s="224"/>
      <c r="U84" s="224"/>
      <c r="V84" s="224"/>
      <c r="W84" s="224"/>
      <c r="X84" s="224"/>
      <c r="Y84" s="224"/>
      <c r="Z84" s="224"/>
      <c r="AA84" s="224"/>
      <c r="AB84" s="224"/>
      <c r="AC84" s="224"/>
      <c r="AD84" s="224"/>
      <c r="AE84" s="224"/>
      <c r="AF84" s="224"/>
      <c r="AG84" s="224"/>
      <c r="AH84" s="224"/>
      <c r="AI84" s="224"/>
      <c r="AJ84" s="224"/>
      <c r="AK84" s="224"/>
      <c r="AL84" s="224"/>
      <c r="AM84" s="224"/>
      <c r="AN84" s="224"/>
      <c r="AO84" s="224"/>
      <c r="AP84" s="224"/>
      <c r="AQ84" s="224"/>
      <c r="AR84" s="224"/>
      <c r="AS84" s="224"/>
      <c r="AT84" s="224"/>
      <c r="AU84" s="224"/>
      <c r="AV84" s="224"/>
      <c r="AW84" s="224"/>
      <c r="AX84" s="224"/>
      <c r="AY84" s="224"/>
      <c r="AZ84" s="224"/>
      <c r="BA84" s="224"/>
      <c r="BB84" s="224"/>
      <c r="BC84" s="224"/>
      <c r="BD84" s="224"/>
      <c r="BE84" s="224"/>
      <c r="BF84" s="224"/>
      <c r="BG84" s="224"/>
      <c r="BH84" s="224"/>
      <c r="BI84" s="224" t="s">
        <v>636</v>
      </c>
      <c r="BJ84" s="224"/>
      <c r="BK84" s="224"/>
      <c r="BL84" s="224"/>
      <c r="BM84" s="224"/>
      <c r="BN84" s="224"/>
      <c r="BO84" s="224"/>
      <c r="BP84" s="224"/>
      <c r="BQ84" s="224"/>
      <c r="BR84" s="224"/>
      <c r="BS84" s="224"/>
      <c r="BT84" s="224">
        <f t="shared" si="6"/>
        <v>1</v>
      </c>
      <c r="BU84" s="221" t="str">
        <f t="shared" si="7"/>
        <v>; 8.7.1</v>
      </c>
    </row>
    <row r="85" spans="2:73" x14ac:dyDescent="0.3">
      <c r="B85" s="129" t="s">
        <v>824</v>
      </c>
      <c r="C85" s="222">
        <v>82</v>
      </c>
      <c r="D85" s="131" t="s">
        <v>790</v>
      </c>
      <c r="E85" s="224"/>
      <c r="F85" s="224"/>
      <c r="G85" s="224"/>
      <c r="H85" s="224"/>
      <c r="I85" s="224"/>
      <c r="J85" s="224"/>
      <c r="K85" s="224"/>
      <c r="L85" s="224"/>
      <c r="M85" s="224"/>
      <c r="N85" s="224"/>
      <c r="O85" s="224"/>
      <c r="P85" s="224"/>
      <c r="Q85" s="224"/>
      <c r="R85" s="224"/>
      <c r="S85" s="224"/>
      <c r="T85" s="224"/>
      <c r="U85" s="224"/>
      <c r="V85" s="224"/>
      <c r="W85" s="224"/>
      <c r="X85" s="224"/>
      <c r="Y85" s="224"/>
      <c r="Z85" s="224"/>
      <c r="AA85" s="224"/>
      <c r="AB85" s="224"/>
      <c r="AC85" s="224"/>
      <c r="AD85" s="224"/>
      <c r="AE85" s="224"/>
      <c r="AF85" s="224"/>
      <c r="AG85" s="224"/>
      <c r="AH85" s="224"/>
      <c r="AI85" s="224"/>
      <c r="AJ85" s="224"/>
      <c r="AK85" s="224"/>
      <c r="AL85" s="224"/>
      <c r="AM85" s="224"/>
      <c r="AN85" s="224"/>
      <c r="AO85" s="224"/>
      <c r="AP85" s="224"/>
      <c r="AQ85" s="224"/>
      <c r="AR85" s="224"/>
      <c r="AS85" s="224"/>
      <c r="AT85" s="224"/>
      <c r="AU85" s="224"/>
      <c r="AV85" s="224"/>
      <c r="AW85" s="224"/>
      <c r="AX85" s="224"/>
      <c r="AY85" s="224"/>
      <c r="AZ85" s="224"/>
      <c r="BA85" s="224"/>
      <c r="BB85" s="224"/>
      <c r="BC85" s="224"/>
      <c r="BD85" s="224"/>
      <c r="BE85" s="224"/>
      <c r="BF85" s="224"/>
      <c r="BG85" s="224"/>
      <c r="BH85" s="224"/>
      <c r="BI85" s="224" t="s">
        <v>636</v>
      </c>
      <c r="BJ85" s="224"/>
      <c r="BK85" s="224"/>
      <c r="BL85" s="224"/>
      <c r="BM85" s="224"/>
      <c r="BN85" s="224"/>
      <c r="BO85" s="224"/>
      <c r="BP85" s="224"/>
      <c r="BQ85" s="224"/>
      <c r="BR85" s="224"/>
      <c r="BS85" s="224"/>
      <c r="BT85" s="224">
        <f t="shared" si="6"/>
        <v>1</v>
      </c>
      <c r="BU85" s="221" t="str">
        <f t="shared" si="7"/>
        <v>; 8.7.1</v>
      </c>
    </row>
    <row r="86" spans="2:73" x14ac:dyDescent="0.3">
      <c r="B86" s="129" t="s">
        <v>819</v>
      </c>
      <c r="C86" s="222">
        <v>83</v>
      </c>
      <c r="D86" s="131" t="s">
        <v>841</v>
      </c>
      <c r="E86" s="224"/>
      <c r="F86" s="224"/>
      <c r="G86" s="224"/>
      <c r="H86" s="224"/>
      <c r="I86" s="224"/>
      <c r="J86" s="224"/>
      <c r="K86" s="224"/>
      <c r="L86" s="224"/>
      <c r="M86" s="224"/>
      <c r="N86" s="224"/>
      <c r="O86" s="224"/>
      <c r="P86" s="224"/>
      <c r="Q86" s="224"/>
      <c r="R86" s="224"/>
      <c r="S86" s="224"/>
      <c r="T86" s="224"/>
      <c r="U86" s="224"/>
      <c r="V86" s="224"/>
      <c r="W86" s="224"/>
      <c r="X86" s="224"/>
      <c r="Y86" s="224"/>
      <c r="Z86" s="224"/>
      <c r="AA86" s="224"/>
      <c r="AB86" s="224"/>
      <c r="AC86" s="224"/>
      <c r="AD86" s="224"/>
      <c r="AE86" s="224"/>
      <c r="AF86" s="224"/>
      <c r="AG86" s="224"/>
      <c r="AH86" s="224"/>
      <c r="AI86" s="224"/>
      <c r="AJ86" s="224"/>
      <c r="AK86" s="224"/>
      <c r="AL86" s="224"/>
      <c r="AM86" s="224"/>
      <c r="AN86" s="224"/>
      <c r="AO86" s="224"/>
      <c r="AP86" s="224"/>
      <c r="AQ86" s="224"/>
      <c r="AR86" s="224"/>
      <c r="AS86" s="224"/>
      <c r="AT86" s="224"/>
      <c r="AU86" s="224"/>
      <c r="AV86" s="224"/>
      <c r="AW86" s="224"/>
      <c r="AX86" s="224"/>
      <c r="AY86" s="224" t="s">
        <v>636</v>
      </c>
      <c r="AZ86" s="224"/>
      <c r="BA86" s="224"/>
      <c r="BB86" s="224"/>
      <c r="BC86" s="224"/>
      <c r="BD86" s="224"/>
      <c r="BE86" s="224"/>
      <c r="BF86" s="224"/>
      <c r="BG86" s="224"/>
      <c r="BH86" s="224"/>
      <c r="BI86" s="224"/>
      <c r="BJ86" s="224"/>
      <c r="BK86" s="224"/>
      <c r="BL86" s="224"/>
      <c r="BM86" s="224"/>
      <c r="BN86" s="224"/>
      <c r="BO86" s="224"/>
      <c r="BP86" s="224"/>
      <c r="BQ86" s="224"/>
      <c r="BR86" s="224"/>
      <c r="BS86" s="224"/>
      <c r="BT86" s="224">
        <f t="shared" si="6"/>
        <v>1</v>
      </c>
      <c r="BU86" s="221" t="str">
        <f t="shared" si="7"/>
        <v>; 8.4.3</v>
      </c>
    </row>
    <row r="87" spans="2:73" x14ac:dyDescent="0.3">
      <c r="B87" s="129" t="s">
        <v>819</v>
      </c>
      <c r="C87" s="222">
        <v>84</v>
      </c>
      <c r="D87" s="131" t="s">
        <v>786</v>
      </c>
      <c r="E87" s="224"/>
      <c r="F87" s="224"/>
      <c r="G87" s="224"/>
      <c r="H87" s="224"/>
      <c r="I87" s="224"/>
      <c r="J87" s="224"/>
      <c r="K87" s="224"/>
      <c r="L87" s="224"/>
      <c r="M87" s="224"/>
      <c r="N87" s="224"/>
      <c r="O87" s="224"/>
      <c r="P87" s="224"/>
      <c r="Q87" s="224"/>
      <c r="R87" s="224"/>
      <c r="S87" s="224"/>
      <c r="T87" s="224"/>
      <c r="U87" s="224"/>
      <c r="V87" s="224"/>
      <c r="W87" s="224"/>
      <c r="X87" s="224"/>
      <c r="Y87" s="224"/>
      <c r="Z87" s="224"/>
      <c r="AA87" s="224"/>
      <c r="AB87" s="224"/>
      <c r="AC87" s="224"/>
      <c r="AD87" s="224"/>
      <c r="AE87" s="224"/>
      <c r="AF87" s="224"/>
      <c r="AG87" s="224"/>
      <c r="AH87" s="224"/>
      <c r="AI87" s="224"/>
      <c r="AJ87" s="224"/>
      <c r="AK87" s="224"/>
      <c r="AL87" s="224"/>
      <c r="AM87" s="224"/>
      <c r="AN87" s="224"/>
      <c r="AO87" s="224"/>
      <c r="AP87" s="224"/>
      <c r="AQ87" s="224"/>
      <c r="AR87" s="224"/>
      <c r="AS87" s="224"/>
      <c r="AT87" s="224"/>
      <c r="AU87" s="224"/>
      <c r="AV87" s="224"/>
      <c r="AW87" s="224"/>
      <c r="AX87" s="224"/>
      <c r="AY87" s="224" t="s">
        <v>636</v>
      </c>
      <c r="AZ87" s="224"/>
      <c r="BA87" s="224"/>
      <c r="BB87" s="224"/>
      <c r="BC87" s="224"/>
      <c r="BD87" s="224"/>
      <c r="BE87" s="224"/>
      <c r="BF87" s="224"/>
      <c r="BG87" s="224"/>
      <c r="BH87" s="224"/>
      <c r="BI87" s="224"/>
      <c r="BJ87" s="224"/>
      <c r="BK87" s="224"/>
      <c r="BL87" s="224"/>
      <c r="BM87" s="224"/>
      <c r="BN87" s="224"/>
      <c r="BO87" s="224"/>
      <c r="BP87" s="224"/>
      <c r="BQ87" s="224"/>
      <c r="BR87" s="224"/>
      <c r="BS87" s="224"/>
      <c r="BT87" s="224">
        <f t="shared" si="6"/>
        <v>1</v>
      </c>
      <c r="BU87" s="221" t="str">
        <f t="shared" si="7"/>
        <v>; 8.4.3</v>
      </c>
    </row>
    <row r="88" spans="2:73" x14ac:dyDescent="0.3">
      <c r="B88" s="129" t="s">
        <v>819</v>
      </c>
      <c r="C88" s="222">
        <v>85</v>
      </c>
      <c r="D88" s="131" t="s">
        <v>818</v>
      </c>
      <c r="E88" s="224"/>
      <c r="F88" s="224"/>
      <c r="G88" s="224"/>
      <c r="H88" s="224"/>
      <c r="I88" s="224"/>
      <c r="J88" s="224"/>
      <c r="K88" s="224"/>
      <c r="L88" s="224"/>
      <c r="M88" s="224"/>
      <c r="N88" s="224"/>
      <c r="O88" s="224"/>
      <c r="P88" s="224"/>
      <c r="Q88" s="224"/>
      <c r="R88" s="224"/>
      <c r="S88" s="224"/>
      <c r="T88" s="224"/>
      <c r="U88" s="224"/>
      <c r="V88" s="224"/>
      <c r="W88" s="224"/>
      <c r="X88" s="224"/>
      <c r="Y88" s="224"/>
      <c r="Z88" s="224"/>
      <c r="AA88" s="224"/>
      <c r="AB88" s="224"/>
      <c r="AC88" s="224"/>
      <c r="AD88" s="224"/>
      <c r="AE88" s="224"/>
      <c r="AF88" s="224"/>
      <c r="AG88" s="224"/>
      <c r="AH88" s="224"/>
      <c r="AI88" s="224"/>
      <c r="AJ88" s="224"/>
      <c r="AK88" s="224"/>
      <c r="AL88" s="224"/>
      <c r="AM88" s="224"/>
      <c r="AN88" s="224"/>
      <c r="AO88" s="224"/>
      <c r="AP88" s="224"/>
      <c r="AQ88" s="224"/>
      <c r="AR88" s="224"/>
      <c r="AS88" s="224"/>
      <c r="AT88" s="224"/>
      <c r="AU88" s="224"/>
      <c r="AV88" s="224"/>
      <c r="AW88" s="224"/>
      <c r="AX88" s="224"/>
      <c r="AY88" s="224" t="s">
        <v>636</v>
      </c>
      <c r="AZ88" s="224"/>
      <c r="BA88" s="224"/>
      <c r="BB88" s="224"/>
      <c r="BC88" s="224"/>
      <c r="BD88" s="224"/>
      <c r="BE88" s="224"/>
      <c r="BF88" s="224"/>
      <c r="BG88" s="224"/>
      <c r="BH88" s="224"/>
      <c r="BI88" s="224"/>
      <c r="BJ88" s="224"/>
      <c r="BK88" s="224"/>
      <c r="BL88" s="224"/>
      <c r="BM88" s="224"/>
      <c r="BN88" s="224"/>
      <c r="BO88" s="224"/>
      <c r="BP88" s="224"/>
      <c r="BQ88" s="224"/>
      <c r="BR88" s="224"/>
      <c r="BS88" s="224"/>
      <c r="BT88" s="224">
        <f t="shared" si="6"/>
        <v>1</v>
      </c>
      <c r="BU88" s="221" t="str">
        <f t="shared" si="7"/>
        <v>; 8.4.3</v>
      </c>
    </row>
    <row r="89" spans="2:73" x14ac:dyDescent="0.3">
      <c r="B89" s="129" t="s">
        <v>819</v>
      </c>
      <c r="C89" s="222">
        <v>86</v>
      </c>
      <c r="D89" s="131" t="s">
        <v>787</v>
      </c>
      <c r="E89" s="224"/>
      <c r="F89" s="224"/>
      <c r="G89" s="224"/>
      <c r="H89" s="224"/>
      <c r="I89" s="224"/>
      <c r="J89" s="224"/>
      <c r="K89" s="224"/>
      <c r="L89" s="224"/>
      <c r="M89" s="224"/>
      <c r="N89" s="224"/>
      <c r="O89" s="224"/>
      <c r="P89" s="224"/>
      <c r="Q89" s="224"/>
      <c r="R89" s="224"/>
      <c r="S89" s="224"/>
      <c r="T89" s="224"/>
      <c r="U89" s="224"/>
      <c r="V89" s="224"/>
      <c r="W89" s="224"/>
      <c r="X89" s="224"/>
      <c r="Y89" s="224"/>
      <c r="Z89" s="224"/>
      <c r="AA89" s="224"/>
      <c r="AB89" s="224"/>
      <c r="AC89" s="224"/>
      <c r="AD89" s="224"/>
      <c r="AE89" s="224"/>
      <c r="AF89" s="224"/>
      <c r="AG89" s="224"/>
      <c r="AH89" s="224"/>
      <c r="AI89" s="224"/>
      <c r="AJ89" s="224"/>
      <c r="AK89" s="224"/>
      <c r="AL89" s="224"/>
      <c r="AM89" s="224"/>
      <c r="AN89" s="224"/>
      <c r="AO89" s="224"/>
      <c r="AP89" s="224"/>
      <c r="AQ89" s="224"/>
      <c r="AR89" s="224"/>
      <c r="AS89" s="224"/>
      <c r="AT89" s="224"/>
      <c r="AU89" s="224"/>
      <c r="AV89" s="224"/>
      <c r="AW89" s="224"/>
      <c r="AX89" s="224"/>
      <c r="AY89" s="224" t="s">
        <v>636</v>
      </c>
      <c r="AZ89" s="224"/>
      <c r="BA89" s="224"/>
      <c r="BB89" s="224"/>
      <c r="BC89" s="224"/>
      <c r="BD89" s="224"/>
      <c r="BE89" s="224"/>
      <c r="BF89" s="224"/>
      <c r="BG89" s="224"/>
      <c r="BH89" s="224"/>
      <c r="BI89" s="224"/>
      <c r="BJ89" s="224"/>
      <c r="BK89" s="224"/>
      <c r="BL89" s="224"/>
      <c r="BM89" s="224"/>
      <c r="BN89" s="224"/>
      <c r="BO89" s="224"/>
      <c r="BP89" s="224"/>
      <c r="BQ89" s="224"/>
      <c r="BR89" s="224"/>
      <c r="BS89" s="224"/>
      <c r="BT89" s="224">
        <f t="shared" si="6"/>
        <v>1</v>
      </c>
      <c r="BU89" s="221" t="str">
        <f t="shared" si="7"/>
        <v>; 8.4.3</v>
      </c>
    </row>
    <row r="90" spans="2:73" x14ac:dyDescent="0.3">
      <c r="B90" s="129" t="s">
        <v>819</v>
      </c>
      <c r="C90" s="222">
        <v>87</v>
      </c>
      <c r="D90" s="131" t="s">
        <v>788</v>
      </c>
      <c r="E90" s="224"/>
      <c r="F90" s="224"/>
      <c r="G90" s="224"/>
      <c r="H90" s="224"/>
      <c r="I90" s="224"/>
      <c r="J90" s="224"/>
      <c r="K90" s="224"/>
      <c r="L90" s="224"/>
      <c r="M90" s="224"/>
      <c r="N90" s="224"/>
      <c r="O90" s="224"/>
      <c r="P90" s="224"/>
      <c r="Q90" s="224"/>
      <c r="R90" s="224"/>
      <c r="S90" s="224"/>
      <c r="T90" s="224"/>
      <c r="U90" s="224"/>
      <c r="V90" s="224"/>
      <c r="W90" s="224"/>
      <c r="X90" s="224"/>
      <c r="Y90" s="224"/>
      <c r="Z90" s="224"/>
      <c r="AA90" s="224"/>
      <c r="AB90" s="224"/>
      <c r="AC90" s="224"/>
      <c r="AD90" s="224"/>
      <c r="AE90" s="224"/>
      <c r="AF90" s="224"/>
      <c r="AG90" s="224"/>
      <c r="AH90" s="224"/>
      <c r="AI90" s="224"/>
      <c r="AJ90" s="224"/>
      <c r="AK90" s="224"/>
      <c r="AL90" s="224"/>
      <c r="AM90" s="224"/>
      <c r="AN90" s="224"/>
      <c r="AO90" s="224"/>
      <c r="AP90" s="224"/>
      <c r="AQ90" s="224"/>
      <c r="AR90" s="224"/>
      <c r="AS90" s="224"/>
      <c r="AT90" s="224"/>
      <c r="AU90" s="224"/>
      <c r="AV90" s="224"/>
      <c r="AW90" s="224"/>
      <c r="AX90" s="224"/>
      <c r="AY90" s="224" t="s">
        <v>636</v>
      </c>
      <c r="AZ90" s="224"/>
      <c r="BA90" s="224"/>
      <c r="BB90" s="224"/>
      <c r="BC90" s="224"/>
      <c r="BD90" s="224"/>
      <c r="BE90" s="224"/>
      <c r="BF90" s="224"/>
      <c r="BG90" s="224"/>
      <c r="BH90" s="224"/>
      <c r="BI90" s="224"/>
      <c r="BJ90" s="224"/>
      <c r="BK90" s="224"/>
      <c r="BL90" s="224"/>
      <c r="BM90" s="224"/>
      <c r="BN90" s="224"/>
      <c r="BO90" s="224"/>
      <c r="BP90" s="224"/>
      <c r="BQ90" s="224"/>
      <c r="BR90" s="224"/>
      <c r="BS90" s="224"/>
      <c r="BT90" s="224">
        <f t="shared" si="6"/>
        <v>1</v>
      </c>
      <c r="BU90" s="221" t="str">
        <f t="shared" si="7"/>
        <v>; 8.4.3</v>
      </c>
    </row>
    <row r="91" spans="2:73" x14ac:dyDescent="0.3">
      <c r="B91" s="129" t="s">
        <v>819</v>
      </c>
      <c r="C91" s="222">
        <v>88</v>
      </c>
      <c r="D91" s="131" t="s">
        <v>789</v>
      </c>
      <c r="E91" s="224"/>
      <c r="F91" s="224"/>
      <c r="G91" s="224"/>
      <c r="H91" s="224"/>
      <c r="I91" s="224"/>
      <c r="J91" s="224"/>
      <c r="K91" s="224"/>
      <c r="L91" s="224"/>
      <c r="M91" s="224"/>
      <c r="N91" s="224"/>
      <c r="O91" s="224"/>
      <c r="P91" s="224"/>
      <c r="Q91" s="224"/>
      <c r="R91" s="224"/>
      <c r="S91" s="224"/>
      <c r="T91" s="224"/>
      <c r="U91" s="224"/>
      <c r="V91" s="224"/>
      <c r="W91" s="224"/>
      <c r="X91" s="224"/>
      <c r="Y91" s="224"/>
      <c r="Z91" s="224"/>
      <c r="AA91" s="224"/>
      <c r="AB91" s="224"/>
      <c r="AC91" s="224"/>
      <c r="AD91" s="224"/>
      <c r="AE91" s="224"/>
      <c r="AF91" s="224"/>
      <c r="AG91" s="224"/>
      <c r="AH91" s="224"/>
      <c r="AI91" s="224"/>
      <c r="AJ91" s="224"/>
      <c r="AK91" s="224"/>
      <c r="AL91" s="224"/>
      <c r="AM91" s="224"/>
      <c r="AN91" s="224"/>
      <c r="AO91" s="224"/>
      <c r="AP91" s="224"/>
      <c r="AQ91" s="224"/>
      <c r="AR91" s="224"/>
      <c r="AS91" s="224"/>
      <c r="AT91" s="224"/>
      <c r="AU91" s="224"/>
      <c r="AV91" s="224"/>
      <c r="AW91" s="224"/>
      <c r="AX91" s="224"/>
      <c r="AY91" s="224" t="s">
        <v>636</v>
      </c>
      <c r="AZ91" s="224"/>
      <c r="BA91" s="224"/>
      <c r="BB91" s="224"/>
      <c r="BC91" s="224"/>
      <c r="BD91" s="224"/>
      <c r="BE91" s="224"/>
      <c r="BF91" s="224"/>
      <c r="BG91" s="224"/>
      <c r="BH91" s="224"/>
      <c r="BI91" s="224"/>
      <c r="BJ91" s="224"/>
      <c r="BK91" s="224"/>
      <c r="BL91" s="224"/>
      <c r="BM91" s="224"/>
      <c r="BN91" s="224"/>
      <c r="BO91" s="224"/>
      <c r="BP91" s="224"/>
      <c r="BQ91" s="224"/>
      <c r="BR91" s="224"/>
      <c r="BS91" s="224"/>
      <c r="BT91" s="224">
        <f t="shared" si="6"/>
        <v>1</v>
      </c>
      <c r="BU91" s="221" t="str">
        <f t="shared" si="7"/>
        <v>; 8.4.3</v>
      </c>
    </row>
    <row r="92" spans="2:73" x14ac:dyDescent="0.3">
      <c r="B92" s="129" t="s">
        <v>819</v>
      </c>
      <c r="C92" s="222">
        <v>89</v>
      </c>
      <c r="D92" s="131" t="s">
        <v>790</v>
      </c>
      <c r="E92" s="224"/>
      <c r="F92" s="224"/>
      <c r="G92" s="224"/>
      <c r="H92" s="224"/>
      <c r="I92" s="224"/>
      <c r="J92" s="224"/>
      <c r="K92" s="224"/>
      <c r="L92" s="224"/>
      <c r="M92" s="224"/>
      <c r="N92" s="224"/>
      <c r="O92" s="224"/>
      <c r="P92" s="224"/>
      <c r="Q92" s="224"/>
      <c r="R92" s="224"/>
      <c r="S92" s="224"/>
      <c r="T92" s="224"/>
      <c r="U92" s="224"/>
      <c r="V92" s="224"/>
      <c r="W92" s="224"/>
      <c r="X92" s="224"/>
      <c r="Y92" s="224"/>
      <c r="Z92" s="224"/>
      <c r="AA92" s="224"/>
      <c r="AB92" s="224"/>
      <c r="AC92" s="224"/>
      <c r="AD92" s="224"/>
      <c r="AE92" s="224"/>
      <c r="AF92" s="224"/>
      <c r="AG92" s="224"/>
      <c r="AH92" s="224"/>
      <c r="AI92" s="224"/>
      <c r="AJ92" s="224"/>
      <c r="AK92" s="224"/>
      <c r="AL92" s="224"/>
      <c r="AM92" s="224"/>
      <c r="AN92" s="224"/>
      <c r="AO92" s="224"/>
      <c r="AP92" s="224"/>
      <c r="AQ92" s="224"/>
      <c r="AR92" s="224"/>
      <c r="AS92" s="224"/>
      <c r="AT92" s="224"/>
      <c r="AU92" s="224"/>
      <c r="AV92" s="224"/>
      <c r="AW92" s="224"/>
      <c r="AX92" s="224"/>
      <c r="AY92" s="224" t="s">
        <v>636</v>
      </c>
      <c r="AZ92" s="224"/>
      <c r="BA92" s="224"/>
      <c r="BB92" s="224"/>
      <c r="BC92" s="224"/>
      <c r="BD92" s="224"/>
      <c r="BE92" s="224"/>
      <c r="BF92" s="224"/>
      <c r="BG92" s="224"/>
      <c r="BH92" s="224"/>
      <c r="BI92" s="224"/>
      <c r="BJ92" s="224"/>
      <c r="BK92" s="224" t="s">
        <v>636</v>
      </c>
      <c r="BL92" s="224"/>
      <c r="BM92" s="224"/>
      <c r="BN92" s="224"/>
      <c r="BO92" s="224"/>
      <c r="BP92" s="224"/>
      <c r="BQ92" s="224"/>
      <c r="BR92" s="224"/>
      <c r="BS92" s="224"/>
      <c r="BT92" s="224">
        <f t="shared" si="6"/>
        <v>2</v>
      </c>
      <c r="BU92" s="221" t="str">
        <f t="shared" si="7"/>
        <v>; 8.4.3; 8.7.3</v>
      </c>
    </row>
    <row r="93" spans="2:73" x14ac:dyDescent="0.3">
      <c r="B93" s="129" t="s">
        <v>1045</v>
      </c>
      <c r="C93" s="222">
        <v>90</v>
      </c>
      <c r="D93" s="131" t="s">
        <v>1046</v>
      </c>
      <c r="E93" s="224"/>
      <c r="F93" s="224"/>
      <c r="G93" s="224"/>
      <c r="H93" s="224"/>
      <c r="I93" s="224"/>
      <c r="J93" s="224"/>
      <c r="K93" s="224"/>
      <c r="L93" s="224"/>
      <c r="M93" s="224"/>
      <c r="N93" s="224"/>
      <c r="O93" s="224"/>
      <c r="P93" s="224"/>
      <c r="Q93" s="224"/>
      <c r="R93" s="224"/>
      <c r="S93" s="224"/>
      <c r="T93" s="224"/>
      <c r="U93" s="224"/>
      <c r="V93" s="224"/>
      <c r="W93" s="224"/>
      <c r="X93" s="224"/>
      <c r="Y93" s="224"/>
      <c r="Z93" s="224"/>
      <c r="AA93" s="224"/>
      <c r="AB93" s="224"/>
      <c r="AC93" s="224"/>
      <c r="AD93" s="224"/>
      <c r="AE93" s="224"/>
      <c r="AF93" s="224"/>
      <c r="AG93" s="224"/>
      <c r="AH93" s="224"/>
      <c r="AI93" s="224"/>
      <c r="AJ93" s="224"/>
      <c r="AK93" s="224"/>
      <c r="AL93" s="224"/>
      <c r="AM93" s="224"/>
      <c r="AN93" s="224"/>
      <c r="AO93" s="224"/>
      <c r="AP93" s="224" t="s">
        <v>636</v>
      </c>
      <c r="AQ93" s="224"/>
      <c r="AR93" s="224"/>
      <c r="AS93" s="224"/>
      <c r="AT93" s="224"/>
      <c r="AU93" s="224"/>
      <c r="AV93" s="224"/>
      <c r="AW93" s="224"/>
      <c r="AX93" s="224"/>
      <c r="AY93" s="224"/>
      <c r="AZ93" s="224"/>
      <c r="BA93" s="224" t="s">
        <v>636</v>
      </c>
      <c r="BB93" s="224"/>
      <c r="BC93" s="224" t="s">
        <v>636</v>
      </c>
      <c r="BD93" s="224"/>
      <c r="BE93" s="224" t="s">
        <v>636</v>
      </c>
      <c r="BF93" s="224"/>
      <c r="BG93" s="224"/>
      <c r="BH93" s="224"/>
      <c r="BI93" s="224"/>
      <c r="BJ93" s="224"/>
      <c r="BK93" s="224"/>
      <c r="BL93" s="224"/>
      <c r="BM93" s="224"/>
      <c r="BN93" s="224"/>
      <c r="BO93" s="224"/>
      <c r="BP93" s="224"/>
      <c r="BQ93" s="224"/>
      <c r="BR93" s="224"/>
      <c r="BS93" s="224"/>
      <c r="BT93" s="224">
        <f t="shared" ref="BT93:BT99" si="8">COUNTIF(E93:BS93,"Y")</f>
        <v>4</v>
      </c>
      <c r="BU93" s="221" t="str">
        <f t="shared" ref="BU93:BU99" si="9">IF(E93="Y",$E$3,"")&amp;IF(F93="Y","; "&amp;$F$3,"")&amp;IF(G93="Y","; "&amp;$G$3,"")&amp;IF(H93="Y","; "&amp;$H$3,"")&amp;IF(I93="Y","; "&amp;$I$3,"")&amp;IF(J93="Y","; "&amp;$J$3,"")&amp;IF(K93="Y","; "&amp;$K$3,"")&amp;IF(L93="Y","; "&amp;$L$3,"")&amp;IF(M93="Y","; "&amp;$M$3,"")&amp;IF(N93="Y","; "&amp;$N$3,"")&amp;IF(O93="Y","; "&amp;$O$3,"")&amp;IF(P93="Y","; "&amp;$P$3,"")&amp;IF(Q93="Y","; "&amp;$Q$3,"")&amp;IF(R93="Y","; "&amp;$R$3,"")&amp;IF(S93="Y","; "&amp;$S$3,"")&amp;IF(T93="Y","; "&amp;$T$3,"")&amp;IF(U93="Y","; "&amp;$U$3,"")&amp;IF(V93="Y","; "&amp;$V$3,"")&amp;IF(W93="Y","; "&amp;$W$3,"")&amp;IF(X93="Y","; "&amp;$X$3,"")&amp;IF(Y93="Y","; "&amp;$Y$3,"")&amp;IF(Z93="Y","; "&amp;$Z$3,"")&amp;IF(AA93="Y","; "&amp;$AA$3,"")&amp;IF(AB93="Y","; "&amp;$AB$3,"")&amp;IF(AC93="Y","; "&amp;$AC$3,"")&amp;IF(AD93="Y","; "&amp;$AD$3,"")&amp;IF(AE93="Y","; "&amp;$AE$3,"")&amp;IF(AF93="Y","; "&amp;$AF$3,"")&amp;IF(AG93="Y","; "&amp;$AG$3,"")&amp;IF(AH93="Y","; "&amp;$AH$3,"")&amp;IF(AI93="Y","; "&amp;$AI$3,"")&amp;IF(AJ93="Y","; "&amp;$AJ$3,"")&amp;IF(AK93="Y","; "&amp;$AK$3,"")&amp;IF(AL93="Y","; "&amp;$AL$3,"")&amp;IF(AM93="Y","; "&amp;$AM$3,"")&amp;IF(AN93="Y","; "&amp;$AN$3,"")&amp;IF(AO93="Y","; "&amp;$AO$3,"")&amp;IF(AP93="Y","; "&amp;$AP$3,"")&amp;IF(AQ93="Y","; "&amp;$AQ$3,"")&amp;IF(AR93="Y","; "&amp;$AR$3,"")&amp;IF(AS93="Y","; "&amp;$AS$3,"")&amp;IF(AT93="Y","; "&amp;$AT$3,"")&amp;IF(AU93="Y","; "&amp;$AU$3,"")&amp;IF(AV93="Y","; "&amp;$AV$3,"")&amp;IF(AW93="Y","; "&amp;$AW$3,"")&amp;IF(AX93="Y","; "&amp;$AX$3,"")&amp;IF(AY93="Y","; "&amp;$AY$3,"")&amp;IF(AZ93="Y","; "&amp;$AZ$3,"")&amp;IF(BA93="Y","; "&amp;$BA$3,"")&amp;IF(BB93="Y","; "&amp;$BB$3,"")&amp;IF(BC93="Y","; "&amp;$BC$3,"")&amp;IF(BD93="Y","; "&amp;$BD$3,"")&amp;IF(BE93="Y","; "&amp;$BE$3,"")&amp;IF(BF93="Y","; "&amp;$BF$3,"")&amp;IF(BG93="Y","; "&amp;$BG$3,"")&amp;IF(BH93="Y","; "&amp;$BH$3,"")&amp;IF(BI93="Y","; "&amp;$BI$3,"")&amp;IF(BJ93="Y","; "&amp;$BJ$3,"")&amp;IF(BK93="Y","; "&amp;$BK$3,"")&amp;IF(BL93="Y","; "&amp;$BL$3,"")&amp;IF(BM93="Y","; "&amp;$BM$3,"")&amp;IF(BN93="Y","; "&amp;$BN$3,"")&amp;IF(BO93="Y","; "&amp;$BO$3,"")&amp;IF(BP93="Y","; "&amp;$BP$3,"")&amp;IF(BQ93="Y","; "&amp;$BQ$3,"")&amp;IF(BR93="Y","; "&amp;$BR$3,"")&amp;IF(BS93="Y","; "&amp;$BS$3,"")</f>
        <v>; 8.2.6; 8.5.1; 8.5.3; 8.6.1</v>
      </c>
    </row>
    <row r="94" spans="2:73" x14ac:dyDescent="0.3">
      <c r="B94" s="129" t="s">
        <v>1045</v>
      </c>
      <c r="C94" s="222">
        <v>91</v>
      </c>
      <c r="D94" s="131" t="s">
        <v>786</v>
      </c>
      <c r="E94" s="224"/>
      <c r="F94" s="224"/>
      <c r="G94" s="224"/>
      <c r="H94" s="224"/>
      <c r="I94" s="224"/>
      <c r="J94" s="224"/>
      <c r="K94" s="224"/>
      <c r="L94" s="224"/>
      <c r="M94" s="224"/>
      <c r="N94" s="224"/>
      <c r="O94" s="224"/>
      <c r="P94" s="224"/>
      <c r="Q94" s="224"/>
      <c r="R94" s="224"/>
      <c r="S94" s="224"/>
      <c r="T94" s="224"/>
      <c r="U94" s="224"/>
      <c r="V94" s="224"/>
      <c r="W94" s="224"/>
      <c r="X94" s="224"/>
      <c r="Y94" s="224"/>
      <c r="Z94" s="224"/>
      <c r="AA94" s="224"/>
      <c r="AB94" s="224"/>
      <c r="AC94" s="224"/>
      <c r="AD94" s="224"/>
      <c r="AE94" s="224"/>
      <c r="AF94" s="224"/>
      <c r="AG94" s="224"/>
      <c r="AH94" s="224"/>
      <c r="AI94" s="224"/>
      <c r="AJ94" s="224"/>
      <c r="AK94" s="224"/>
      <c r="AL94" s="224"/>
      <c r="AM94" s="224"/>
      <c r="AN94" s="224"/>
      <c r="AO94" s="224"/>
      <c r="AP94" s="224" t="s">
        <v>636</v>
      </c>
      <c r="AQ94" s="224"/>
      <c r="AR94" s="224"/>
      <c r="AS94" s="224"/>
      <c r="AT94" s="224"/>
      <c r="AU94" s="224"/>
      <c r="AV94" s="224"/>
      <c r="AW94" s="224"/>
      <c r="AX94" s="224"/>
      <c r="AY94" s="224"/>
      <c r="AZ94" s="224"/>
      <c r="BA94" s="224" t="s">
        <v>636</v>
      </c>
      <c r="BB94" s="224"/>
      <c r="BC94" s="224" t="s">
        <v>636</v>
      </c>
      <c r="BD94" s="224"/>
      <c r="BE94" s="224" t="s">
        <v>636</v>
      </c>
      <c r="BF94" s="224"/>
      <c r="BG94" s="224"/>
      <c r="BH94" s="224"/>
      <c r="BI94" s="224"/>
      <c r="BJ94" s="224"/>
      <c r="BK94" s="224"/>
      <c r="BL94" s="224"/>
      <c r="BM94" s="224"/>
      <c r="BN94" s="224"/>
      <c r="BO94" s="224"/>
      <c r="BP94" s="224"/>
      <c r="BQ94" s="224"/>
      <c r="BR94" s="224"/>
      <c r="BS94" s="224"/>
      <c r="BT94" s="224">
        <f t="shared" si="8"/>
        <v>4</v>
      </c>
      <c r="BU94" s="221" t="str">
        <f t="shared" si="9"/>
        <v>; 8.2.6; 8.5.1; 8.5.3; 8.6.1</v>
      </c>
    </row>
    <row r="95" spans="2:73" x14ac:dyDescent="0.3">
      <c r="B95" s="129" t="s">
        <v>1045</v>
      </c>
      <c r="C95" s="222">
        <v>92</v>
      </c>
      <c r="D95" s="131" t="s">
        <v>818</v>
      </c>
      <c r="E95" s="224"/>
      <c r="F95" s="224"/>
      <c r="G95" s="224"/>
      <c r="H95" s="224"/>
      <c r="I95" s="224"/>
      <c r="J95" s="224"/>
      <c r="K95" s="224"/>
      <c r="L95" s="224"/>
      <c r="M95" s="224"/>
      <c r="N95" s="224"/>
      <c r="O95" s="224"/>
      <c r="P95" s="224"/>
      <c r="Q95" s="224"/>
      <c r="R95" s="224"/>
      <c r="S95" s="224"/>
      <c r="T95" s="224"/>
      <c r="U95" s="224"/>
      <c r="V95" s="224"/>
      <c r="W95" s="224"/>
      <c r="X95" s="224"/>
      <c r="Y95" s="224"/>
      <c r="Z95" s="224"/>
      <c r="AA95" s="224"/>
      <c r="AB95" s="224"/>
      <c r="AC95" s="224"/>
      <c r="AD95" s="224"/>
      <c r="AE95" s="224"/>
      <c r="AF95" s="224"/>
      <c r="AG95" s="224"/>
      <c r="AH95" s="224"/>
      <c r="AI95" s="224"/>
      <c r="AJ95" s="224"/>
      <c r="AK95" s="224"/>
      <c r="AL95" s="224"/>
      <c r="AM95" s="224"/>
      <c r="AN95" s="224"/>
      <c r="AO95" s="224"/>
      <c r="AP95" s="224" t="s">
        <v>636</v>
      </c>
      <c r="AQ95" s="224"/>
      <c r="AR95" s="224"/>
      <c r="AS95" s="224"/>
      <c r="AT95" s="224"/>
      <c r="AU95" s="224"/>
      <c r="AV95" s="224"/>
      <c r="AW95" s="224"/>
      <c r="AX95" s="224"/>
      <c r="AY95" s="224"/>
      <c r="AZ95" s="224"/>
      <c r="BA95" s="224" t="s">
        <v>636</v>
      </c>
      <c r="BB95" s="224"/>
      <c r="BC95" s="224" t="s">
        <v>636</v>
      </c>
      <c r="BD95" s="224"/>
      <c r="BE95" s="224" t="s">
        <v>636</v>
      </c>
      <c r="BF95" s="224"/>
      <c r="BG95" s="224"/>
      <c r="BH95" s="224"/>
      <c r="BI95" s="224"/>
      <c r="BJ95" s="224"/>
      <c r="BK95" s="224"/>
      <c r="BL95" s="224"/>
      <c r="BM95" s="224"/>
      <c r="BN95" s="224"/>
      <c r="BO95" s="224"/>
      <c r="BP95" s="224"/>
      <c r="BQ95" s="224"/>
      <c r="BR95" s="224"/>
      <c r="BS95" s="224"/>
      <c r="BT95" s="224">
        <f t="shared" si="8"/>
        <v>4</v>
      </c>
      <c r="BU95" s="221" t="str">
        <f t="shared" si="9"/>
        <v>; 8.2.6; 8.5.1; 8.5.3; 8.6.1</v>
      </c>
    </row>
    <row r="96" spans="2:73" x14ac:dyDescent="0.3">
      <c r="B96" s="129" t="s">
        <v>1045</v>
      </c>
      <c r="C96" s="222">
        <v>93</v>
      </c>
      <c r="D96" s="131" t="s">
        <v>787</v>
      </c>
      <c r="E96" s="224"/>
      <c r="F96" s="224"/>
      <c r="G96" s="224"/>
      <c r="H96" s="224"/>
      <c r="I96" s="224"/>
      <c r="J96" s="224"/>
      <c r="K96" s="224"/>
      <c r="L96" s="224"/>
      <c r="M96" s="224"/>
      <c r="N96" s="224"/>
      <c r="O96" s="224"/>
      <c r="P96" s="224"/>
      <c r="Q96" s="224"/>
      <c r="R96" s="224"/>
      <c r="S96" s="224"/>
      <c r="T96" s="224"/>
      <c r="U96" s="224"/>
      <c r="V96" s="224"/>
      <c r="W96" s="224"/>
      <c r="X96" s="224"/>
      <c r="Y96" s="224"/>
      <c r="Z96" s="224"/>
      <c r="AA96" s="224"/>
      <c r="AB96" s="224"/>
      <c r="AC96" s="224"/>
      <c r="AD96" s="224"/>
      <c r="AE96" s="224"/>
      <c r="AF96" s="224"/>
      <c r="AG96" s="224"/>
      <c r="AH96" s="224"/>
      <c r="AI96" s="224"/>
      <c r="AJ96" s="224"/>
      <c r="AK96" s="224"/>
      <c r="AL96" s="224"/>
      <c r="AM96" s="224"/>
      <c r="AN96" s="224"/>
      <c r="AO96" s="224"/>
      <c r="AP96" s="224" t="s">
        <v>636</v>
      </c>
      <c r="AQ96" s="224"/>
      <c r="AR96" s="224"/>
      <c r="AS96" s="224"/>
      <c r="AT96" s="224"/>
      <c r="AU96" s="224"/>
      <c r="AV96" s="224"/>
      <c r="AW96" s="224"/>
      <c r="AX96" s="224"/>
      <c r="AY96" s="224"/>
      <c r="AZ96" s="224"/>
      <c r="BA96" s="224" t="s">
        <v>636</v>
      </c>
      <c r="BB96" s="224"/>
      <c r="BC96" s="224" t="s">
        <v>636</v>
      </c>
      <c r="BD96" s="224"/>
      <c r="BE96" s="224" t="s">
        <v>636</v>
      </c>
      <c r="BF96" s="224"/>
      <c r="BG96" s="224"/>
      <c r="BH96" s="224"/>
      <c r="BI96" s="224"/>
      <c r="BJ96" s="224"/>
      <c r="BK96" s="224"/>
      <c r="BL96" s="224"/>
      <c r="BM96" s="224"/>
      <c r="BN96" s="224"/>
      <c r="BO96" s="224"/>
      <c r="BP96" s="224"/>
      <c r="BQ96" s="224"/>
      <c r="BR96" s="224"/>
      <c r="BS96" s="224"/>
      <c r="BT96" s="224">
        <f t="shared" si="8"/>
        <v>4</v>
      </c>
      <c r="BU96" s="221" t="str">
        <f t="shared" si="9"/>
        <v>; 8.2.6; 8.5.1; 8.5.3; 8.6.1</v>
      </c>
    </row>
    <row r="97" spans="2:73" x14ac:dyDescent="0.3">
      <c r="B97" s="129" t="s">
        <v>1045</v>
      </c>
      <c r="C97" s="222">
        <v>94</v>
      </c>
      <c r="D97" s="131" t="s">
        <v>788</v>
      </c>
      <c r="E97" s="224"/>
      <c r="F97" s="224"/>
      <c r="G97" s="224"/>
      <c r="H97" s="224"/>
      <c r="I97" s="224"/>
      <c r="J97" s="224"/>
      <c r="K97" s="224"/>
      <c r="L97" s="224"/>
      <c r="M97" s="224"/>
      <c r="N97" s="224"/>
      <c r="O97" s="224"/>
      <c r="P97" s="224"/>
      <c r="Q97" s="224"/>
      <c r="R97" s="224"/>
      <c r="S97" s="224"/>
      <c r="T97" s="224"/>
      <c r="U97" s="224"/>
      <c r="V97" s="224"/>
      <c r="W97" s="224"/>
      <c r="X97" s="224"/>
      <c r="Y97" s="224"/>
      <c r="Z97" s="224"/>
      <c r="AA97" s="224"/>
      <c r="AB97" s="224"/>
      <c r="AC97" s="224"/>
      <c r="AD97" s="224"/>
      <c r="AE97" s="224"/>
      <c r="AF97" s="224"/>
      <c r="AG97" s="224"/>
      <c r="AH97" s="224"/>
      <c r="AI97" s="224"/>
      <c r="AJ97" s="224"/>
      <c r="AK97" s="224"/>
      <c r="AL97" s="224"/>
      <c r="AM97" s="224"/>
      <c r="AN97" s="224"/>
      <c r="AO97" s="224"/>
      <c r="AP97" s="224" t="s">
        <v>636</v>
      </c>
      <c r="AQ97" s="224"/>
      <c r="AR97" s="224"/>
      <c r="AS97" s="224"/>
      <c r="AT97" s="224"/>
      <c r="AU97" s="224"/>
      <c r="AV97" s="224"/>
      <c r="AW97" s="224"/>
      <c r="AX97" s="224"/>
      <c r="AY97" s="224"/>
      <c r="AZ97" s="224"/>
      <c r="BA97" s="224" t="s">
        <v>636</v>
      </c>
      <c r="BB97" s="224"/>
      <c r="BC97" s="224" t="s">
        <v>636</v>
      </c>
      <c r="BD97" s="224"/>
      <c r="BE97" s="224" t="s">
        <v>636</v>
      </c>
      <c r="BF97" s="224"/>
      <c r="BG97" s="224"/>
      <c r="BH97" s="224"/>
      <c r="BI97" s="224"/>
      <c r="BJ97" s="224"/>
      <c r="BK97" s="224"/>
      <c r="BL97" s="224"/>
      <c r="BM97" s="224"/>
      <c r="BN97" s="224"/>
      <c r="BO97" s="224"/>
      <c r="BP97" s="224"/>
      <c r="BQ97" s="224"/>
      <c r="BR97" s="224"/>
      <c r="BS97" s="224"/>
      <c r="BT97" s="224">
        <f t="shared" si="8"/>
        <v>4</v>
      </c>
      <c r="BU97" s="221" t="str">
        <f t="shared" si="9"/>
        <v>; 8.2.6; 8.5.1; 8.5.3; 8.6.1</v>
      </c>
    </row>
    <row r="98" spans="2:73" x14ac:dyDescent="0.3">
      <c r="B98" s="129" t="s">
        <v>1045</v>
      </c>
      <c r="C98" s="222">
        <v>95</v>
      </c>
      <c r="D98" s="131" t="s">
        <v>789</v>
      </c>
      <c r="E98" s="224"/>
      <c r="F98" s="224"/>
      <c r="G98" s="224"/>
      <c r="H98" s="224"/>
      <c r="I98" s="224"/>
      <c r="J98" s="224"/>
      <c r="K98" s="224"/>
      <c r="L98" s="224"/>
      <c r="M98" s="224"/>
      <c r="N98" s="224"/>
      <c r="O98" s="224"/>
      <c r="P98" s="224"/>
      <c r="Q98" s="224"/>
      <c r="R98" s="224"/>
      <c r="S98" s="224"/>
      <c r="T98" s="224"/>
      <c r="U98" s="224"/>
      <c r="V98" s="224"/>
      <c r="W98" s="224"/>
      <c r="X98" s="224"/>
      <c r="Y98" s="224"/>
      <c r="Z98" s="224"/>
      <c r="AA98" s="224"/>
      <c r="AB98" s="224"/>
      <c r="AC98" s="224"/>
      <c r="AD98" s="224"/>
      <c r="AE98" s="224"/>
      <c r="AF98" s="224"/>
      <c r="AG98" s="224"/>
      <c r="AH98" s="224"/>
      <c r="AI98" s="224"/>
      <c r="AJ98" s="224"/>
      <c r="AK98" s="224"/>
      <c r="AL98" s="224"/>
      <c r="AM98" s="224"/>
      <c r="AN98" s="224"/>
      <c r="AO98" s="224"/>
      <c r="AP98" s="224" t="s">
        <v>636</v>
      </c>
      <c r="AQ98" s="224"/>
      <c r="AR98" s="224"/>
      <c r="AS98" s="224"/>
      <c r="AT98" s="224"/>
      <c r="AU98" s="224"/>
      <c r="AV98" s="224"/>
      <c r="AW98" s="224"/>
      <c r="AX98" s="224"/>
      <c r="AY98" s="224"/>
      <c r="AZ98" s="224"/>
      <c r="BA98" s="224" t="s">
        <v>636</v>
      </c>
      <c r="BB98" s="224"/>
      <c r="BC98" s="224" t="s">
        <v>636</v>
      </c>
      <c r="BD98" s="224"/>
      <c r="BE98" s="224" t="s">
        <v>636</v>
      </c>
      <c r="BF98" s="224"/>
      <c r="BG98" s="224"/>
      <c r="BH98" s="224"/>
      <c r="BI98" s="224"/>
      <c r="BJ98" s="224"/>
      <c r="BK98" s="224"/>
      <c r="BL98" s="224"/>
      <c r="BM98" s="224"/>
      <c r="BN98" s="224"/>
      <c r="BO98" s="224"/>
      <c r="BP98" s="224"/>
      <c r="BQ98" s="224"/>
      <c r="BR98" s="224"/>
      <c r="BS98" s="224"/>
      <c r="BT98" s="224">
        <f t="shared" si="8"/>
        <v>4</v>
      </c>
      <c r="BU98" s="221" t="str">
        <f t="shared" si="9"/>
        <v>; 8.2.6; 8.5.1; 8.5.3; 8.6.1</v>
      </c>
    </row>
    <row r="99" spans="2:73" x14ac:dyDescent="0.3">
      <c r="B99" s="129" t="s">
        <v>1045</v>
      </c>
      <c r="C99" s="222">
        <v>96</v>
      </c>
      <c r="D99" s="131" t="s">
        <v>790</v>
      </c>
      <c r="E99" s="224"/>
      <c r="F99" s="224"/>
      <c r="G99" s="224"/>
      <c r="H99" s="224"/>
      <c r="I99" s="224"/>
      <c r="J99" s="224"/>
      <c r="K99" s="224"/>
      <c r="L99" s="224"/>
      <c r="M99" s="224"/>
      <c r="N99" s="224"/>
      <c r="O99" s="224"/>
      <c r="P99" s="224"/>
      <c r="Q99" s="224"/>
      <c r="R99" s="224"/>
      <c r="S99" s="224"/>
      <c r="T99" s="224"/>
      <c r="U99" s="224"/>
      <c r="V99" s="224"/>
      <c r="W99" s="224"/>
      <c r="X99" s="224"/>
      <c r="Y99" s="224"/>
      <c r="Z99" s="224"/>
      <c r="AA99" s="224"/>
      <c r="AB99" s="224"/>
      <c r="AC99" s="224"/>
      <c r="AD99" s="224"/>
      <c r="AE99" s="224"/>
      <c r="AF99" s="224"/>
      <c r="AG99" s="224"/>
      <c r="AH99" s="224"/>
      <c r="AI99" s="224"/>
      <c r="AJ99" s="224"/>
      <c r="AK99" s="224"/>
      <c r="AL99" s="224"/>
      <c r="AM99" s="224"/>
      <c r="AN99" s="224"/>
      <c r="AO99" s="224"/>
      <c r="AP99" s="224" t="s">
        <v>636</v>
      </c>
      <c r="AQ99" s="224"/>
      <c r="AR99" s="224"/>
      <c r="AS99" s="224"/>
      <c r="AT99" s="224"/>
      <c r="AU99" s="224"/>
      <c r="AV99" s="224"/>
      <c r="AW99" s="224"/>
      <c r="AX99" s="224"/>
      <c r="AY99" s="224"/>
      <c r="AZ99" s="224"/>
      <c r="BA99" s="224" t="s">
        <v>636</v>
      </c>
      <c r="BB99" s="224"/>
      <c r="BC99" s="224" t="s">
        <v>636</v>
      </c>
      <c r="BD99" s="224"/>
      <c r="BE99" s="224" t="s">
        <v>636</v>
      </c>
      <c r="BF99" s="224"/>
      <c r="BG99" s="224"/>
      <c r="BH99" s="224"/>
      <c r="BI99" s="224"/>
      <c r="BJ99" s="224"/>
      <c r="BK99" s="224" t="s">
        <v>636</v>
      </c>
      <c r="BL99" s="224"/>
      <c r="BM99" s="224"/>
      <c r="BN99" s="224"/>
      <c r="BO99" s="224"/>
      <c r="BP99" s="224"/>
      <c r="BQ99" s="224"/>
      <c r="BR99" s="224"/>
      <c r="BS99" s="224"/>
      <c r="BT99" s="224">
        <f t="shared" si="8"/>
        <v>5</v>
      </c>
      <c r="BU99" s="221" t="str">
        <f t="shared" si="9"/>
        <v>; 8.2.6; 8.5.1; 8.5.3; 8.6.1; 8.7.3</v>
      </c>
    </row>
  </sheetData>
  <sheetProtection password="DAE1" sheet="1" objects="1" scenarios="1" formatColumns="0" formatRows="0" autoFilter="0"/>
  <autoFilter ref="B3:BV99"/>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B3:BV26"/>
  <sheetViews>
    <sheetView workbookViewId="0">
      <pane xSplit="4" ySplit="3" topLeftCell="BO7" activePane="bottomRight" state="frozen"/>
      <selection pane="topRight" activeCell="E1" sqref="E1"/>
      <selection pane="bottomLeft" activeCell="A4" sqref="A4"/>
      <selection pane="bottomRight" activeCell="BU10" sqref="BU10"/>
    </sheetView>
  </sheetViews>
  <sheetFormatPr defaultColWidth="9.109375" defaultRowHeight="14.4" x14ac:dyDescent="0.3"/>
  <cols>
    <col min="1" max="1" width="9.109375" style="23"/>
    <col min="2" max="2" width="28.5546875" style="23" bestFit="1" customWidth="1"/>
    <col min="3" max="3" width="11.88671875" style="23" bestFit="1" customWidth="1"/>
    <col min="4" max="4" width="39.33203125" style="227" customWidth="1"/>
    <col min="5" max="71" width="9.109375" style="23"/>
    <col min="72" max="72" width="15.88671875" style="23" bestFit="1" customWidth="1"/>
    <col min="73" max="73" width="33.44140625" style="23" customWidth="1"/>
    <col min="74" max="16384" width="9.109375" style="23"/>
  </cols>
  <sheetData>
    <row r="3" spans="2:74" ht="55.2" x14ac:dyDescent="0.3">
      <c r="B3" s="219" t="s">
        <v>19</v>
      </c>
      <c r="C3" s="219" t="s">
        <v>649</v>
      </c>
      <c r="D3" s="220" t="s">
        <v>616</v>
      </c>
      <c r="E3" s="219">
        <v>4</v>
      </c>
      <c r="F3" s="219">
        <v>4.0999999999999996</v>
      </c>
      <c r="G3" s="219">
        <v>4.2</v>
      </c>
      <c r="H3" s="219">
        <v>4.3</v>
      </c>
      <c r="I3" s="219">
        <v>4.4000000000000004</v>
      </c>
      <c r="J3" s="219">
        <v>5</v>
      </c>
      <c r="K3" s="219">
        <v>5.0999999999999996</v>
      </c>
      <c r="L3" s="219">
        <v>5.2</v>
      </c>
      <c r="M3" s="219" t="s">
        <v>617</v>
      </c>
      <c r="N3" s="219" t="s">
        <v>618</v>
      </c>
      <c r="O3" s="219" t="s">
        <v>637</v>
      </c>
      <c r="P3" s="219">
        <v>5.3</v>
      </c>
      <c r="Q3" s="219">
        <v>6</v>
      </c>
      <c r="R3" s="219">
        <v>6.1</v>
      </c>
      <c r="S3" s="219">
        <v>6.2</v>
      </c>
      <c r="T3" s="219" t="s">
        <v>638</v>
      </c>
      <c r="U3" s="219" t="s">
        <v>639</v>
      </c>
      <c r="V3" s="219">
        <v>6.3</v>
      </c>
      <c r="W3" s="219">
        <v>7</v>
      </c>
      <c r="X3" s="219">
        <v>7.1</v>
      </c>
      <c r="Y3" s="219">
        <v>7.2</v>
      </c>
      <c r="Z3" s="219">
        <v>7.3</v>
      </c>
      <c r="AA3" s="219">
        <v>7.4</v>
      </c>
      <c r="AB3" s="219">
        <v>7.5</v>
      </c>
      <c r="AC3" s="219" t="s">
        <v>619</v>
      </c>
      <c r="AD3" s="219" t="s">
        <v>620</v>
      </c>
      <c r="AE3" s="219" t="s">
        <v>621</v>
      </c>
      <c r="AF3" s="219" t="s">
        <v>640</v>
      </c>
      <c r="AG3" s="219">
        <v>7.6</v>
      </c>
      <c r="AH3" s="219">
        <v>8</v>
      </c>
      <c r="AI3" s="219">
        <v>8.1</v>
      </c>
      <c r="AJ3" s="219">
        <v>8.1999999999999993</v>
      </c>
      <c r="AK3" s="219" t="s">
        <v>622</v>
      </c>
      <c r="AL3" s="219" t="s">
        <v>623</v>
      </c>
      <c r="AM3" s="219" t="s">
        <v>624</v>
      </c>
      <c r="AN3" s="219" t="s">
        <v>625</v>
      </c>
      <c r="AO3" s="219" t="s">
        <v>641</v>
      </c>
      <c r="AP3" s="219" t="s">
        <v>642</v>
      </c>
      <c r="AQ3" s="219">
        <v>8.3000000000000007</v>
      </c>
      <c r="AR3" s="219" t="s">
        <v>626</v>
      </c>
      <c r="AS3" s="219" t="s">
        <v>627</v>
      </c>
      <c r="AT3" s="219" t="s">
        <v>628</v>
      </c>
      <c r="AU3" s="219" t="s">
        <v>629</v>
      </c>
      <c r="AV3" s="219">
        <v>8.4</v>
      </c>
      <c r="AW3" s="219" t="s">
        <v>653</v>
      </c>
      <c r="AX3" s="219" t="s">
        <v>654</v>
      </c>
      <c r="AY3" s="219" t="s">
        <v>655</v>
      </c>
      <c r="AZ3" s="219">
        <v>8.5</v>
      </c>
      <c r="BA3" s="219" t="s">
        <v>630</v>
      </c>
      <c r="BB3" s="219" t="s">
        <v>631</v>
      </c>
      <c r="BC3" s="219" t="s">
        <v>632</v>
      </c>
      <c r="BD3" s="219">
        <v>8.6</v>
      </c>
      <c r="BE3" s="219" t="s">
        <v>643</v>
      </c>
      <c r="BF3" s="219" t="s">
        <v>644</v>
      </c>
      <c r="BG3" s="219" t="s">
        <v>645</v>
      </c>
      <c r="BH3" s="219">
        <v>8.6999999999999993</v>
      </c>
      <c r="BI3" s="219" t="s">
        <v>646</v>
      </c>
      <c r="BJ3" s="219" t="s">
        <v>647</v>
      </c>
      <c r="BK3" s="219" t="s">
        <v>648</v>
      </c>
      <c r="BL3" s="219">
        <v>9</v>
      </c>
      <c r="BM3" s="219">
        <v>9.1</v>
      </c>
      <c r="BN3" s="219">
        <v>9.1999999999999993</v>
      </c>
      <c r="BO3" s="219">
        <v>9.3000000000000007</v>
      </c>
      <c r="BP3" s="219">
        <v>9.4</v>
      </c>
      <c r="BQ3" s="219">
        <v>10</v>
      </c>
      <c r="BR3" s="219">
        <v>10.1</v>
      </c>
      <c r="BS3" s="219">
        <v>10.199999999999999</v>
      </c>
      <c r="BT3" s="219" t="s">
        <v>633</v>
      </c>
      <c r="BU3" s="219" t="s">
        <v>634</v>
      </c>
      <c r="BV3" s="220" t="s">
        <v>635</v>
      </c>
    </row>
    <row r="4" spans="2:74" ht="27.6" x14ac:dyDescent="0.3">
      <c r="B4" s="129" t="s">
        <v>832</v>
      </c>
      <c r="C4" s="130">
        <v>1</v>
      </c>
      <c r="D4" s="131" t="s">
        <v>685</v>
      </c>
      <c r="E4" s="224"/>
      <c r="F4" s="224"/>
      <c r="G4" s="224"/>
      <c r="H4" s="224"/>
      <c r="I4" s="224"/>
      <c r="J4" s="224"/>
      <c r="K4" s="224"/>
      <c r="L4" s="224"/>
      <c r="M4" s="224"/>
      <c r="N4" s="224"/>
      <c r="O4" s="224"/>
      <c r="P4" s="224"/>
      <c r="Q4" s="224"/>
      <c r="R4" s="224"/>
      <c r="S4" s="224"/>
      <c r="T4" s="224"/>
      <c r="U4" s="224"/>
      <c r="V4" s="224"/>
      <c r="W4" s="224"/>
      <c r="X4" s="224" t="s">
        <v>636</v>
      </c>
      <c r="Y4" s="224" t="s">
        <v>636</v>
      </c>
      <c r="Z4" s="224" t="s">
        <v>636</v>
      </c>
      <c r="AA4" s="224" t="s">
        <v>636</v>
      </c>
      <c r="AB4" s="224" t="s">
        <v>636</v>
      </c>
      <c r="AC4" s="224" t="s">
        <v>636</v>
      </c>
      <c r="AD4" s="224" t="s">
        <v>636</v>
      </c>
      <c r="AE4" s="224" t="s">
        <v>636</v>
      </c>
      <c r="AF4" s="224" t="s">
        <v>636</v>
      </c>
      <c r="AG4" s="224" t="s">
        <v>636</v>
      </c>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f t="shared" ref="BT4:BT22" si="0">COUNTIF(E4:BS4,"Y")</f>
        <v>10</v>
      </c>
      <c r="BU4" s="221" t="str">
        <f>IF(E4="Y",$E$3,"")&amp;IF(F4="Y","; "&amp;$F$3,"")&amp;IF(G4="Y","; "&amp;$G$3,"")&amp;IF(H4="Y","; "&amp;$H$3,"")&amp;IF(I4="Y","; "&amp;$I$3,"")&amp;IF(J4="Y","; "&amp;$J$3,"")&amp;IF(K4="Y","; "&amp;$K$3,"")&amp;IF(L4="Y","; "&amp;$L$3,"")&amp;IF(M4="Y","; "&amp;$M$3,"")&amp;IF(N4="Y","; "&amp;$N$3,"")&amp;IF(O4="Y","; "&amp;$O$3,"")&amp;IF(P4="Y","; "&amp;$P$3,"")&amp;IF(Q4="Y","; "&amp;$Q$3,"")&amp;IF(R4="Y","; "&amp;$R$3,"")&amp;IF(S4="Y","; "&amp;$S$3,"")&amp;IF(T4="Y","; "&amp;$T$3,"")&amp;IF(U4="Y","; "&amp;$U$3,"")&amp;IF(V4="Y","; "&amp;$V$3,"")&amp;IF(W4="Y","; "&amp;$W$3,"")&amp;IF(X4="Y","; "&amp;$X$3,"")&amp;IF(Y4="Y","; "&amp;$Y$3,"")&amp;IF(Z4="Y","; "&amp;$Z$3,"")&amp;IF(AA4="Y","; "&amp;$AA$3,"")&amp;IF(AB4="Y","; "&amp;$AB$3,"")&amp;IF(AC4="Y","; "&amp;$AC$3,"")&amp;IF(AD4="Y","; "&amp;$AD$3,"")&amp;IF(AE4="Y","; "&amp;$AE$3,"")&amp;IF(AF4="Y","; "&amp;$AF$3,"")&amp;IF(AG4="Y","; "&amp;$AG$3,"")&amp;IF(AH4="Y","; "&amp;$AH$3,"")&amp;IF(AI4="Y","; "&amp;$AI$3,"")&amp;IF(AJ4="Y","; "&amp;$AJ$3,"")&amp;IF(AK4="Y","; "&amp;$AK$3,"")&amp;IF(AL4="Y","; "&amp;$AL$3,"")&amp;IF(AM4="Y","; "&amp;$AM$3,"")&amp;IF(AN4="Y","; "&amp;$AN$3,"")&amp;IF(AO4="Y","; "&amp;$AO$3,"")&amp;IF(AP4="Y","; "&amp;$AP$3,"")&amp;IF(AQ4="Y","; "&amp;$AQ$3,"")&amp;IF(AR4="Y","; "&amp;$AR$3,"")&amp;IF(AS4="Y","; "&amp;$AS$3,"")&amp;IF(AT4="Y","; "&amp;$AT$3,"")&amp;IF(AU4="Y","; "&amp;$AU$3,"")&amp;IF(AV4="Y","; "&amp;$AV$3,"")&amp;IF(AW4="Y","; "&amp;$AW$3,"")&amp;IF(AX4="Y","; "&amp;$AX$3,"")&amp;IF(AY4="Y","; "&amp;$AY$3,"")&amp;IF(AZ4="Y","; "&amp;$AZ$3,"")&amp;IF(BA4="Y","; "&amp;$BA$3,"")&amp;IF(BB4="Y","; "&amp;$BB$3,"")&amp;IF(BC4="Y","; "&amp;$BC$3,"")&amp;IF(BD4="Y","; "&amp;$BD$3,"")&amp;IF(BE4="Y","; "&amp;$BE$3,"")&amp;IF(BF4="Y","; "&amp;$BF$3,"")&amp;IF(BG4="Y","; "&amp;$BG$3,"")&amp;IF(BH4="Y","; "&amp;$BH$3,"")&amp;IF(BI4="Y","; "&amp;$BI$3,"")&amp;IF(BJ4="Y","; "&amp;$BJ$3,"")&amp;IF(BK4="Y","; "&amp;$BK$3,"")&amp;IF(BL4="Y","; "&amp;$BL$3,"")&amp;IF(BM4="Y","; "&amp;$BM$3,"")&amp;IF(BN4="Y","; "&amp;$BN$3,"")&amp;IF(BO4="Y","; "&amp;$BO$3,"")&amp;IF(BP4="Y","; "&amp;$BP$3,"")&amp;IF(BQ4="Y","; "&amp;$BQ$3,"")&amp;IF(BR4="Y","; "&amp;$BR$3,"")&amp;IF(BS4="Y","; "&amp;$BS$3,"")</f>
        <v>; 7.1; 7.2; 7.3; 7.4; 7.5; 7.5.1; 7.5.2; 7.5.3; 7.5.4; 7.6</v>
      </c>
      <c r="BV4" s="224"/>
    </row>
    <row r="5" spans="2:74" ht="27.6" x14ac:dyDescent="0.3">
      <c r="B5" s="129" t="s">
        <v>832</v>
      </c>
      <c r="C5" s="130">
        <v>2</v>
      </c>
      <c r="D5" s="131" t="s">
        <v>843</v>
      </c>
      <c r="E5" s="224"/>
      <c r="F5" s="224"/>
      <c r="G5" s="224"/>
      <c r="H5" s="224"/>
      <c r="I5" s="224"/>
      <c r="J5" s="224"/>
      <c r="K5" s="224"/>
      <c r="L5" s="224"/>
      <c r="M5" s="224"/>
      <c r="N5" s="224"/>
      <c r="O5" s="224"/>
      <c r="P5" s="224"/>
      <c r="Q5" s="224"/>
      <c r="R5" s="224"/>
      <c r="S5" s="224"/>
      <c r="T5" s="224"/>
      <c r="U5" s="224"/>
      <c r="V5" s="224"/>
      <c r="W5" s="224"/>
      <c r="X5" s="224"/>
      <c r="Y5" s="224"/>
      <c r="Z5" s="224"/>
      <c r="AA5" s="224" t="s">
        <v>636</v>
      </c>
      <c r="AB5" s="224"/>
      <c r="AC5" s="224"/>
      <c r="AD5" s="224"/>
      <c r="AE5" s="224"/>
      <c r="AF5" s="224"/>
      <c r="AG5" s="224" t="s">
        <v>636</v>
      </c>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4"/>
      <c r="BH5" s="224"/>
      <c r="BI5" s="224"/>
      <c r="BJ5" s="224"/>
      <c r="BK5" s="224"/>
      <c r="BL5" s="224"/>
      <c r="BM5" s="224"/>
      <c r="BN5" s="224"/>
      <c r="BO5" s="224"/>
      <c r="BP5" s="224"/>
      <c r="BQ5" s="224"/>
      <c r="BR5" s="224"/>
      <c r="BS5" s="224"/>
      <c r="BT5" s="224">
        <f t="shared" si="0"/>
        <v>2</v>
      </c>
      <c r="BU5" s="221" t="str">
        <f t="shared" ref="BU5:BU22" si="1">IF(E5="Y",$E$3,"")&amp;IF(F5="Y","; "&amp;$F$3,"")&amp;IF(G5="Y","; "&amp;$G$3,"")&amp;IF(H5="Y","; "&amp;$H$3,"")&amp;IF(I5="Y","; "&amp;$I$3,"")&amp;IF(J5="Y","; "&amp;$J$3,"")&amp;IF(K5="Y","; "&amp;$K$3,"")&amp;IF(L5="Y","; "&amp;$L$3,"")&amp;IF(M5="Y","; "&amp;$M$3,"")&amp;IF(N5="Y","; "&amp;$N$3,"")&amp;IF(O5="Y","; "&amp;$O$3,"")&amp;IF(P5="Y","; "&amp;$P$3,"")&amp;IF(Q5="Y","; "&amp;$Q$3,"")&amp;IF(R5="Y","; "&amp;$R$3,"")&amp;IF(S5="Y","; "&amp;$S$3,"")&amp;IF(T5="Y","; "&amp;$T$3,"")&amp;IF(U5="Y","; "&amp;$U$3,"")&amp;IF(V5="Y","; "&amp;$V$3,"")&amp;IF(W5="Y","; "&amp;$W$3,"")&amp;IF(X5="Y","; "&amp;$X$3,"")&amp;IF(Y5="Y","; "&amp;$Y$3,"")&amp;IF(Z5="Y","; "&amp;$Z$3,"")&amp;IF(AA5="Y","; "&amp;$AA$3,"")&amp;IF(AB5="Y","; "&amp;$AB$3,"")&amp;IF(AC5="Y","; "&amp;$AC$3,"")&amp;IF(AD5="Y","; "&amp;$AD$3,"")&amp;IF(AE5="Y","; "&amp;$AE$3,"")&amp;IF(AF5="Y","; "&amp;$AF$3,"")&amp;IF(AG5="Y","; "&amp;$AG$3,"")&amp;IF(AH5="Y","; "&amp;$AH$3,"")&amp;IF(AI5="Y","; "&amp;$AI$3,"")&amp;IF(AJ5="Y","; "&amp;$AJ$3,"")&amp;IF(AK5="Y","; "&amp;$AK$3,"")&amp;IF(AL5="Y","; "&amp;$AL$3,"")&amp;IF(AM5="Y","; "&amp;$AM$3,"")&amp;IF(AN5="Y","; "&amp;$AN$3,"")&amp;IF(AO5="Y","; "&amp;$AO$3,"")&amp;IF(AP5="Y","; "&amp;$AP$3,"")&amp;IF(AQ5="Y","; "&amp;$AQ$3,"")&amp;IF(AR5="Y","; "&amp;$AR$3,"")&amp;IF(AS5="Y","; "&amp;$AS$3,"")&amp;IF(AT5="Y","; "&amp;$AT$3,"")&amp;IF(AU5="Y","; "&amp;$AU$3,"")&amp;IF(AV5="Y","; "&amp;$AV$3,"")&amp;IF(AW5="Y","; "&amp;$AW$3,"")&amp;IF(AX5="Y","; "&amp;$AX$3,"")&amp;IF(AY5="Y","; "&amp;$AY$3,"")&amp;IF(AZ5="Y","; "&amp;$AZ$3,"")&amp;IF(BA5="Y","; "&amp;$BA$3,"")&amp;IF(BB5="Y","; "&amp;$BB$3,"")&amp;IF(BC5="Y","; "&amp;$BC$3,"")&amp;IF(BD5="Y","; "&amp;$BD$3,"")&amp;IF(BE5="Y","; "&amp;$BE$3,"")&amp;IF(BF5="Y","; "&amp;$BF$3,"")&amp;IF(BG5="Y","; "&amp;$BG$3,"")&amp;IF(BH5="Y","; "&amp;$BH$3,"")&amp;IF(BI5="Y","; "&amp;$BI$3,"")&amp;IF(BJ5="Y","; "&amp;$BJ$3,"")&amp;IF(BK5="Y","; "&amp;$BK$3,"")&amp;IF(BL5="Y","; "&amp;$BL$3,"")&amp;IF(BM5="Y","; "&amp;$BM$3,"")&amp;IF(BN5="Y","; "&amp;$BN$3,"")&amp;IF(BO5="Y","; "&amp;$BO$3,"")&amp;IF(BP5="Y","; "&amp;$BP$3,"")&amp;IF(BQ5="Y","; "&amp;$BQ$3,"")&amp;IF(BR5="Y","; "&amp;$BR$3,"")&amp;IF(BS5="Y","; "&amp;$BS$3,"")</f>
        <v>; 7.4; 7.6</v>
      </c>
      <c r="BV5" s="224"/>
    </row>
    <row r="6" spans="2:74" ht="27.6" x14ac:dyDescent="0.3">
      <c r="B6" s="129" t="s">
        <v>832</v>
      </c>
      <c r="C6" s="130">
        <v>3</v>
      </c>
      <c r="D6" s="131" t="s">
        <v>686</v>
      </c>
      <c r="E6" s="224"/>
      <c r="F6" s="224"/>
      <c r="G6" s="224"/>
      <c r="H6" s="224"/>
      <c r="I6" s="224"/>
      <c r="J6" s="224"/>
      <c r="K6" s="224"/>
      <c r="L6" s="224"/>
      <c r="M6" s="224"/>
      <c r="N6" s="224"/>
      <c r="O6" s="224"/>
      <c r="P6" s="224"/>
      <c r="Q6" s="224"/>
      <c r="R6" s="224"/>
      <c r="S6" s="224"/>
      <c r="T6" s="224"/>
      <c r="U6" s="224"/>
      <c r="V6" s="224"/>
      <c r="W6" s="224"/>
      <c r="X6" s="224"/>
      <c r="Y6" s="224"/>
      <c r="Z6" s="224"/>
      <c r="AA6" s="224"/>
      <c r="AB6" s="224" t="s">
        <v>636</v>
      </c>
      <c r="AC6" s="224" t="s">
        <v>636</v>
      </c>
      <c r="AD6" s="224" t="s">
        <v>636</v>
      </c>
      <c r="AE6" s="224" t="s">
        <v>636</v>
      </c>
      <c r="AF6" s="224" t="s">
        <v>636</v>
      </c>
      <c r="AG6" s="224" t="s">
        <v>636</v>
      </c>
      <c r="AH6" s="224"/>
      <c r="AI6" s="224"/>
      <c r="AJ6" s="224"/>
      <c r="AK6" s="224"/>
      <c r="AL6" s="224"/>
      <c r="AM6" s="224"/>
      <c r="AN6" s="224"/>
      <c r="AO6" s="224"/>
      <c r="AP6" s="224"/>
      <c r="AQ6" s="224"/>
      <c r="AR6" s="224"/>
      <c r="AS6" s="224"/>
      <c r="AT6" s="224"/>
      <c r="AU6" s="224"/>
      <c r="AV6" s="224"/>
      <c r="AW6" s="224"/>
      <c r="AX6" s="224"/>
      <c r="AY6" s="224"/>
      <c r="AZ6" s="224"/>
      <c r="BA6" s="224"/>
      <c r="BB6" s="224"/>
      <c r="BC6" s="224"/>
      <c r="BD6" s="224"/>
      <c r="BE6" s="224"/>
      <c r="BF6" s="224"/>
      <c r="BG6" s="224"/>
      <c r="BH6" s="224"/>
      <c r="BI6" s="224"/>
      <c r="BJ6" s="224"/>
      <c r="BK6" s="224"/>
      <c r="BL6" s="224"/>
      <c r="BM6" s="224"/>
      <c r="BN6" s="224"/>
      <c r="BO6" s="224"/>
      <c r="BP6" s="224"/>
      <c r="BQ6" s="224"/>
      <c r="BR6" s="224"/>
      <c r="BS6" s="224"/>
      <c r="BT6" s="224">
        <f t="shared" si="0"/>
        <v>6</v>
      </c>
      <c r="BU6" s="221" t="str">
        <f t="shared" si="1"/>
        <v>; 7.5; 7.5.1; 7.5.2; 7.5.3; 7.5.4; 7.6</v>
      </c>
      <c r="BV6" s="224"/>
    </row>
    <row r="7" spans="2:74" x14ac:dyDescent="0.3">
      <c r="B7" s="129" t="s">
        <v>832</v>
      </c>
      <c r="C7" s="130">
        <v>4</v>
      </c>
      <c r="D7" s="131" t="s">
        <v>687</v>
      </c>
      <c r="E7" s="224"/>
      <c r="F7" s="224"/>
      <c r="G7" s="224"/>
      <c r="H7" s="224"/>
      <c r="I7" s="224"/>
      <c r="J7" s="224"/>
      <c r="K7" s="224"/>
      <c r="L7" s="224"/>
      <c r="M7" s="224"/>
      <c r="N7" s="224"/>
      <c r="O7" s="224"/>
      <c r="P7" s="224"/>
      <c r="Q7" s="224"/>
      <c r="R7" s="224"/>
      <c r="S7" s="224"/>
      <c r="T7" s="224"/>
      <c r="U7" s="224"/>
      <c r="V7" s="224"/>
      <c r="W7" s="224"/>
      <c r="X7" s="224"/>
      <c r="Y7" s="224"/>
      <c r="Z7" s="224"/>
      <c r="AA7" s="224"/>
      <c r="AB7" s="224"/>
      <c r="AC7" s="224"/>
      <c r="AD7" s="224"/>
      <c r="AE7" s="224"/>
      <c r="AF7" s="224"/>
      <c r="AG7" s="224" t="s">
        <v>636</v>
      </c>
      <c r="AH7" s="224"/>
      <c r="AI7" s="224"/>
      <c r="AJ7" s="224"/>
      <c r="AK7" s="224"/>
      <c r="AL7" s="224"/>
      <c r="AM7" s="224"/>
      <c r="AN7" s="224"/>
      <c r="AO7" s="224"/>
      <c r="AP7" s="224"/>
      <c r="AQ7" s="224"/>
      <c r="AR7" s="224"/>
      <c r="AS7" s="224"/>
      <c r="AT7" s="224"/>
      <c r="AU7" s="224"/>
      <c r="AV7" s="224"/>
      <c r="AW7" s="224"/>
      <c r="AX7" s="224"/>
      <c r="AY7" s="224"/>
      <c r="AZ7" s="224"/>
      <c r="BA7" s="224"/>
      <c r="BB7" s="224"/>
      <c r="BC7" s="224"/>
      <c r="BD7" s="224"/>
      <c r="BE7" s="224"/>
      <c r="BF7" s="224"/>
      <c r="BG7" s="224"/>
      <c r="BH7" s="224"/>
      <c r="BI7" s="224"/>
      <c r="BJ7" s="224"/>
      <c r="BK7" s="224"/>
      <c r="BL7" s="224"/>
      <c r="BM7" s="224"/>
      <c r="BN7" s="224"/>
      <c r="BO7" s="224" t="s">
        <v>636</v>
      </c>
      <c r="BP7" s="224"/>
      <c r="BQ7" s="224"/>
      <c r="BR7" s="224"/>
      <c r="BS7" s="224" t="s">
        <v>636</v>
      </c>
      <c r="BT7" s="224">
        <f t="shared" si="0"/>
        <v>3</v>
      </c>
      <c r="BU7" s="221" t="str">
        <f t="shared" si="1"/>
        <v>; 7.6; 9.3; 10.2</v>
      </c>
      <c r="BV7" s="224"/>
    </row>
    <row r="8" spans="2:74" ht="27.6" x14ac:dyDescent="0.3">
      <c r="B8" s="129" t="s">
        <v>832</v>
      </c>
      <c r="C8" s="130">
        <v>5</v>
      </c>
      <c r="D8" s="131" t="s">
        <v>764</v>
      </c>
      <c r="E8" s="224"/>
      <c r="F8" s="224"/>
      <c r="G8" s="224"/>
      <c r="H8" s="224"/>
      <c r="I8" s="224"/>
      <c r="J8" s="224"/>
      <c r="K8" s="224"/>
      <c r="L8" s="224"/>
      <c r="M8" s="224"/>
      <c r="N8" s="224"/>
      <c r="O8" s="224"/>
      <c r="P8" s="224"/>
      <c r="Q8" s="224"/>
      <c r="R8" s="224"/>
      <c r="S8" s="224"/>
      <c r="T8" s="224"/>
      <c r="U8" s="224"/>
      <c r="V8" s="224"/>
      <c r="W8" s="224"/>
      <c r="X8" s="224"/>
      <c r="Y8" s="224" t="s">
        <v>636</v>
      </c>
      <c r="Z8" s="224" t="s">
        <v>636</v>
      </c>
      <c r="AA8" s="224"/>
      <c r="AB8" s="224"/>
      <c r="AC8" s="224"/>
      <c r="AD8" s="224"/>
      <c r="AE8" s="224"/>
      <c r="AF8" s="224"/>
      <c r="AG8" s="224" t="s">
        <v>636</v>
      </c>
      <c r="AH8" s="224"/>
      <c r="AI8" s="224"/>
      <c r="AJ8" s="224"/>
      <c r="AK8" s="224"/>
      <c r="AL8" s="224"/>
      <c r="AM8" s="224"/>
      <c r="AN8" s="224"/>
      <c r="AO8" s="224"/>
      <c r="AP8" s="224"/>
      <c r="AQ8" s="224"/>
      <c r="AR8" s="224"/>
      <c r="AS8" s="224"/>
      <c r="AT8" s="224"/>
      <c r="AU8" s="224"/>
      <c r="AV8" s="224"/>
      <c r="AW8" s="224"/>
      <c r="AX8" s="224"/>
      <c r="AY8" s="224"/>
      <c r="AZ8" s="224"/>
      <c r="BA8" s="224"/>
      <c r="BB8" s="224"/>
      <c r="BC8" s="224"/>
      <c r="BD8" s="224"/>
      <c r="BE8" s="224"/>
      <c r="BF8" s="224"/>
      <c r="BG8" s="224"/>
      <c r="BH8" s="224"/>
      <c r="BI8" s="224"/>
      <c r="BJ8" s="224"/>
      <c r="BK8" s="224"/>
      <c r="BL8" s="224"/>
      <c r="BM8" s="224"/>
      <c r="BN8" s="224"/>
      <c r="BO8" s="224" t="s">
        <v>636</v>
      </c>
      <c r="BP8" s="224" t="s">
        <v>636</v>
      </c>
      <c r="BQ8" s="224"/>
      <c r="BR8" s="224"/>
      <c r="BS8" s="224"/>
      <c r="BT8" s="224">
        <f t="shared" si="0"/>
        <v>5</v>
      </c>
      <c r="BU8" s="221" t="str">
        <f t="shared" si="1"/>
        <v>; 7.2; 7.3; 7.6; 9.3; 9.4</v>
      </c>
      <c r="BV8" s="224"/>
    </row>
    <row r="9" spans="2:74" ht="27.6" x14ac:dyDescent="0.3">
      <c r="B9" s="129" t="s">
        <v>832</v>
      </c>
      <c r="C9" s="130">
        <v>6</v>
      </c>
      <c r="D9" s="131" t="s">
        <v>688</v>
      </c>
      <c r="E9" s="224"/>
      <c r="F9" s="224"/>
      <c r="G9" s="224"/>
      <c r="H9" s="224"/>
      <c r="I9" s="224"/>
      <c r="J9" s="224"/>
      <c r="K9" s="224"/>
      <c r="L9" s="224"/>
      <c r="M9" s="224"/>
      <c r="N9" s="224"/>
      <c r="O9" s="224"/>
      <c r="P9" s="224"/>
      <c r="Q9" s="224"/>
      <c r="R9" s="224"/>
      <c r="S9" s="224"/>
      <c r="T9" s="224"/>
      <c r="U9" s="224"/>
      <c r="V9" s="224"/>
      <c r="W9" s="224"/>
      <c r="X9" s="224" t="s">
        <v>636</v>
      </c>
      <c r="Y9" s="224" t="s">
        <v>636</v>
      </c>
      <c r="Z9" s="224" t="s">
        <v>636</v>
      </c>
      <c r="AA9" s="224"/>
      <c r="AB9" s="224"/>
      <c r="AC9" s="224"/>
      <c r="AD9" s="224"/>
      <c r="AE9" s="224"/>
      <c r="AF9" s="224"/>
      <c r="AG9" s="224" t="s">
        <v>636</v>
      </c>
      <c r="AH9" s="224"/>
      <c r="AI9" s="224"/>
      <c r="AJ9" s="224"/>
      <c r="AK9" s="224"/>
      <c r="AL9" s="224"/>
      <c r="AM9" s="224"/>
      <c r="AN9" s="224"/>
      <c r="AO9" s="224"/>
      <c r="AP9" s="224"/>
      <c r="AQ9" s="224"/>
      <c r="AR9" s="224"/>
      <c r="AS9" s="224"/>
      <c r="AT9" s="224"/>
      <c r="AU9" s="224"/>
      <c r="AV9" s="224"/>
      <c r="AW9" s="224"/>
      <c r="AX9" s="224"/>
      <c r="AY9" s="224"/>
      <c r="AZ9" s="224"/>
      <c r="BA9" s="224"/>
      <c r="BB9" s="224"/>
      <c r="BC9" s="224"/>
      <c r="BD9" s="224"/>
      <c r="BE9" s="224"/>
      <c r="BF9" s="224"/>
      <c r="BG9" s="224"/>
      <c r="BH9" s="224"/>
      <c r="BI9" s="224"/>
      <c r="BJ9" s="224"/>
      <c r="BK9" s="224"/>
      <c r="BL9" s="224"/>
      <c r="BM9" s="224"/>
      <c r="BN9" s="224"/>
      <c r="BO9" s="224"/>
      <c r="BP9" s="224"/>
      <c r="BQ9" s="224"/>
      <c r="BR9" s="224"/>
      <c r="BS9" s="224"/>
      <c r="BT9" s="224">
        <f t="shared" si="0"/>
        <v>4</v>
      </c>
      <c r="BU9" s="221" t="str">
        <f t="shared" si="1"/>
        <v>; 7.1; 7.2; 7.3; 7.6</v>
      </c>
      <c r="BV9" s="224"/>
    </row>
    <row r="10" spans="2:74" x14ac:dyDescent="0.3">
      <c r="B10" s="129" t="s">
        <v>840</v>
      </c>
      <c r="C10" s="130">
        <v>7</v>
      </c>
      <c r="D10" s="131" t="s">
        <v>689</v>
      </c>
      <c r="E10" s="224"/>
      <c r="F10" s="224"/>
      <c r="G10" s="224"/>
      <c r="H10" s="224"/>
      <c r="I10" s="224"/>
      <c r="J10" s="224"/>
      <c r="K10" s="224"/>
      <c r="L10" s="224"/>
      <c r="M10" s="224"/>
      <c r="N10" s="224"/>
      <c r="O10" s="224"/>
      <c r="P10" s="224"/>
      <c r="Q10" s="224"/>
      <c r="R10" s="224"/>
      <c r="S10" s="224"/>
      <c r="T10" s="224"/>
      <c r="U10" s="224"/>
      <c r="V10" s="224"/>
      <c r="W10" s="224"/>
      <c r="X10" s="224" t="s">
        <v>636</v>
      </c>
      <c r="Y10" s="224" t="s">
        <v>636</v>
      </c>
      <c r="Z10" s="224" t="s">
        <v>636</v>
      </c>
      <c r="AA10" s="224" t="s">
        <v>636</v>
      </c>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t="s">
        <v>636</v>
      </c>
      <c r="BF10" s="224"/>
      <c r="BG10" s="224"/>
      <c r="BH10" s="224"/>
      <c r="BI10" s="224"/>
      <c r="BJ10" s="224"/>
      <c r="BK10" s="224"/>
      <c r="BL10" s="224"/>
      <c r="BM10" s="224"/>
      <c r="BN10" s="224"/>
      <c r="BO10" s="224"/>
      <c r="BP10" s="224"/>
      <c r="BQ10" s="224"/>
      <c r="BR10" s="224"/>
      <c r="BS10" s="224"/>
      <c r="BT10" s="224">
        <f t="shared" si="0"/>
        <v>5</v>
      </c>
      <c r="BU10" s="221" t="str">
        <f t="shared" si="1"/>
        <v>; 7.1; 7.2; 7.3; 7.4; 8.6.1</v>
      </c>
      <c r="BV10" s="224"/>
    </row>
    <row r="11" spans="2:74" ht="27.6" x14ac:dyDescent="0.3">
      <c r="B11" s="129" t="s">
        <v>840</v>
      </c>
      <c r="C11" s="130">
        <v>8</v>
      </c>
      <c r="D11" s="131" t="s">
        <v>690</v>
      </c>
      <c r="E11" s="224"/>
      <c r="F11" s="224"/>
      <c r="G11" s="224"/>
      <c r="H11" s="224"/>
      <c r="I11" s="224"/>
      <c r="J11" s="224"/>
      <c r="K11" s="224"/>
      <c r="L11" s="224"/>
      <c r="M11" s="224"/>
      <c r="N11" s="224"/>
      <c r="O11" s="224"/>
      <c r="P11" s="224"/>
      <c r="Q11" s="224"/>
      <c r="R11" s="224"/>
      <c r="S11" s="224"/>
      <c r="T11" s="224"/>
      <c r="U11" s="224"/>
      <c r="V11" s="224"/>
      <c r="W11" s="224"/>
      <c r="X11" s="224" t="s">
        <v>636</v>
      </c>
      <c r="Y11" s="224" t="s">
        <v>636</v>
      </c>
      <c r="Z11" s="224" t="s">
        <v>636</v>
      </c>
      <c r="AA11" s="224" t="s">
        <v>636</v>
      </c>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t="s">
        <v>636</v>
      </c>
      <c r="BF11" s="224"/>
      <c r="BG11" s="224"/>
      <c r="BH11" s="224"/>
      <c r="BI11" s="224"/>
      <c r="BJ11" s="224"/>
      <c r="BK11" s="224"/>
      <c r="BL11" s="224"/>
      <c r="BM11" s="224"/>
      <c r="BN11" s="224"/>
      <c r="BO11" s="224"/>
      <c r="BP11" s="224"/>
      <c r="BQ11" s="224"/>
      <c r="BR11" s="224"/>
      <c r="BS11" s="224"/>
      <c r="BT11" s="224">
        <f t="shared" si="0"/>
        <v>5</v>
      </c>
      <c r="BU11" s="221" t="str">
        <f t="shared" si="1"/>
        <v>; 7.1; 7.2; 7.3; 7.4; 8.6.1</v>
      </c>
      <c r="BV11" s="224"/>
    </row>
    <row r="12" spans="2:74" ht="27.6" x14ac:dyDescent="0.3">
      <c r="B12" s="129" t="s">
        <v>840</v>
      </c>
      <c r="C12" s="130">
        <v>9</v>
      </c>
      <c r="D12" s="131" t="s">
        <v>691</v>
      </c>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t="s">
        <v>636</v>
      </c>
      <c r="AC12" s="224" t="s">
        <v>636</v>
      </c>
      <c r="AD12" s="224" t="s">
        <v>636</v>
      </c>
      <c r="AE12" s="224" t="s">
        <v>636</v>
      </c>
      <c r="AF12" s="224" t="s">
        <v>636</v>
      </c>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t="s">
        <v>636</v>
      </c>
      <c r="BF12" s="224"/>
      <c r="BG12" s="224"/>
      <c r="BH12" s="224"/>
      <c r="BI12" s="224"/>
      <c r="BJ12" s="224"/>
      <c r="BK12" s="224"/>
      <c r="BL12" s="224"/>
      <c r="BM12" s="224"/>
      <c r="BN12" s="224"/>
      <c r="BO12" s="224"/>
      <c r="BP12" s="224"/>
      <c r="BQ12" s="224"/>
      <c r="BR12" s="224"/>
      <c r="BS12" s="224"/>
      <c r="BT12" s="224">
        <f t="shared" si="0"/>
        <v>6</v>
      </c>
      <c r="BU12" s="221" t="str">
        <f t="shared" si="1"/>
        <v>; 7.5; 7.5.1; 7.5.2; 7.5.3; 7.5.4; 8.6.1</v>
      </c>
      <c r="BV12" s="224"/>
    </row>
    <row r="13" spans="2:74" ht="27.6" x14ac:dyDescent="0.3">
      <c r="B13" s="129" t="s">
        <v>840</v>
      </c>
      <c r="C13" s="130">
        <v>10</v>
      </c>
      <c r="D13" s="131" t="s">
        <v>692</v>
      </c>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t="s">
        <v>636</v>
      </c>
      <c r="BF13" s="224"/>
      <c r="BG13" s="224"/>
      <c r="BH13" s="224"/>
      <c r="BI13" s="224"/>
      <c r="BJ13" s="224"/>
      <c r="BK13" s="224"/>
      <c r="BL13" s="224"/>
      <c r="BM13" s="224"/>
      <c r="BN13" s="224" t="s">
        <v>636</v>
      </c>
      <c r="BO13" s="224" t="s">
        <v>636</v>
      </c>
      <c r="BP13" s="224"/>
      <c r="BQ13" s="224"/>
      <c r="BR13" s="224"/>
      <c r="BS13" s="224"/>
      <c r="BT13" s="224">
        <f t="shared" si="0"/>
        <v>3</v>
      </c>
      <c r="BU13" s="221" t="str">
        <f t="shared" si="1"/>
        <v>; 8.6.1; 9.2; 9.3</v>
      </c>
      <c r="BV13" s="224"/>
    </row>
    <row r="14" spans="2:74" ht="27.6" x14ac:dyDescent="0.3">
      <c r="B14" s="129" t="s">
        <v>840</v>
      </c>
      <c r="C14" s="130">
        <v>11</v>
      </c>
      <c r="D14" s="131" t="s">
        <v>693</v>
      </c>
      <c r="E14" s="224"/>
      <c r="F14" s="224"/>
      <c r="G14" s="224"/>
      <c r="H14" s="224"/>
      <c r="I14" s="224"/>
      <c r="J14" s="224"/>
      <c r="K14" s="224"/>
      <c r="L14" s="224"/>
      <c r="M14" s="224"/>
      <c r="N14" s="224"/>
      <c r="O14" s="224"/>
      <c r="P14" s="224"/>
      <c r="Q14" s="224"/>
      <c r="R14" s="224"/>
      <c r="S14" s="224"/>
      <c r="T14" s="224"/>
      <c r="U14" s="224"/>
      <c r="V14" s="224"/>
      <c r="W14" s="224"/>
      <c r="X14" s="224" t="s">
        <v>636</v>
      </c>
      <c r="Y14" s="224" t="s">
        <v>636</v>
      </c>
      <c r="Z14" s="224" t="s">
        <v>636</v>
      </c>
      <c r="AA14" s="224" t="s">
        <v>636</v>
      </c>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t="s">
        <v>636</v>
      </c>
      <c r="BF14" s="224"/>
      <c r="BG14" s="224"/>
      <c r="BH14" s="224"/>
      <c r="BI14" s="224"/>
      <c r="BJ14" s="224"/>
      <c r="BK14" s="224"/>
      <c r="BL14" s="224"/>
      <c r="BM14" s="224"/>
      <c r="BN14" s="224"/>
      <c r="BO14" s="224"/>
      <c r="BP14" s="224"/>
      <c r="BQ14" s="224"/>
      <c r="BR14" s="224"/>
      <c r="BS14" s="224"/>
      <c r="BT14" s="224">
        <f t="shared" si="0"/>
        <v>5</v>
      </c>
      <c r="BU14" s="221" t="str">
        <f t="shared" si="1"/>
        <v>; 7.1; 7.2; 7.3; 7.4; 8.6.1</v>
      </c>
      <c r="BV14" s="224"/>
    </row>
    <row r="15" spans="2:74" ht="27.6" x14ac:dyDescent="0.3">
      <c r="B15" s="129" t="s">
        <v>840</v>
      </c>
      <c r="C15" s="130">
        <v>12</v>
      </c>
      <c r="D15" s="131" t="s">
        <v>694</v>
      </c>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4"/>
      <c r="AI15" s="224"/>
      <c r="AJ15" s="224"/>
      <c r="AK15" s="224"/>
      <c r="AL15" s="224"/>
      <c r="AM15" s="224"/>
      <c r="AN15" s="224"/>
      <c r="AO15" s="224"/>
      <c r="AP15" s="224"/>
      <c r="AQ15" s="224"/>
      <c r="AR15" s="224"/>
      <c r="AS15" s="224"/>
      <c r="AT15" s="224"/>
      <c r="AU15" s="224"/>
      <c r="AV15" s="224"/>
      <c r="AW15" s="224"/>
      <c r="AX15" s="224"/>
      <c r="AY15" s="224"/>
      <c r="AZ15" s="224"/>
      <c r="BA15" s="224"/>
      <c r="BB15" s="224"/>
      <c r="BC15" s="224"/>
      <c r="BD15" s="224"/>
      <c r="BE15" s="224" t="s">
        <v>636</v>
      </c>
      <c r="BF15" s="224"/>
      <c r="BG15" s="224"/>
      <c r="BH15" s="224"/>
      <c r="BI15" s="224"/>
      <c r="BJ15" s="224"/>
      <c r="BK15" s="224"/>
      <c r="BL15" s="224"/>
      <c r="BM15" s="224"/>
      <c r="BN15" s="224"/>
      <c r="BO15" s="224" t="s">
        <v>636</v>
      </c>
      <c r="BP15" s="224"/>
      <c r="BQ15" s="224"/>
      <c r="BR15" s="224"/>
      <c r="BS15" s="224" t="s">
        <v>636</v>
      </c>
      <c r="BT15" s="224">
        <f t="shared" si="0"/>
        <v>3</v>
      </c>
      <c r="BU15" s="221" t="str">
        <f t="shared" si="1"/>
        <v>; 8.6.1; 9.3; 10.2</v>
      </c>
      <c r="BV15" s="224"/>
    </row>
    <row r="16" spans="2:74" ht="27.6" x14ac:dyDescent="0.3">
      <c r="B16" s="129" t="s">
        <v>834</v>
      </c>
      <c r="C16" s="130">
        <v>13</v>
      </c>
      <c r="D16" s="131" t="s">
        <v>695</v>
      </c>
      <c r="E16" s="224"/>
      <c r="F16" s="224"/>
      <c r="G16" s="224"/>
      <c r="H16" s="224"/>
      <c r="I16" s="224"/>
      <c r="J16" s="224"/>
      <c r="K16" s="224"/>
      <c r="L16" s="224"/>
      <c r="M16" s="224"/>
      <c r="N16" s="224"/>
      <c r="O16" s="224"/>
      <c r="P16" s="224"/>
      <c r="Q16" s="224"/>
      <c r="R16" s="224"/>
      <c r="S16" s="224"/>
      <c r="T16" s="224"/>
      <c r="U16" s="224"/>
      <c r="V16" s="224"/>
      <c r="W16" s="224"/>
      <c r="X16" s="224" t="s">
        <v>636</v>
      </c>
      <c r="Y16" s="224" t="s">
        <v>636</v>
      </c>
      <c r="Z16" s="224" t="s">
        <v>636</v>
      </c>
      <c r="AA16" s="224" t="s">
        <v>636</v>
      </c>
      <c r="AB16" s="224"/>
      <c r="AC16" s="224"/>
      <c r="AD16" s="224"/>
      <c r="AE16" s="224"/>
      <c r="AF16" s="224"/>
      <c r="AG16" s="224"/>
      <c r="AH16" s="224"/>
      <c r="AI16" s="224"/>
      <c r="AJ16" s="224"/>
      <c r="AK16" s="224"/>
      <c r="AL16" s="224"/>
      <c r="AM16" s="224"/>
      <c r="AN16" s="224"/>
      <c r="AO16" s="224"/>
      <c r="AP16" s="224"/>
      <c r="AQ16" s="224"/>
      <c r="AR16" s="224"/>
      <c r="AS16" s="224"/>
      <c r="AT16" s="224"/>
      <c r="AU16" s="224"/>
      <c r="AV16" s="224"/>
      <c r="AW16" s="224"/>
      <c r="AX16" s="224"/>
      <c r="AY16" s="224"/>
      <c r="AZ16" s="224"/>
      <c r="BA16" s="224"/>
      <c r="BB16" s="224"/>
      <c r="BC16" s="224"/>
      <c r="BD16" s="224"/>
      <c r="BE16" s="224"/>
      <c r="BF16" s="224" t="s">
        <v>636</v>
      </c>
      <c r="BG16" s="224"/>
      <c r="BH16" s="224"/>
      <c r="BI16" s="224"/>
      <c r="BJ16" s="224"/>
      <c r="BK16" s="224"/>
      <c r="BL16" s="224"/>
      <c r="BM16" s="224"/>
      <c r="BN16" s="224"/>
      <c r="BO16" s="224"/>
      <c r="BP16" s="224"/>
      <c r="BQ16" s="224"/>
      <c r="BR16" s="224"/>
      <c r="BS16" s="224"/>
      <c r="BT16" s="224">
        <f t="shared" si="0"/>
        <v>5</v>
      </c>
      <c r="BU16" s="221" t="str">
        <f t="shared" si="1"/>
        <v>; 7.1; 7.2; 7.3; 7.4; 8.6.2</v>
      </c>
      <c r="BV16" s="224"/>
    </row>
    <row r="17" spans="2:74" ht="27.6" x14ac:dyDescent="0.3">
      <c r="B17" s="129" t="s">
        <v>834</v>
      </c>
      <c r="C17" s="130">
        <v>14</v>
      </c>
      <c r="D17" s="131" t="s">
        <v>696</v>
      </c>
      <c r="E17" s="224"/>
      <c r="F17" s="224"/>
      <c r="G17" s="224"/>
      <c r="H17" s="224"/>
      <c r="I17" s="224"/>
      <c r="J17" s="224"/>
      <c r="K17" s="224"/>
      <c r="L17" s="224"/>
      <c r="M17" s="224"/>
      <c r="N17" s="224"/>
      <c r="O17" s="224"/>
      <c r="P17" s="224"/>
      <c r="Q17" s="224"/>
      <c r="R17" s="224"/>
      <c r="S17" s="224"/>
      <c r="T17" s="224"/>
      <c r="U17" s="224"/>
      <c r="V17" s="224"/>
      <c r="W17" s="224"/>
      <c r="X17" s="224" t="s">
        <v>636</v>
      </c>
      <c r="Y17" s="224" t="s">
        <v>636</v>
      </c>
      <c r="Z17" s="224" t="s">
        <v>636</v>
      </c>
      <c r="AA17" s="224" t="s">
        <v>636</v>
      </c>
      <c r="AB17" s="224"/>
      <c r="AC17" s="224"/>
      <c r="AD17" s="224"/>
      <c r="AE17" s="224"/>
      <c r="AF17" s="224"/>
      <c r="AG17" s="224"/>
      <c r="AH17" s="224"/>
      <c r="AI17" s="224"/>
      <c r="AJ17" s="224"/>
      <c r="AK17" s="224"/>
      <c r="AL17" s="224"/>
      <c r="AM17" s="224"/>
      <c r="AN17" s="224"/>
      <c r="AO17" s="224"/>
      <c r="AP17" s="224"/>
      <c r="AQ17" s="224"/>
      <c r="AR17" s="224"/>
      <c r="AS17" s="224"/>
      <c r="AT17" s="224"/>
      <c r="AU17" s="224"/>
      <c r="AV17" s="224"/>
      <c r="AW17" s="224"/>
      <c r="AX17" s="224"/>
      <c r="AY17" s="224"/>
      <c r="AZ17" s="224"/>
      <c r="BA17" s="224"/>
      <c r="BB17" s="224"/>
      <c r="BC17" s="224"/>
      <c r="BD17" s="224"/>
      <c r="BE17" s="224"/>
      <c r="BF17" s="224" t="s">
        <v>636</v>
      </c>
      <c r="BG17" s="224"/>
      <c r="BH17" s="224"/>
      <c r="BI17" s="224"/>
      <c r="BJ17" s="224"/>
      <c r="BK17" s="224"/>
      <c r="BL17" s="224"/>
      <c r="BM17" s="224"/>
      <c r="BN17" s="224"/>
      <c r="BO17" s="224"/>
      <c r="BP17" s="224"/>
      <c r="BQ17" s="224"/>
      <c r="BR17" s="224"/>
      <c r="BS17" s="224"/>
      <c r="BT17" s="224">
        <f t="shared" si="0"/>
        <v>5</v>
      </c>
      <c r="BU17" s="221" t="str">
        <f t="shared" si="1"/>
        <v>; 7.1; 7.2; 7.3; 7.4; 8.6.2</v>
      </c>
      <c r="BV17" s="224"/>
    </row>
    <row r="18" spans="2:74" ht="27.6" x14ac:dyDescent="0.3">
      <c r="B18" s="129" t="s">
        <v>834</v>
      </c>
      <c r="C18" s="130">
        <v>15</v>
      </c>
      <c r="D18" s="131" t="s">
        <v>697</v>
      </c>
      <c r="E18" s="224"/>
      <c r="F18" s="224"/>
      <c r="G18" s="224"/>
      <c r="H18" s="224"/>
      <c r="I18" s="224"/>
      <c r="J18" s="224"/>
      <c r="K18" s="224"/>
      <c r="L18" s="224"/>
      <c r="M18" s="224"/>
      <c r="N18" s="224"/>
      <c r="O18" s="224"/>
      <c r="P18" s="224"/>
      <c r="Q18" s="224"/>
      <c r="R18" s="224"/>
      <c r="S18" s="224"/>
      <c r="T18" s="224"/>
      <c r="U18" s="224"/>
      <c r="V18" s="224"/>
      <c r="W18" s="224"/>
      <c r="X18" s="224"/>
      <c r="Y18" s="224"/>
      <c r="Z18" s="224"/>
      <c r="AA18" s="224"/>
      <c r="AB18" s="224" t="s">
        <v>636</v>
      </c>
      <c r="AC18" s="224" t="s">
        <v>636</v>
      </c>
      <c r="AD18" s="224" t="s">
        <v>636</v>
      </c>
      <c r="AE18" s="224" t="s">
        <v>636</v>
      </c>
      <c r="AF18" s="224" t="s">
        <v>636</v>
      </c>
      <c r="AG18" s="224"/>
      <c r="AH18" s="224"/>
      <c r="AI18" s="224"/>
      <c r="AJ18" s="224"/>
      <c r="AK18" s="224"/>
      <c r="AL18" s="224"/>
      <c r="AM18" s="224"/>
      <c r="AN18" s="224"/>
      <c r="AO18" s="224"/>
      <c r="AP18" s="224"/>
      <c r="AQ18" s="224"/>
      <c r="AR18" s="224"/>
      <c r="AS18" s="224"/>
      <c r="AT18" s="224"/>
      <c r="AU18" s="224"/>
      <c r="AV18" s="224"/>
      <c r="AW18" s="224"/>
      <c r="AX18" s="224"/>
      <c r="AY18" s="224"/>
      <c r="AZ18" s="224"/>
      <c r="BA18" s="224"/>
      <c r="BB18" s="224"/>
      <c r="BC18" s="224"/>
      <c r="BD18" s="224"/>
      <c r="BE18" s="224"/>
      <c r="BF18" s="224" t="s">
        <v>636</v>
      </c>
      <c r="BG18" s="224"/>
      <c r="BH18" s="224"/>
      <c r="BI18" s="224"/>
      <c r="BJ18" s="224"/>
      <c r="BK18" s="224"/>
      <c r="BL18" s="224"/>
      <c r="BM18" s="224"/>
      <c r="BN18" s="224"/>
      <c r="BO18" s="224"/>
      <c r="BP18" s="224"/>
      <c r="BQ18" s="224"/>
      <c r="BR18" s="224"/>
      <c r="BS18" s="224"/>
      <c r="BT18" s="224">
        <f t="shared" si="0"/>
        <v>6</v>
      </c>
      <c r="BU18" s="221" t="str">
        <f t="shared" si="1"/>
        <v>; 7.5; 7.5.1; 7.5.2; 7.5.3; 7.5.4; 8.6.2</v>
      </c>
      <c r="BV18" s="224"/>
    </row>
    <row r="19" spans="2:74" x14ac:dyDescent="0.3">
      <c r="B19" s="129" t="s">
        <v>834</v>
      </c>
      <c r="C19" s="130">
        <v>16</v>
      </c>
      <c r="D19" s="131" t="s">
        <v>698</v>
      </c>
      <c r="E19" s="224"/>
      <c r="F19" s="224"/>
      <c r="G19" s="224"/>
      <c r="H19" s="224"/>
      <c r="I19" s="224"/>
      <c r="J19" s="224"/>
      <c r="K19" s="224"/>
      <c r="L19" s="224"/>
      <c r="M19" s="224"/>
      <c r="N19" s="224"/>
      <c r="O19" s="224"/>
      <c r="P19" s="224"/>
      <c r="Q19" s="224"/>
      <c r="R19" s="224"/>
      <c r="S19" s="224"/>
      <c r="T19" s="224"/>
      <c r="U19" s="224"/>
      <c r="V19" s="224"/>
      <c r="W19" s="224"/>
      <c r="X19" s="224"/>
      <c r="Y19" s="224"/>
      <c r="Z19" s="224"/>
      <c r="AA19" s="224"/>
      <c r="AB19" s="224"/>
      <c r="AC19" s="224"/>
      <c r="AD19" s="224"/>
      <c r="AE19" s="224"/>
      <c r="AF19" s="224"/>
      <c r="AG19" s="224"/>
      <c r="AH19" s="224"/>
      <c r="AI19" s="224"/>
      <c r="AJ19" s="224"/>
      <c r="AK19" s="224"/>
      <c r="AL19" s="224"/>
      <c r="AM19" s="224"/>
      <c r="AN19" s="224"/>
      <c r="AO19" s="224"/>
      <c r="AP19" s="224"/>
      <c r="AQ19" s="224"/>
      <c r="AR19" s="224"/>
      <c r="AS19" s="224"/>
      <c r="AT19" s="224"/>
      <c r="AU19" s="224"/>
      <c r="AV19" s="224"/>
      <c r="AW19" s="224"/>
      <c r="AX19" s="224"/>
      <c r="AY19" s="224"/>
      <c r="AZ19" s="224"/>
      <c r="BA19" s="224"/>
      <c r="BB19" s="224"/>
      <c r="BC19" s="224"/>
      <c r="BD19" s="224"/>
      <c r="BE19" s="224"/>
      <c r="BF19" s="224" t="s">
        <v>636</v>
      </c>
      <c r="BG19" s="224"/>
      <c r="BH19" s="224"/>
      <c r="BI19" s="224"/>
      <c r="BJ19" s="224"/>
      <c r="BK19" s="224" t="s">
        <v>636</v>
      </c>
      <c r="BL19" s="224"/>
      <c r="BM19" s="224"/>
      <c r="BN19" s="224"/>
      <c r="BO19" s="224"/>
      <c r="BP19" s="224"/>
      <c r="BQ19" s="224"/>
      <c r="BR19" s="224"/>
      <c r="BS19" s="224"/>
      <c r="BT19" s="224">
        <f t="shared" si="0"/>
        <v>2</v>
      </c>
      <c r="BU19" s="221" t="str">
        <f t="shared" si="1"/>
        <v>; 8.6.2; 8.7.3</v>
      </c>
      <c r="BV19" s="224"/>
    </row>
    <row r="20" spans="2:74" x14ac:dyDescent="0.3">
      <c r="B20" s="129" t="s">
        <v>834</v>
      </c>
      <c r="C20" s="130">
        <v>17</v>
      </c>
      <c r="D20" s="131" t="s">
        <v>699</v>
      </c>
      <c r="E20" s="224"/>
      <c r="F20" s="224"/>
      <c r="G20" s="224"/>
      <c r="H20" s="224"/>
      <c r="I20" s="224"/>
      <c r="J20" s="224"/>
      <c r="K20" s="224"/>
      <c r="L20" s="224"/>
      <c r="M20" s="224"/>
      <c r="N20" s="224"/>
      <c r="O20" s="224"/>
      <c r="P20" s="224"/>
      <c r="Q20" s="224"/>
      <c r="R20" s="224"/>
      <c r="S20" s="224"/>
      <c r="T20" s="224"/>
      <c r="U20" s="224"/>
      <c r="V20" s="224"/>
      <c r="W20" s="224"/>
      <c r="X20" s="224" t="s">
        <v>636</v>
      </c>
      <c r="Y20" s="224" t="s">
        <v>636</v>
      </c>
      <c r="Z20" s="224" t="s">
        <v>636</v>
      </c>
      <c r="AA20" s="224" t="s">
        <v>636</v>
      </c>
      <c r="AB20" s="224"/>
      <c r="AC20" s="224"/>
      <c r="AD20" s="224"/>
      <c r="AE20" s="224"/>
      <c r="AF20" s="224"/>
      <c r="AG20" s="224"/>
      <c r="AH20" s="224"/>
      <c r="AI20" s="224"/>
      <c r="AJ20" s="224"/>
      <c r="AK20" s="224"/>
      <c r="AL20" s="224"/>
      <c r="AM20" s="224"/>
      <c r="AN20" s="224"/>
      <c r="AO20" s="224"/>
      <c r="AP20" s="224"/>
      <c r="AQ20" s="224"/>
      <c r="AR20" s="224"/>
      <c r="AS20" s="224"/>
      <c r="AT20" s="224"/>
      <c r="AU20" s="224"/>
      <c r="AV20" s="224"/>
      <c r="AW20" s="224"/>
      <c r="AX20" s="224"/>
      <c r="AY20" s="224"/>
      <c r="AZ20" s="224"/>
      <c r="BA20" s="224"/>
      <c r="BB20" s="224"/>
      <c r="BC20" s="224"/>
      <c r="BD20" s="224"/>
      <c r="BE20" s="224"/>
      <c r="BF20" s="224" t="s">
        <v>636</v>
      </c>
      <c r="BG20" s="224"/>
      <c r="BH20" s="224"/>
      <c r="BI20" s="224"/>
      <c r="BJ20" s="224"/>
      <c r="BK20" s="224"/>
      <c r="BL20" s="224"/>
      <c r="BM20" s="224"/>
      <c r="BN20" s="224"/>
      <c r="BO20" s="224"/>
      <c r="BP20" s="224"/>
      <c r="BQ20" s="224"/>
      <c r="BR20" s="224"/>
      <c r="BS20" s="224"/>
      <c r="BT20" s="224">
        <f t="shared" si="0"/>
        <v>5</v>
      </c>
      <c r="BU20" s="221" t="str">
        <f t="shared" si="1"/>
        <v>; 7.1; 7.2; 7.3; 7.4; 8.6.2</v>
      </c>
      <c r="BV20" s="224"/>
    </row>
    <row r="21" spans="2:74" x14ac:dyDescent="0.3">
      <c r="B21" s="129" t="s">
        <v>834</v>
      </c>
      <c r="C21" s="130">
        <v>18</v>
      </c>
      <c r="D21" s="131" t="s">
        <v>700</v>
      </c>
      <c r="E21" s="224"/>
      <c r="F21" s="224"/>
      <c r="G21" s="224"/>
      <c r="H21" s="224"/>
      <c r="I21" s="224"/>
      <c r="J21" s="224"/>
      <c r="K21" s="224"/>
      <c r="L21" s="224"/>
      <c r="M21" s="224"/>
      <c r="N21" s="224"/>
      <c r="O21" s="224"/>
      <c r="P21" s="224"/>
      <c r="Q21" s="224"/>
      <c r="R21" s="224"/>
      <c r="S21" s="224"/>
      <c r="T21" s="224"/>
      <c r="U21" s="224"/>
      <c r="V21" s="224"/>
      <c r="W21" s="224"/>
      <c r="X21" s="224"/>
      <c r="Y21" s="224"/>
      <c r="Z21" s="224"/>
      <c r="AA21" s="224"/>
      <c r="AB21" s="224"/>
      <c r="AC21" s="224"/>
      <c r="AD21" s="224"/>
      <c r="AE21" s="224"/>
      <c r="AF21" s="224"/>
      <c r="AG21" s="224"/>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t="s">
        <v>636</v>
      </c>
      <c r="BG21" s="224"/>
      <c r="BH21" s="224"/>
      <c r="BI21" s="224"/>
      <c r="BJ21" s="224"/>
      <c r="BK21" s="224"/>
      <c r="BL21" s="224"/>
      <c r="BM21" s="224"/>
      <c r="BN21" s="224"/>
      <c r="BO21" s="224" t="s">
        <v>636</v>
      </c>
      <c r="BP21" s="224" t="s">
        <v>636</v>
      </c>
      <c r="BQ21" s="224"/>
      <c r="BR21" s="224"/>
      <c r="BS21" s="224"/>
      <c r="BT21" s="224">
        <f t="shared" si="0"/>
        <v>3</v>
      </c>
      <c r="BU21" s="221" t="str">
        <f t="shared" si="1"/>
        <v>; 8.6.2; 9.3; 9.4</v>
      </c>
    </row>
    <row r="22" spans="2:74" ht="27.6" x14ac:dyDescent="0.3">
      <c r="B22" s="129" t="s">
        <v>834</v>
      </c>
      <c r="C22" s="130">
        <v>19</v>
      </c>
      <c r="D22" s="131" t="s">
        <v>702</v>
      </c>
      <c r="E22" s="224"/>
      <c r="F22" s="224"/>
      <c r="G22" s="224"/>
      <c r="H22" s="224"/>
      <c r="I22" s="224"/>
      <c r="J22" s="224"/>
      <c r="K22" s="224"/>
      <c r="L22" s="224"/>
      <c r="M22" s="224"/>
      <c r="N22" s="224"/>
      <c r="O22" s="224"/>
      <c r="P22" s="224"/>
      <c r="Q22" s="224"/>
      <c r="R22" s="224"/>
      <c r="S22" s="224"/>
      <c r="T22" s="224"/>
      <c r="U22" s="224"/>
      <c r="V22" s="224"/>
      <c r="W22" s="224"/>
      <c r="X22" s="224"/>
      <c r="Y22" s="224"/>
      <c r="Z22" s="224"/>
      <c r="AA22" s="224"/>
      <c r="AB22" s="224"/>
      <c r="AC22" s="224"/>
      <c r="AD22" s="224"/>
      <c r="AE22" s="224"/>
      <c r="AF22" s="224"/>
      <c r="AG22" s="224"/>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t="s">
        <v>636</v>
      </c>
      <c r="BG22" s="224"/>
      <c r="BH22" s="224"/>
      <c r="BI22" s="224"/>
      <c r="BJ22" s="224"/>
      <c r="BK22" s="224"/>
      <c r="BL22" s="224"/>
      <c r="BM22" s="224"/>
      <c r="BN22" s="224"/>
      <c r="BO22" s="224" t="s">
        <v>636</v>
      </c>
      <c r="BP22" s="224"/>
      <c r="BQ22" s="224"/>
      <c r="BR22" s="224"/>
      <c r="BS22" s="224" t="s">
        <v>636</v>
      </c>
      <c r="BT22" s="224">
        <f t="shared" si="0"/>
        <v>3</v>
      </c>
      <c r="BU22" s="221" t="str">
        <f t="shared" si="1"/>
        <v>; 8.6.2; 9.3; 10.2</v>
      </c>
    </row>
    <row r="23" spans="2:74" ht="27.6" x14ac:dyDescent="0.3">
      <c r="B23" s="129" t="s">
        <v>837</v>
      </c>
      <c r="C23" s="130">
        <v>20</v>
      </c>
      <c r="D23" s="131" t="s">
        <v>785</v>
      </c>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c r="AH23" s="224"/>
      <c r="AI23" s="224" t="s">
        <v>636</v>
      </c>
      <c r="AJ23" s="224"/>
      <c r="AK23" s="224" t="s">
        <v>636</v>
      </c>
      <c r="AL23" s="224" t="s">
        <v>636</v>
      </c>
      <c r="AM23" s="224" t="s">
        <v>636</v>
      </c>
      <c r="AN23" s="224"/>
      <c r="AO23" s="224"/>
      <c r="AP23" s="224"/>
      <c r="AQ23" s="224"/>
      <c r="AR23" s="224"/>
      <c r="AS23" s="224"/>
      <c r="AT23" s="224"/>
      <c r="AU23" s="224"/>
      <c r="AV23" s="224"/>
      <c r="AW23" s="224"/>
      <c r="AX23" s="224"/>
      <c r="AY23" s="224"/>
      <c r="AZ23" s="224"/>
      <c r="BA23" s="224"/>
      <c r="BB23" s="224"/>
      <c r="BC23" s="224"/>
      <c r="BD23" s="224"/>
      <c r="BE23" s="224"/>
      <c r="BF23" s="224"/>
      <c r="BG23" s="224"/>
      <c r="BH23" s="224"/>
      <c r="BI23" s="224"/>
      <c r="BJ23" s="224"/>
      <c r="BK23" s="224" t="s">
        <v>636</v>
      </c>
      <c r="BL23" s="224"/>
      <c r="BM23" s="224" t="s">
        <v>636</v>
      </c>
      <c r="BN23" s="224" t="s">
        <v>636</v>
      </c>
      <c r="BO23" s="224" t="s">
        <v>636</v>
      </c>
      <c r="BP23" s="224" t="s">
        <v>636</v>
      </c>
      <c r="BQ23" s="224"/>
      <c r="BR23" s="224"/>
      <c r="BS23" s="224"/>
      <c r="BT23" s="224">
        <f t="shared" ref="BT23:BT26" si="2">COUNTIF(E23:BS23,"Y")</f>
        <v>9</v>
      </c>
      <c r="BU23" s="221" t="str">
        <f t="shared" ref="BU23:BU26" si="3">IF(E23="Y",$E$3,"")&amp;IF(F23="Y","; "&amp;$F$3,"")&amp;IF(G23="Y","; "&amp;$G$3,"")&amp;IF(H23="Y","; "&amp;$H$3,"")&amp;IF(I23="Y","; "&amp;$I$3,"")&amp;IF(J23="Y","; "&amp;$J$3,"")&amp;IF(K23="Y","; "&amp;$K$3,"")&amp;IF(L23="Y","; "&amp;$L$3,"")&amp;IF(M23="Y","; "&amp;$M$3,"")&amp;IF(N23="Y","; "&amp;$N$3,"")&amp;IF(O23="Y","; "&amp;$O$3,"")&amp;IF(P23="Y","; "&amp;$P$3,"")&amp;IF(Q23="Y","; "&amp;$Q$3,"")&amp;IF(R23="Y","; "&amp;$R$3,"")&amp;IF(S23="Y","; "&amp;$S$3,"")&amp;IF(T23="Y","; "&amp;$T$3,"")&amp;IF(U23="Y","; "&amp;$U$3,"")&amp;IF(V23="Y","; "&amp;$V$3,"")&amp;IF(W23="Y","; "&amp;$W$3,"")&amp;IF(X23="Y","; "&amp;$X$3,"")&amp;IF(Y23="Y","; "&amp;$Y$3,"")&amp;IF(Z23="Y","; "&amp;$Z$3,"")&amp;IF(AA23="Y","; "&amp;$AA$3,"")&amp;IF(AB23="Y","; "&amp;$AB$3,"")&amp;IF(AC23="Y","; "&amp;$AC$3,"")&amp;IF(AD23="Y","; "&amp;$AD$3,"")&amp;IF(AE23="Y","; "&amp;$AE$3,"")&amp;IF(AF23="Y","; "&amp;$AF$3,"")&amp;IF(AG23="Y","; "&amp;$AG$3,"")&amp;IF(AH23="Y","; "&amp;$AH$3,"")&amp;IF(AI23="Y","; "&amp;$AI$3,"")&amp;IF(AJ23="Y","; "&amp;$AJ$3,"")&amp;IF(AK23="Y","; "&amp;$AK$3,"")&amp;IF(AL23="Y","; "&amp;$AL$3,"")&amp;IF(AM23="Y","; "&amp;$AM$3,"")&amp;IF(AN23="Y","; "&amp;$AN$3,"")&amp;IF(AO23="Y","; "&amp;$AO$3,"")&amp;IF(AP23="Y","; "&amp;$AP$3,"")&amp;IF(AQ23="Y","; "&amp;$AQ$3,"")&amp;IF(AR23="Y","; "&amp;$AR$3,"")&amp;IF(AS23="Y","; "&amp;$AS$3,"")&amp;IF(AT23="Y","; "&amp;$AT$3,"")&amp;IF(AU23="Y","; "&amp;$AU$3,"")&amp;IF(AV23="Y","; "&amp;$AV$3,"")&amp;IF(AW23="Y","; "&amp;$AW$3,"")&amp;IF(AX23="Y","; "&amp;$AX$3,"")&amp;IF(AY23="Y","; "&amp;$AY$3,"")&amp;IF(AZ23="Y","; "&amp;$AZ$3,"")&amp;IF(BA23="Y","; "&amp;$BA$3,"")&amp;IF(BB23="Y","; "&amp;$BB$3,"")&amp;IF(BC23="Y","; "&amp;$BC$3,"")&amp;IF(BD23="Y","; "&amp;$BD$3,"")&amp;IF(BE23="Y","; "&amp;$BE$3,"")&amp;IF(BF23="Y","; "&amp;$BF$3,"")&amp;IF(BG23="Y","; "&amp;$BG$3,"")&amp;IF(BH23="Y","; "&amp;$BH$3,"")&amp;IF(BI23="Y","; "&amp;$BI$3,"")&amp;IF(BJ23="Y","; "&amp;$BJ$3,"")&amp;IF(BK23="Y","; "&amp;$BK$3,"")&amp;IF(BL23="Y","; "&amp;$BL$3,"")&amp;IF(BM23="Y","; "&amp;$BM$3,"")&amp;IF(BN23="Y","; "&amp;$BN$3,"")&amp;IF(BO23="Y","; "&amp;$BO$3,"")&amp;IF(BP23="Y","; "&amp;$BP$3,"")&amp;IF(BQ23="Y","; "&amp;$BQ$3,"")&amp;IF(BR23="Y","; "&amp;$BR$3,"")&amp;IF(BS23="Y","; "&amp;$BS$3,"")</f>
        <v>; 8.1; 8.2.1; 8.2.2; 8.2.3; 8.7.3; 9.1; 9.2; 9.3; 9.4</v>
      </c>
    </row>
    <row r="24" spans="2:74" ht="27.6" x14ac:dyDescent="0.3">
      <c r="B24" s="129" t="s">
        <v>837</v>
      </c>
      <c r="C24" s="130">
        <v>21</v>
      </c>
      <c r="D24" s="131" t="s">
        <v>701</v>
      </c>
      <c r="E24" s="224"/>
      <c r="F24" s="224"/>
      <c r="G24" s="224"/>
      <c r="H24" s="224"/>
      <c r="I24" s="224"/>
      <c r="J24" s="224"/>
      <c r="K24" s="224"/>
      <c r="L24" s="224"/>
      <c r="M24" s="224"/>
      <c r="N24" s="224"/>
      <c r="O24" s="224"/>
      <c r="P24" s="224"/>
      <c r="Q24" s="224"/>
      <c r="R24" s="224"/>
      <c r="S24" s="224"/>
      <c r="T24" s="224"/>
      <c r="U24" s="224"/>
      <c r="V24" s="224"/>
      <c r="W24" s="224"/>
      <c r="X24" s="224"/>
      <c r="Y24" s="224"/>
      <c r="Z24" s="224"/>
      <c r="AA24" s="224"/>
      <c r="AB24" s="224"/>
      <c r="AC24" s="224"/>
      <c r="AD24" s="224"/>
      <c r="AE24" s="224"/>
      <c r="AF24" s="224"/>
      <c r="AG24" s="224"/>
      <c r="AH24" s="224"/>
      <c r="AI24" s="224" t="s">
        <v>636</v>
      </c>
      <c r="AJ24" s="224"/>
      <c r="AK24" s="224" t="s">
        <v>636</v>
      </c>
      <c r="AL24" s="224" t="s">
        <v>636</v>
      </c>
      <c r="AM24" s="224" t="s">
        <v>636</v>
      </c>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t="s">
        <v>636</v>
      </c>
      <c r="BL24" s="224"/>
      <c r="BM24" s="224" t="s">
        <v>636</v>
      </c>
      <c r="BN24" s="224" t="s">
        <v>636</v>
      </c>
      <c r="BO24" s="224" t="s">
        <v>636</v>
      </c>
      <c r="BP24" s="224" t="s">
        <v>636</v>
      </c>
      <c r="BQ24" s="224"/>
      <c r="BR24" s="224"/>
      <c r="BS24" s="224"/>
      <c r="BT24" s="224">
        <f t="shared" si="2"/>
        <v>9</v>
      </c>
      <c r="BU24" s="221" t="str">
        <f t="shared" si="3"/>
        <v>; 8.1; 8.2.1; 8.2.2; 8.2.3; 8.7.3; 9.1; 9.2; 9.3; 9.4</v>
      </c>
    </row>
    <row r="25" spans="2:74" ht="41.4" x14ac:dyDescent="0.3">
      <c r="B25" s="129" t="s">
        <v>837</v>
      </c>
      <c r="C25" s="130">
        <v>22</v>
      </c>
      <c r="D25" s="131" t="s">
        <v>791</v>
      </c>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4"/>
      <c r="AI25" s="224" t="s">
        <v>636</v>
      </c>
      <c r="AJ25" s="224"/>
      <c r="AK25" s="224" t="s">
        <v>636</v>
      </c>
      <c r="AL25" s="224" t="s">
        <v>636</v>
      </c>
      <c r="AM25" s="224" t="s">
        <v>636</v>
      </c>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t="s">
        <v>636</v>
      </c>
      <c r="BL25" s="224"/>
      <c r="BM25" s="224" t="s">
        <v>636</v>
      </c>
      <c r="BN25" s="224" t="s">
        <v>636</v>
      </c>
      <c r="BO25" s="224" t="s">
        <v>636</v>
      </c>
      <c r="BP25" s="224" t="s">
        <v>636</v>
      </c>
      <c r="BQ25" s="224"/>
      <c r="BR25" s="224"/>
      <c r="BS25" s="224"/>
      <c r="BT25" s="224">
        <f t="shared" si="2"/>
        <v>9</v>
      </c>
      <c r="BU25" s="221" t="str">
        <f t="shared" si="3"/>
        <v>; 8.1; 8.2.1; 8.2.2; 8.2.3; 8.7.3; 9.1; 9.2; 9.3; 9.4</v>
      </c>
    </row>
    <row r="26" spans="2:74" ht="41.4" x14ac:dyDescent="0.3">
      <c r="B26" s="129" t="s">
        <v>837</v>
      </c>
      <c r="C26" s="130">
        <v>23</v>
      </c>
      <c r="D26" s="131" t="s">
        <v>792</v>
      </c>
      <c r="E26" s="224"/>
      <c r="F26" s="224"/>
      <c r="G26" s="224"/>
      <c r="H26" s="224"/>
      <c r="I26" s="224"/>
      <c r="J26" s="224"/>
      <c r="K26" s="224"/>
      <c r="L26" s="224"/>
      <c r="M26" s="224"/>
      <c r="N26" s="224"/>
      <c r="O26" s="224"/>
      <c r="P26" s="224"/>
      <c r="Q26" s="224"/>
      <c r="R26" s="224"/>
      <c r="S26" s="224"/>
      <c r="T26" s="224"/>
      <c r="U26" s="224"/>
      <c r="V26" s="224"/>
      <c r="W26" s="224"/>
      <c r="X26" s="224"/>
      <c r="Y26" s="224"/>
      <c r="Z26" s="224"/>
      <c r="AA26" s="224"/>
      <c r="AB26" s="224"/>
      <c r="AC26" s="224"/>
      <c r="AD26" s="224"/>
      <c r="AE26" s="224"/>
      <c r="AF26" s="224"/>
      <c r="AG26" s="224"/>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24"/>
      <c r="BH26" s="224"/>
      <c r="BI26" s="224"/>
      <c r="BJ26" s="224"/>
      <c r="BK26" s="224"/>
      <c r="BL26" s="224"/>
      <c r="BM26" s="224"/>
      <c r="BN26" s="224"/>
      <c r="BO26" s="224"/>
      <c r="BP26" s="224"/>
      <c r="BQ26" s="224"/>
      <c r="BR26" s="224"/>
      <c r="BS26" s="224"/>
      <c r="BT26" s="224">
        <f t="shared" si="2"/>
        <v>0</v>
      </c>
      <c r="BU26" s="221" t="str">
        <f t="shared" si="3"/>
        <v/>
      </c>
    </row>
  </sheetData>
  <sheetProtection password="DAE1" sheet="1" objects="1" scenarios="1" formatColumns="0" formatRows="0" autoFilter="0"/>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B3:BV205"/>
  <sheetViews>
    <sheetView workbookViewId="0">
      <pane xSplit="4" ySplit="3" topLeftCell="E4" activePane="bottomRight" state="frozen"/>
      <selection pane="topRight" activeCell="E1" sqref="E1"/>
      <selection pane="bottomLeft" activeCell="A4" sqref="A4"/>
      <selection pane="bottomRight" activeCell="B3" sqref="B3"/>
    </sheetView>
  </sheetViews>
  <sheetFormatPr defaultColWidth="9.109375" defaultRowHeight="14.4" x14ac:dyDescent="0.3"/>
  <cols>
    <col min="1" max="1" width="9.109375" style="23"/>
    <col min="2" max="2" width="28.5546875" style="23" bestFit="1" customWidth="1"/>
    <col min="3" max="3" width="11.88671875" style="23" bestFit="1" customWidth="1"/>
    <col min="4" max="4" width="39.33203125" style="227" customWidth="1"/>
    <col min="5" max="71" width="0" style="23" hidden="1" customWidth="1"/>
    <col min="72" max="72" width="15.88671875" style="23" hidden="1" customWidth="1"/>
    <col min="73" max="73" width="33.44140625" style="23" customWidth="1"/>
    <col min="74" max="16384" width="9.109375" style="23"/>
  </cols>
  <sheetData>
    <row r="3" spans="2:74" ht="55.2" x14ac:dyDescent="0.3">
      <c r="B3" s="219" t="s">
        <v>19</v>
      </c>
      <c r="C3" s="219" t="s">
        <v>649</v>
      </c>
      <c r="D3" s="220" t="s">
        <v>616</v>
      </c>
      <c r="E3" s="219">
        <v>4</v>
      </c>
      <c r="F3" s="219">
        <v>4.0999999999999996</v>
      </c>
      <c r="G3" s="219">
        <v>4.2</v>
      </c>
      <c r="H3" s="219">
        <v>4.3</v>
      </c>
      <c r="I3" s="219">
        <v>4.4000000000000004</v>
      </c>
      <c r="J3" s="219">
        <v>5</v>
      </c>
      <c r="K3" s="219">
        <v>5.0999999999999996</v>
      </c>
      <c r="L3" s="219">
        <v>5.2</v>
      </c>
      <c r="M3" s="219" t="s">
        <v>617</v>
      </c>
      <c r="N3" s="219" t="s">
        <v>618</v>
      </c>
      <c r="O3" s="219" t="s">
        <v>637</v>
      </c>
      <c r="P3" s="219">
        <v>5.3</v>
      </c>
      <c r="Q3" s="219">
        <v>6</v>
      </c>
      <c r="R3" s="219">
        <v>6.1</v>
      </c>
      <c r="S3" s="219">
        <v>6.2</v>
      </c>
      <c r="T3" s="219" t="s">
        <v>638</v>
      </c>
      <c r="U3" s="219" t="s">
        <v>639</v>
      </c>
      <c r="V3" s="219">
        <v>6.3</v>
      </c>
      <c r="W3" s="219">
        <v>7</v>
      </c>
      <c r="X3" s="219">
        <v>7.1</v>
      </c>
      <c r="Y3" s="219">
        <v>7.2</v>
      </c>
      <c r="Z3" s="219">
        <v>7.3</v>
      </c>
      <c r="AA3" s="219">
        <v>7.4</v>
      </c>
      <c r="AB3" s="219">
        <v>7.5</v>
      </c>
      <c r="AC3" s="219" t="s">
        <v>619</v>
      </c>
      <c r="AD3" s="219" t="s">
        <v>620</v>
      </c>
      <c r="AE3" s="219" t="s">
        <v>621</v>
      </c>
      <c r="AF3" s="219" t="s">
        <v>640</v>
      </c>
      <c r="AG3" s="219">
        <v>7.6</v>
      </c>
      <c r="AH3" s="219">
        <v>8</v>
      </c>
      <c r="AI3" s="219">
        <v>8.1</v>
      </c>
      <c r="AJ3" s="219">
        <v>8.1999999999999993</v>
      </c>
      <c r="AK3" s="219" t="s">
        <v>622</v>
      </c>
      <c r="AL3" s="219" t="s">
        <v>623</v>
      </c>
      <c r="AM3" s="219" t="s">
        <v>624</v>
      </c>
      <c r="AN3" s="219" t="s">
        <v>625</v>
      </c>
      <c r="AO3" s="219" t="s">
        <v>641</v>
      </c>
      <c r="AP3" s="219" t="s">
        <v>642</v>
      </c>
      <c r="AQ3" s="219">
        <v>8.3000000000000007</v>
      </c>
      <c r="AR3" s="219" t="s">
        <v>626</v>
      </c>
      <c r="AS3" s="219" t="s">
        <v>627</v>
      </c>
      <c r="AT3" s="219" t="s">
        <v>628</v>
      </c>
      <c r="AU3" s="219" t="s">
        <v>629</v>
      </c>
      <c r="AV3" s="219">
        <v>8.4</v>
      </c>
      <c r="AW3" s="219" t="s">
        <v>653</v>
      </c>
      <c r="AX3" s="219" t="s">
        <v>654</v>
      </c>
      <c r="AY3" s="219" t="s">
        <v>655</v>
      </c>
      <c r="AZ3" s="219">
        <v>8.5</v>
      </c>
      <c r="BA3" s="219" t="s">
        <v>630</v>
      </c>
      <c r="BB3" s="219" t="s">
        <v>631</v>
      </c>
      <c r="BC3" s="219" t="s">
        <v>632</v>
      </c>
      <c r="BD3" s="219">
        <v>8.6</v>
      </c>
      <c r="BE3" s="219" t="s">
        <v>643</v>
      </c>
      <c r="BF3" s="219" t="s">
        <v>644</v>
      </c>
      <c r="BG3" s="219" t="s">
        <v>645</v>
      </c>
      <c r="BH3" s="219">
        <v>8.6999999999999993</v>
      </c>
      <c r="BI3" s="219" t="s">
        <v>646</v>
      </c>
      <c r="BJ3" s="219" t="s">
        <v>647</v>
      </c>
      <c r="BK3" s="219" t="s">
        <v>648</v>
      </c>
      <c r="BL3" s="219">
        <v>9</v>
      </c>
      <c r="BM3" s="219">
        <v>9.1</v>
      </c>
      <c r="BN3" s="219">
        <v>9.1999999999999993</v>
      </c>
      <c r="BO3" s="219">
        <v>9.3000000000000007</v>
      </c>
      <c r="BP3" s="219">
        <v>9.4</v>
      </c>
      <c r="BQ3" s="219">
        <v>10</v>
      </c>
      <c r="BR3" s="219">
        <v>10.1</v>
      </c>
      <c r="BS3" s="219">
        <v>10.199999999999999</v>
      </c>
      <c r="BT3" s="219" t="s">
        <v>633</v>
      </c>
      <c r="BU3" s="219" t="s">
        <v>634</v>
      </c>
      <c r="BV3" s="220" t="s">
        <v>635</v>
      </c>
    </row>
    <row r="4" spans="2:74" x14ac:dyDescent="0.3">
      <c r="B4" s="267" t="s">
        <v>832</v>
      </c>
      <c r="C4" s="244">
        <v>1</v>
      </c>
      <c r="D4" s="245" t="s">
        <v>845</v>
      </c>
      <c r="E4" s="243"/>
      <c r="F4" s="243"/>
      <c r="G4" s="243"/>
      <c r="H4" s="243"/>
      <c r="I4" s="243"/>
      <c r="J4" s="243"/>
      <c r="K4" s="243"/>
      <c r="L4" s="243"/>
      <c r="M4" s="243"/>
      <c r="N4" s="243"/>
      <c r="O4" s="243"/>
      <c r="P4" s="243"/>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43"/>
      <c r="BK4" s="243"/>
      <c r="BL4" s="243"/>
      <c r="BM4" s="243"/>
      <c r="BN4" s="243"/>
      <c r="BO4" s="243"/>
      <c r="BP4" s="243"/>
      <c r="BQ4" s="243"/>
      <c r="BR4" s="243"/>
      <c r="BS4" s="243"/>
      <c r="BT4" s="243">
        <f t="shared" ref="BT4:BT26" si="0">COUNTIF(E4:BS4,"Y")</f>
        <v>0</v>
      </c>
      <c r="BU4" s="246"/>
      <c r="BV4" s="224"/>
    </row>
    <row r="5" spans="2:74" ht="41.4" x14ac:dyDescent="0.3">
      <c r="B5" s="129" t="s">
        <v>832</v>
      </c>
      <c r="C5" s="244">
        <v>2</v>
      </c>
      <c r="D5" s="131" t="s">
        <v>846</v>
      </c>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4"/>
      <c r="BH5" s="224"/>
      <c r="BI5" s="224"/>
      <c r="BJ5" s="224"/>
      <c r="BK5" s="224"/>
      <c r="BL5" s="224"/>
      <c r="BM5" s="224"/>
      <c r="BN5" s="224"/>
      <c r="BO5" s="224"/>
      <c r="BP5" s="224"/>
      <c r="BQ5" s="224"/>
      <c r="BR5" s="224"/>
      <c r="BS5" s="224"/>
      <c r="BT5" s="224">
        <f t="shared" si="0"/>
        <v>0</v>
      </c>
      <c r="BU5" s="221" t="s">
        <v>1198</v>
      </c>
      <c r="BV5" s="224"/>
    </row>
    <row r="6" spans="2:74" ht="27.6" x14ac:dyDescent="0.3">
      <c r="B6" s="129" t="s">
        <v>832</v>
      </c>
      <c r="C6" s="244">
        <v>3</v>
      </c>
      <c r="D6" s="131" t="s">
        <v>847</v>
      </c>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4"/>
      <c r="AI6" s="224"/>
      <c r="AJ6" s="224"/>
      <c r="AK6" s="224"/>
      <c r="AL6" s="224"/>
      <c r="AM6" s="224"/>
      <c r="AN6" s="224"/>
      <c r="AO6" s="224"/>
      <c r="AP6" s="224"/>
      <c r="AQ6" s="224"/>
      <c r="AR6" s="224"/>
      <c r="AS6" s="224"/>
      <c r="AT6" s="224"/>
      <c r="AU6" s="224"/>
      <c r="AV6" s="224"/>
      <c r="AW6" s="224"/>
      <c r="AX6" s="224"/>
      <c r="AY6" s="224"/>
      <c r="AZ6" s="224"/>
      <c r="BA6" s="224"/>
      <c r="BB6" s="224"/>
      <c r="BC6" s="224"/>
      <c r="BD6" s="224"/>
      <c r="BE6" s="224"/>
      <c r="BF6" s="224"/>
      <c r="BG6" s="224"/>
      <c r="BH6" s="224"/>
      <c r="BI6" s="224"/>
      <c r="BJ6" s="224"/>
      <c r="BK6" s="224"/>
      <c r="BL6" s="224"/>
      <c r="BM6" s="224"/>
      <c r="BN6" s="224"/>
      <c r="BO6" s="224"/>
      <c r="BP6" s="224"/>
      <c r="BQ6" s="224"/>
      <c r="BR6" s="224"/>
      <c r="BS6" s="224"/>
      <c r="BT6" s="224">
        <f t="shared" si="0"/>
        <v>0</v>
      </c>
      <c r="BU6" s="221" t="s">
        <v>1198</v>
      </c>
      <c r="BV6" s="224"/>
    </row>
    <row r="7" spans="2:74" ht="41.4" x14ac:dyDescent="0.3">
      <c r="B7" s="129" t="s">
        <v>832</v>
      </c>
      <c r="C7" s="244">
        <v>4</v>
      </c>
      <c r="D7" s="131" t="s">
        <v>848</v>
      </c>
      <c r="E7" s="224"/>
      <c r="F7" s="224"/>
      <c r="G7" s="224"/>
      <c r="H7" s="224"/>
      <c r="I7" s="224"/>
      <c r="J7" s="224"/>
      <c r="K7" s="224"/>
      <c r="L7" s="224"/>
      <c r="M7" s="224"/>
      <c r="N7" s="224"/>
      <c r="O7" s="224"/>
      <c r="P7" s="224"/>
      <c r="Q7" s="224"/>
      <c r="R7" s="224"/>
      <c r="S7" s="224"/>
      <c r="T7" s="224"/>
      <c r="U7" s="224"/>
      <c r="V7" s="224"/>
      <c r="W7" s="224"/>
      <c r="X7" s="224"/>
      <c r="Y7" s="224"/>
      <c r="Z7" s="224"/>
      <c r="AA7" s="224"/>
      <c r="AB7" s="224"/>
      <c r="AC7" s="224"/>
      <c r="AD7" s="224"/>
      <c r="AE7" s="224"/>
      <c r="AF7" s="224"/>
      <c r="AG7" s="224"/>
      <c r="AH7" s="224"/>
      <c r="AI7" s="224"/>
      <c r="AJ7" s="224"/>
      <c r="AK7" s="224"/>
      <c r="AL7" s="224"/>
      <c r="AM7" s="224"/>
      <c r="AN7" s="224"/>
      <c r="AO7" s="224"/>
      <c r="AP7" s="224"/>
      <c r="AQ7" s="224"/>
      <c r="AR7" s="224"/>
      <c r="AS7" s="224"/>
      <c r="AT7" s="224"/>
      <c r="AU7" s="224"/>
      <c r="AV7" s="224"/>
      <c r="AW7" s="224"/>
      <c r="AX7" s="224"/>
      <c r="AY7" s="224"/>
      <c r="AZ7" s="224"/>
      <c r="BA7" s="224"/>
      <c r="BB7" s="224"/>
      <c r="BC7" s="224"/>
      <c r="BD7" s="224"/>
      <c r="BE7" s="224"/>
      <c r="BF7" s="224"/>
      <c r="BG7" s="224"/>
      <c r="BH7" s="224"/>
      <c r="BI7" s="224"/>
      <c r="BJ7" s="224"/>
      <c r="BK7" s="224"/>
      <c r="BL7" s="224"/>
      <c r="BM7" s="224"/>
      <c r="BN7" s="224"/>
      <c r="BO7" s="224"/>
      <c r="BP7" s="224"/>
      <c r="BQ7" s="224"/>
      <c r="BR7" s="224"/>
      <c r="BS7" s="224"/>
      <c r="BT7" s="224">
        <f t="shared" si="0"/>
        <v>0</v>
      </c>
      <c r="BU7" s="221" t="s">
        <v>1198</v>
      </c>
      <c r="BV7" s="224"/>
    </row>
    <row r="8" spans="2:74" ht="41.4" x14ac:dyDescent="0.3">
      <c r="B8" s="129" t="s">
        <v>832</v>
      </c>
      <c r="C8" s="244">
        <v>5</v>
      </c>
      <c r="D8" s="131" t="s">
        <v>849</v>
      </c>
      <c r="E8" s="224"/>
      <c r="F8" s="224"/>
      <c r="G8" s="224"/>
      <c r="H8" s="224"/>
      <c r="I8" s="224"/>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224"/>
      <c r="AI8" s="224"/>
      <c r="AJ8" s="224"/>
      <c r="AK8" s="224"/>
      <c r="AL8" s="224"/>
      <c r="AM8" s="224"/>
      <c r="AN8" s="224"/>
      <c r="AO8" s="224"/>
      <c r="AP8" s="224"/>
      <c r="AQ8" s="224"/>
      <c r="AR8" s="224"/>
      <c r="AS8" s="224"/>
      <c r="AT8" s="224"/>
      <c r="AU8" s="224"/>
      <c r="AV8" s="224"/>
      <c r="AW8" s="224"/>
      <c r="AX8" s="224"/>
      <c r="AY8" s="224"/>
      <c r="AZ8" s="224"/>
      <c r="BA8" s="224"/>
      <c r="BB8" s="224"/>
      <c r="BC8" s="224"/>
      <c r="BD8" s="224"/>
      <c r="BE8" s="224"/>
      <c r="BF8" s="224"/>
      <c r="BG8" s="224"/>
      <c r="BH8" s="224"/>
      <c r="BI8" s="224"/>
      <c r="BJ8" s="224"/>
      <c r="BK8" s="224"/>
      <c r="BL8" s="224"/>
      <c r="BM8" s="224"/>
      <c r="BN8" s="224"/>
      <c r="BO8" s="224"/>
      <c r="BP8" s="224"/>
      <c r="BQ8" s="224"/>
      <c r="BR8" s="224"/>
      <c r="BS8" s="224"/>
      <c r="BT8" s="224">
        <f t="shared" si="0"/>
        <v>0</v>
      </c>
      <c r="BU8" s="221" t="s">
        <v>1198</v>
      </c>
      <c r="BV8" s="224"/>
    </row>
    <row r="9" spans="2:74" ht="41.4" x14ac:dyDescent="0.3">
      <c r="B9" s="129" t="s">
        <v>832</v>
      </c>
      <c r="C9" s="244">
        <v>6</v>
      </c>
      <c r="D9" s="131" t="s">
        <v>851</v>
      </c>
      <c r="E9" s="224"/>
      <c r="F9" s="224"/>
      <c r="G9" s="224"/>
      <c r="H9" s="224"/>
      <c r="I9" s="224"/>
      <c r="J9" s="224"/>
      <c r="K9" s="224"/>
      <c r="L9" s="224"/>
      <c r="M9" s="224"/>
      <c r="N9" s="224"/>
      <c r="O9" s="224"/>
      <c r="P9" s="224"/>
      <c r="Q9" s="224"/>
      <c r="R9" s="224"/>
      <c r="S9" s="224"/>
      <c r="T9" s="224"/>
      <c r="U9" s="224"/>
      <c r="V9" s="224"/>
      <c r="W9" s="224"/>
      <c r="X9" s="224"/>
      <c r="Y9" s="224"/>
      <c r="Z9" s="224"/>
      <c r="AA9" s="224"/>
      <c r="AB9" s="224"/>
      <c r="AC9" s="224"/>
      <c r="AD9" s="224"/>
      <c r="AE9" s="224"/>
      <c r="AF9" s="224"/>
      <c r="AG9" s="224"/>
      <c r="AH9" s="224"/>
      <c r="AI9" s="224"/>
      <c r="AJ9" s="224"/>
      <c r="AK9" s="224"/>
      <c r="AL9" s="224"/>
      <c r="AM9" s="224"/>
      <c r="AN9" s="224"/>
      <c r="AO9" s="224"/>
      <c r="AP9" s="224"/>
      <c r="AQ9" s="224"/>
      <c r="AR9" s="224"/>
      <c r="AS9" s="224"/>
      <c r="AT9" s="224"/>
      <c r="AU9" s="224"/>
      <c r="AV9" s="224"/>
      <c r="AW9" s="224"/>
      <c r="AX9" s="224"/>
      <c r="AY9" s="224"/>
      <c r="AZ9" s="224"/>
      <c r="BA9" s="224"/>
      <c r="BB9" s="224"/>
      <c r="BC9" s="224"/>
      <c r="BD9" s="224"/>
      <c r="BE9" s="224"/>
      <c r="BF9" s="224"/>
      <c r="BG9" s="224"/>
      <c r="BH9" s="224"/>
      <c r="BI9" s="224"/>
      <c r="BJ9" s="224"/>
      <c r="BK9" s="224"/>
      <c r="BL9" s="224"/>
      <c r="BM9" s="224"/>
      <c r="BN9" s="224"/>
      <c r="BO9" s="224"/>
      <c r="BP9" s="224"/>
      <c r="BQ9" s="224"/>
      <c r="BR9" s="224"/>
      <c r="BS9" s="224"/>
      <c r="BT9" s="224">
        <f t="shared" si="0"/>
        <v>0</v>
      </c>
      <c r="BU9" s="221" t="s">
        <v>1199</v>
      </c>
      <c r="BV9" s="224"/>
    </row>
    <row r="10" spans="2:74" ht="41.4" x14ac:dyDescent="0.3">
      <c r="B10" s="129" t="s">
        <v>832</v>
      </c>
      <c r="C10" s="244">
        <v>7</v>
      </c>
      <c r="D10" s="131" t="s">
        <v>864</v>
      </c>
      <c r="E10" s="224"/>
      <c r="F10" s="224"/>
      <c r="G10" s="224"/>
      <c r="H10" s="224"/>
      <c r="I10" s="224"/>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224"/>
      <c r="BJ10" s="224"/>
      <c r="BK10" s="224"/>
      <c r="BL10" s="224"/>
      <c r="BM10" s="224"/>
      <c r="BN10" s="224"/>
      <c r="BO10" s="224"/>
      <c r="BP10" s="224"/>
      <c r="BQ10" s="224"/>
      <c r="BR10" s="224"/>
      <c r="BS10" s="224"/>
      <c r="BT10" s="224">
        <f t="shared" si="0"/>
        <v>0</v>
      </c>
      <c r="BU10" s="221" t="s">
        <v>1198</v>
      </c>
      <c r="BV10" s="224"/>
    </row>
    <row r="11" spans="2:74" ht="27.6" x14ac:dyDescent="0.3">
      <c r="B11" s="129" t="s">
        <v>832</v>
      </c>
      <c r="C11" s="244">
        <v>8</v>
      </c>
      <c r="D11" s="131" t="s">
        <v>863</v>
      </c>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c r="BO11" s="224"/>
      <c r="BP11" s="224"/>
      <c r="BQ11" s="224"/>
      <c r="BR11" s="224"/>
      <c r="BS11" s="224"/>
      <c r="BT11" s="224">
        <f t="shared" si="0"/>
        <v>0</v>
      </c>
      <c r="BU11" s="221" t="s">
        <v>1200</v>
      </c>
      <c r="BV11" s="224"/>
    </row>
    <row r="12" spans="2:74" ht="27.6" x14ac:dyDescent="0.3">
      <c r="B12" s="129" t="s">
        <v>832</v>
      </c>
      <c r="C12" s="244">
        <v>9</v>
      </c>
      <c r="D12" s="131" t="s">
        <v>862</v>
      </c>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c r="BO12" s="224"/>
      <c r="BP12" s="224"/>
      <c r="BQ12" s="224"/>
      <c r="BR12" s="224"/>
      <c r="BS12" s="224"/>
      <c r="BT12" s="224">
        <f t="shared" si="0"/>
        <v>0</v>
      </c>
      <c r="BU12" s="221" t="s">
        <v>1198</v>
      </c>
      <c r="BV12" s="224"/>
    </row>
    <row r="13" spans="2:74" ht="27.6" x14ac:dyDescent="0.3">
      <c r="B13" s="129" t="s">
        <v>832</v>
      </c>
      <c r="C13" s="244">
        <v>10</v>
      </c>
      <c r="D13" s="131" t="s">
        <v>861</v>
      </c>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4"/>
      <c r="BN13" s="224"/>
      <c r="BO13" s="224"/>
      <c r="BP13" s="224"/>
      <c r="BQ13" s="224"/>
      <c r="BR13" s="224"/>
      <c r="BS13" s="224"/>
      <c r="BT13" s="224">
        <f t="shared" si="0"/>
        <v>0</v>
      </c>
      <c r="BU13" s="221" t="s">
        <v>1198</v>
      </c>
      <c r="BV13" s="224"/>
    </row>
    <row r="14" spans="2:74" ht="27.6" x14ac:dyDescent="0.3">
      <c r="B14" s="129" t="s">
        <v>832</v>
      </c>
      <c r="C14" s="244">
        <v>11</v>
      </c>
      <c r="D14" s="131" t="s">
        <v>860</v>
      </c>
      <c r="E14" s="224"/>
      <c r="F14" s="224"/>
      <c r="G14" s="224"/>
      <c r="H14" s="224"/>
      <c r="I14" s="224"/>
      <c r="J14" s="224"/>
      <c r="K14" s="224"/>
      <c r="L14" s="224"/>
      <c r="M14" s="224"/>
      <c r="N14" s="224"/>
      <c r="O14" s="224"/>
      <c r="P14" s="224"/>
      <c r="Q14" s="224"/>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c r="BF14" s="224"/>
      <c r="BG14" s="224"/>
      <c r="BH14" s="224"/>
      <c r="BI14" s="224"/>
      <c r="BJ14" s="224"/>
      <c r="BK14" s="224"/>
      <c r="BL14" s="224"/>
      <c r="BM14" s="224"/>
      <c r="BN14" s="224"/>
      <c r="BO14" s="224"/>
      <c r="BP14" s="224"/>
      <c r="BQ14" s="224"/>
      <c r="BR14" s="224"/>
      <c r="BS14" s="224"/>
      <c r="BT14" s="224">
        <f t="shared" si="0"/>
        <v>0</v>
      </c>
      <c r="BU14" s="221" t="s">
        <v>1198</v>
      </c>
      <c r="BV14" s="224"/>
    </row>
    <row r="15" spans="2:74" ht="41.4" x14ac:dyDescent="0.3">
      <c r="B15" s="129" t="s">
        <v>832</v>
      </c>
      <c r="C15" s="244">
        <v>12</v>
      </c>
      <c r="D15" s="131" t="s">
        <v>858</v>
      </c>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4"/>
      <c r="AI15" s="224"/>
      <c r="AJ15" s="224"/>
      <c r="AK15" s="224"/>
      <c r="AL15" s="224"/>
      <c r="AM15" s="224"/>
      <c r="AN15" s="224"/>
      <c r="AO15" s="224"/>
      <c r="AP15" s="224"/>
      <c r="AQ15" s="224"/>
      <c r="AR15" s="224"/>
      <c r="AS15" s="224"/>
      <c r="AT15" s="224"/>
      <c r="AU15" s="224"/>
      <c r="AV15" s="224"/>
      <c r="AW15" s="224"/>
      <c r="AX15" s="224"/>
      <c r="AY15" s="224"/>
      <c r="AZ15" s="224"/>
      <c r="BA15" s="224"/>
      <c r="BB15" s="224"/>
      <c r="BC15" s="224"/>
      <c r="BD15" s="224"/>
      <c r="BE15" s="224"/>
      <c r="BF15" s="224"/>
      <c r="BG15" s="224"/>
      <c r="BH15" s="224"/>
      <c r="BI15" s="224"/>
      <c r="BJ15" s="224"/>
      <c r="BK15" s="224"/>
      <c r="BL15" s="224"/>
      <c r="BM15" s="224"/>
      <c r="BN15" s="224"/>
      <c r="BO15" s="224"/>
      <c r="BP15" s="224"/>
      <c r="BQ15" s="224"/>
      <c r="BR15" s="224"/>
      <c r="BS15" s="224"/>
      <c r="BT15" s="224">
        <f t="shared" si="0"/>
        <v>0</v>
      </c>
      <c r="BU15" s="221" t="s">
        <v>1198</v>
      </c>
      <c r="BV15" s="224"/>
    </row>
    <row r="16" spans="2:74" ht="41.4" x14ac:dyDescent="0.3">
      <c r="B16" s="129" t="s">
        <v>832</v>
      </c>
      <c r="C16" s="244">
        <v>13</v>
      </c>
      <c r="D16" s="131" t="s">
        <v>859</v>
      </c>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4"/>
      <c r="AI16" s="224"/>
      <c r="AJ16" s="224"/>
      <c r="AK16" s="224"/>
      <c r="AL16" s="224"/>
      <c r="AM16" s="224"/>
      <c r="AN16" s="224"/>
      <c r="AO16" s="224"/>
      <c r="AP16" s="224"/>
      <c r="AQ16" s="224"/>
      <c r="AR16" s="224"/>
      <c r="AS16" s="224"/>
      <c r="AT16" s="224"/>
      <c r="AU16" s="224"/>
      <c r="AV16" s="224"/>
      <c r="AW16" s="224"/>
      <c r="AX16" s="224"/>
      <c r="AY16" s="224"/>
      <c r="AZ16" s="224"/>
      <c r="BA16" s="224"/>
      <c r="BB16" s="224"/>
      <c r="BC16" s="224"/>
      <c r="BD16" s="224"/>
      <c r="BE16" s="224"/>
      <c r="BF16" s="224"/>
      <c r="BG16" s="224"/>
      <c r="BH16" s="224"/>
      <c r="BI16" s="224"/>
      <c r="BJ16" s="224"/>
      <c r="BK16" s="224"/>
      <c r="BL16" s="224"/>
      <c r="BM16" s="224"/>
      <c r="BN16" s="224"/>
      <c r="BO16" s="224"/>
      <c r="BP16" s="224"/>
      <c r="BQ16" s="224"/>
      <c r="BR16" s="224"/>
      <c r="BS16" s="224"/>
      <c r="BT16" s="224">
        <f t="shared" si="0"/>
        <v>0</v>
      </c>
      <c r="BU16" s="221" t="s">
        <v>1200</v>
      </c>
      <c r="BV16" s="224"/>
    </row>
    <row r="17" spans="2:74" ht="27.6" x14ac:dyDescent="0.3">
      <c r="B17" s="129" t="s">
        <v>832</v>
      </c>
      <c r="C17" s="244">
        <v>14</v>
      </c>
      <c r="D17" s="131" t="s">
        <v>855</v>
      </c>
      <c r="E17" s="224"/>
      <c r="F17" s="224"/>
      <c r="G17" s="224"/>
      <c r="H17" s="224"/>
      <c r="I17" s="224"/>
      <c r="J17" s="224"/>
      <c r="K17" s="224"/>
      <c r="L17" s="224"/>
      <c r="M17" s="224"/>
      <c r="N17" s="224"/>
      <c r="O17" s="224"/>
      <c r="P17" s="224"/>
      <c r="Q17" s="224"/>
      <c r="R17" s="224"/>
      <c r="S17" s="224"/>
      <c r="T17" s="224"/>
      <c r="U17" s="224"/>
      <c r="V17" s="224"/>
      <c r="W17" s="224"/>
      <c r="X17" s="224"/>
      <c r="Y17" s="224"/>
      <c r="Z17" s="224"/>
      <c r="AA17" s="224"/>
      <c r="AB17" s="224"/>
      <c r="AC17" s="224"/>
      <c r="AD17" s="224"/>
      <c r="AE17" s="224"/>
      <c r="AF17" s="224"/>
      <c r="AG17" s="224"/>
      <c r="AH17" s="224"/>
      <c r="AI17" s="224"/>
      <c r="AJ17" s="224"/>
      <c r="AK17" s="224"/>
      <c r="AL17" s="224"/>
      <c r="AM17" s="224"/>
      <c r="AN17" s="224"/>
      <c r="AO17" s="224"/>
      <c r="AP17" s="224"/>
      <c r="AQ17" s="224"/>
      <c r="AR17" s="224"/>
      <c r="AS17" s="224"/>
      <c r="AT17" s="224"/>
      <c r="AU17" s="224"/>
      <c r="AV17" s="224"/>
      <c r="AW17" s="224"/>
      <c r="AX17" s="224"/>
      <c r="AY17" s="224"/>
      <c r="AZ17" s="224"/>
      <c r="BA17" s="224"/>
      <c r="BB17" s="224"/>
      <c r="BC17" s="224"/>
      <c r="BD17" s="224"/>
      <c r="BE17" s="224"/>
      <c r="BF17" s="224"/>
      <c r="BG17" s="224"/>
      <c r="BH17" s="224"/>
      <c r="BI17" s="224"/>
      <c r="BJ17" s="224"/>
      <c r="BK17" s="224"/>
      <c r="BL17" s="224"/>
      <c r="BM17" s="224"/>
      <c r="BN17" s="224"/>
      <c r="BO17" s="224"/>
      <c r="BP17" s="224"/>
      <c r="BQ17" s="224"/>
      <c r="BR17" s="224"/>
      <c r="BS17" s="224"/>
      <c r="BT17" s="224">
        <f t="shared" si="0"/>
        <v>0</v>
      </c>
      <c r="BU17" s="221" t="s">
        <v>1200</v>
      </c>
      <c r="BV17" s="224"/>
    </row>
    <row r="18" spans="2:74" x14ac:dyDescent="0.3">
      <c r="B18" s="267" t="s">
        <v>832</v>
      </c>
      <c r="C18" s="244">
        <v>15</v>
      </c>
      <c r="D18" s="245" t="s">
        <v>845</v>
      </c>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3"/>
      <c r="BM18" s="243"/>
      <c r="BN18" s="243"/>
      <c r="BO18" s="243"/>
      <c r="BP18" s="243"/>
      <c r="BQ18" s="243"/>
      <c r="BR18" s="243"/>
      <c r="BS18" s="243"/>
      <c r="BT18" s="243">
        <f t="shared" si="0"/>
        <v>0</v>
      </c>
      <c r="BU18" s="246"/>
      <c r="BV18" s="224"/>
    </row>
    <row r="19" spans="2:74" ht="82.8" x14ac:dyDescent="0.3">
      <c r="B19" s="129" t="s">
        <v>832</v>
      </c>
      <c r="C19" s="244">
        <v>16</v>
      </c>
      <c r="D19" s="131" t="s">
        <v>1069</v>
      </c>
      <c r="E19" s="224"/>
      <c r="F19" s="224"/>
      <c r="G19" s="224"/>
      <c r="H19" s="224"/>
      <c r="I19" s="224"/>
      <c r="J19" s="224"/>
      <c r="K19" s="224"/>
      <c r="L19" s="224"/>
      <c r="M19" s="224"/>
      <c r="N19" s="224"/>
      <c r="O19" s="224"/>
      <c r="P19" s="224"/>
      <c r="Q19" s="224"/>
      <c r="R19" s="224"/>
      <c r="S19" s="224"/>
      <c r="T19" s="224"/>
      <c r="U19" s="224"/>
      <c r="V19" s="224"/>
      <c r="W19" s="224"/>
      <c r="X19" s="224"/>
      <c r="Y19" s="224"/>
      <c r="Z19" s="224"/>
      <c r="AA19" s="224"/>
      <c r="AB19" s="224"/>
      <c r="AC19" s="224"/>
      <c r="AD19" s="224"/>
      <c r="AE19" s="224"/>
      <c r="AF19" s="224"/>
      <c r="AG19" s="224"/>
      <c r="AH19" s="224"/>
      <c r="AI19" s="224"/>
      <c r="AJ19" s="224"/>
      <c r="AK19" s="224"/>
      <c r="AL19" s="224"/>
      <c r="AM19" s="224"/>
      <c r="AN19" s="224"/>
      <c r="AO19" s="224"/>
      <c r="AP19" s="224"/>
      <c r="AQ19" s="224"/>
      <c r="AR19" s="224"/>
      <c r="AS19" s="224"/>
      <c r="AT19" s="224"/>
      <c r="AU19" s="224"/>
      <c r="AV19" s="224"/>
      <c r="AW19" s="224"/>
      <c r="AX19" s="224"/>
      <c r="AY19" s="224"/>
      <c r="AZ19" s="224"/>
      <c r="BA19" s="224"/>
      <c r="BB19" s="224"/>
      <c r="BC19" s="224"/>
      <c r="BD19" s="224"/>
      <c r="BE19" s="224"/>
      <c r="BF19" s="224"/>
      <c r="BG19" s="224"/>
      <c r="BH19" s="224"/>
      <c r="BI19" s="224"/>
      <c r="BJ19" s="224"/>
      <c r="BK19" s="224"/>
      <c r="BL19" s="224"/>
      <c r="BM19" s="224"/>
      <c r="BN19" s="224"/>
      <c r="BO19" s="224"/>
      <c r="BP19" s="224"/>
      <c r="BQ19" s="224"/>
      <c r="BR19" s="224"/>
      <c r="BS19" s="224"/>
      <c r="BT19" s="224">
        <f t="shared" si="0"/>
        <v>0</v>
      </c>
      <c r="BU19" s="221" t="s">
        <v>1201</v>
      </c>
      <c r="BV19" s="224"/>
    </row>
    <row r="20" spans="2:74" x14ac:dyDescent="0.3">
      <c r="B20" s="267" t="s">
        <v>832</v>
      </c>
      <c r="C20" s="244">
        <v>17</v>
      </c>
      <c r="D20" s="245" t="s">
        <v>845</v>
      </c>
      <c r="E20" s="243"/>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c r="AE20" s="243"/>
      <c r="AF20" s="243"/>
      <c r="AG20" s="243"/>
      <c r="AH20" s="243"/>
      <c r="AI20" s="243"/>
      <c r="AJ20" s="243"/>
      <c r="AK20" s="243"/>
      <c r="AL20" s="243"/>
      <c r="AM20" s="243"/>
      <c r="AN20" s="243"/>
      <c r="AO20" s="243"/>
      <c r="AP20" s="243"/>
      <c r="AQ20" s="243"/>
      <c r="AR20" s="243"/>
      <c r="AS20" s="243"/>
      <c r="AT20" s="243"/>
      <c r="AU20" s="243"/>
      <c r="AV20" s="243"/>
      <c r="AW20" s="243"/>
      <c r="AX20" s="243"/>
      <c r="AY20" s="243"/>
      <c r="AZ20" s="243"/>
      <c r="BA20" s="243"/>
      <c r="BB20" s="243"/>
      <c r="BC20" s="243"/>
      <c r="BD20" s="243"/>
      <c r="BE20" s="243"/>
      <c r="BF20" s="243"/>
      <c r="BG20" s="243"/>
      <c r="BH20" s="243"/>
      <c r="BI20" s="243"/>
      <c r="BJ20" s="243"/>
      <c r="BK20" s="243"/>
      <c r="BL20" s="243"/>
      <c r="BM20" s="243"/>
      <c r="BN20" s="243"/>
      <c r="BO20" s="243"/>
      <c r="BP20" s="243"/>
      <c r="BQ20" s="243"/>
      <c r="BR20" s="243"/>
      <c r="BS20" s="243"/>
      <c r="BT20" s="243">
        <f t="shared" si="0"/>
        <v>0</v>
      </c>
      <c r="BU20" s="246"/>
      <c r="BV20" s="224"/>
    </row>
    <row r="21" spans="2:74" ht="27.6" x14ac:dyDescent="0.3">
      <c r="B21" s="129" t="s">
        <v>832</v>
      </c>
      <c r="C21" s="244">
        <v>18</v>
      </c>
      <c r="D21" s="131" t="s">
        <v>1071</v>
      </c>
      <c r="E21" s="224"/>
      <c r="F21" s="224"/>
      <c r="G21" s="224"/>
      <c r="H21" s="224"/>
      <c r="I21" s="224"/>
      <c r="J21" s="224"/>
      <c r="K21" s="224"/>
      <c r="L21" s="224"/>
      <c r="M21" s="224"/>
      <c r="N21" s="224"/>
      <c r="O21" s="224"/>
      <c r="P21" s="224"/>
      <c r="Q21" s="224"/>
      <c r="R21" s="224"/>
      <c r="S21" s="224"/>
      <c r="T21" s="224"/>
      <c r="U21" s="224"/>
      <c r="V21" s="224"/>
      <c r="W21" s="224"/>
      <c r="X21" s="224"/>
      <c r="Y21" s="224"/>
      <c r="Z21" s="224"/>
      <c r="AA21" s="224"/>
      <c r="AB21" s="224"/>
      <c r="AC21" s="224"/>
      <c r="AD21" s="224"/>
      <c r="AE21" s="224"/>
      <c r="AF21" s="224"/>
      <c r="AG21" s="224"/>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24"/>
      <c r="BH21" s="224"/>
      <c r="BI21" s="224"/>
      <c r="BJ21" s="224"/>
      <c r="BK21" s="224"/>
      <c r="BL21" s="224"/>
      <c r="BM21" s="224"/>
      <c r="BN21" s="224"/>
      <c r="BO21" s="224"/>
      <c r="BP21" s="224"/>
      <c r="BQ21" s="224"/>
      <c r="BR21" s="224"/>
      <c r="BS21" s="224"/>
      <c r="BT21" s="224">
        <f t="shared" si="0"/>
        <v>0</v>
      </c>
      <c r="BU21" s="221" t="s">
        <v>1201</v>
      </c>
    </row>
    <row r="22" spans="2:74" ht="27.6" x14ac:dyDescent="0.3">
      <c r="B22" s="129" t="s">
        <v>832</v>
      </c>
      <c r="C22" s="244">
        <v>19</v>
      </c>
      <c r="D22" s="131" t="s">
        <v>1073</v>
      </c>
      <c r="E22" s="224"/>
      <c r="F22" s="224"/>
      <c r="G22" s="224"/>
      <c r="H22" s="224"/>
      <c r="I22" s="224"/>
      <c r="J22" s="224"/>
      <c r="K22" s="224"/>
      <c r="L22" s="224"/>
      <c r="M22" s="224"/>
      <c r="N22" s="224"/>
      <c r="O22" s="224"/>
      <c r="P22" s="224"/>
      <c r="Q22" s="224"/>
      <c r="R22" s="224"/>
      <c r="S22" s="224"/>
      <c r="T22" s="224"/>
      <c r="U22" s="224"/>
      <c r="V22" s="224"/>
      <c r="W22" s="224"/>
      <c r="X22" s="224"/>
      <c r="Y22" s="224"/>
      <c r="Z22" s="224"/>
      <c r="AA22" s="224"/>
      <c r="AB22" s="224"/>
      <c r="AC22" s="224"/>
      <c r="AD22" s="224"/>
      <c r="AE22" s="224"/>
      <c r="AF22" s="224"/>
      <c r="AG22" s="224"/>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24"/>
      <c r="BH22" s="224"/>
      <c r="BI22" s="224"/>
      <c r="BJ22" s="224"/>
      <c r="BK22" s="224"/>
      <c r="BL22" s="224"/>
      <c r="BM22" s="224"/>
      <c r="BN22" s="224"/>
      <c r="BO22" s="224"/>
      <c r="BP22" s="224"/>
      <c r="BQ22" s="224"/>
      <c r="BR22" s="224"/>
      <c r="BS22" s="224"/>
      <c r="BT22" s="224">
        <f t="shared" si="0"/>
        <v>0</v>
      </c>
      <c r="BU22" s="221" t="s">
        <v>1201</v>
      </c>
    </row>
    <row r="23" spans="2:74" x14ac:dyDescent="0.3">
      <c r="B23" s="267" t="s">
        <v>832</v>
      </c>
      <c r="C23" s="244">
        <v>20</v>
      </c>
      <c r="D23" s="245" t="s">
        <v>845</v>
      </c>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f t="shared" si="0"/>
        <v>0</v>
      </c>
      <c r="BU23" s="246"/>
    </row>
    <row r="24" spans="2:74" ht="27.6" x14ac:dyDescent="0.3">
      <c r="B24" s="129" t="s">
        <v>832</v>
      </c>
      <c r="C24" s="244">
        <v>21</v>
      </c>
      <c r="D24" s="131" t="s">
        <v>867</v>
      </c>
      <c r="E24" s="224"/>
      <c r="F24" s="224"/>
      <c r="G24" s="224"/>
      <c r="H24" s="224"/>
      <c r="I24" s="224"/>
      <c r="J24" s="224"/>
      <c r="K24" s="224"/>
      <c r="L24" s="224"/>
      <c r="M24" s="224"/>
      <c r="N24" s="224"/>
      <c r="O24" s="224"/>
      <c r="P24" s="224"/>
      <c r="Q24" s="224"/>
      <c r="R24" s="224"/>
      <c r="S24" s="224"/>
      <c r="T24" s="224"/>
      <c r="U24" s="224"/>
      <c r="V24" s="224"/>
      <c r="W24" s="224"/>
      <c r="X24" s="224"/>
      <c r="Y24" s="224"/>
      <c r="Z24" s="224"/>
      <c r="AA24" s="224"/>
      <c r="AB24" s="224"/>
      <c r="AC24" s="224"/>
      <c r="AD24" s="224"/>
      <c r="AE24" s="224"/>
      <c r="AF24" s="224"/>
      <c r="AG24" s="224"/>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c r="BL24" s="224"/>
      <c r="BM24" s="224"/>
      <c r="BN24" s="224"/>
      <c r="BO24" s="224"/>
      <c r="BP24" s="224"/>
      <c r="BQ24" s="224"/>
      <c r="BR24" s="224"/>
      <c r="BS24" s="224"/>
      <c r="BT24" s="224">
        <f t="shared" si="0"/>
        <v>0</v>
      </c>
      <c r="BU24" s="221" t="s">
        <v>1202</v>
      </c>
    </row>
    <row r="25" spans="2:74" ht="69" x14ac:dyDescent="0.3">
      <c r="B25" s="129" t="s">
        <v>832</v>
      </c>
      <c r="C25" s="244">
        <v>22</v>
      </c>
      <c r="D25" s="131" t="s">
        <v>869</v>
      </c>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224"/>
      <c r="BN25" s="224"/>
      <c r="BO25" s="224"/>
      <c r="BP25" s="224"/>
      <c r="BQ25" s="224"/>
      <c r="BR25" s="224"/>
      <c r="BS25" s="224"/>
      <c r="BT25" s="224">
        <f t="shared" si="0"/>
        <v>0</v>
      </c>
      <c r="BU25" s="221" t="s">
        <v>1202</v>
      </c>
    </row>
    <row r="26" spans="2:74" ht="55.2" x14ac:dyDescent="0.3">
      <c r="B26" s="129" t="s">
        <v>832</v>
      </c>
      <c r="C26" s="244">
        <v>23</v>
      </c>
      <c r="D26" s="131" t="s">
        <v>871</v>
      </c>
      <c r="E26" s="224"/>
      <c r="F26" s="224"/>
      <c r="G26" s="224"/>
      <c r="H26" s="224"/>
      <c r="I26" s="224"/>
      <c r="J26" s="224"/>
      <c r="K26" s="224"/>
      <c r="L26" s="224"/>
      <c r="M26" s="224"/>
      <c r="N26" s="224"/>
      <c r="O26" s="224"/>
      <c r="P26" s="224"/>
      <c r="Q26" s="224"/>
      <c r="R26" s="224"/>
      <c r="S26" s="224"/>
      <c r="T26" s="224"/>
      <c r="U26" s="224"/>
      <c r="V26" s="224"/>
      <c r="W26" s="224"/>
      <c r="X26" s="224"/>
      <c r="Y26" s="224"/>
      <c r="Z26" s="224"/>
      <c r="AA26" s="224"/>
      <c r="AB26" s="224"/>
      <c r="AC26" s="224"/>
      <c r="AD26" s="224"/>
      <c r="AE26" s="224"/>
      <c r="AF26" s="224"/>
      <c r="AG26" s="224"/>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24"/>
      <c r="BH26" s="224"/>
      <c r="BI26" s="224"/>
      <c r="BJ26" s="224"/>
      <c r="BK26" s="224"/>
      <c r="BL26" s="224"/>
      <c r="BM26" s="224"/>
      <c r="BN26" s="224"/>
      <c r="BO26" s="224"/>
      <c r="BP26" s="224"/>
      <c r="BQ26" s="224"/>
      <c r="BR26" s="224"/>
      <c r="BS26" s="224"/>
      <c r="BT26" s="224">
        <f t="shared" si="0"/>
        <v>0</v>
      </c>
      <c r="BU26" s="221" t="s">
        <v>1203</v>
      </c>
    </row>
    <row r="27" spans="2:74" ht="55.2" x14ac:dyDescent="0.3">
      <c r="B27" s="129" t="s">
        <v>832</v>
      </c>
      <c r="C27" s="244">
        <v>24</v>
      </c>
      <c r="D27" s="131" t="s">
        <v>873</v>
      </c>
      <c r="E27" s="224"/>
      <c r="F27" s="224"/>
      <c r="G27" s="224"/>
      <c r="H27" s="224"/>
      <c r="I27" s="224"/>
      <c r="J27" s="224"/>
      <c r="K27" s="224"/>
      <c r="L27" s="224"/>
      <c r="M27" s="224"/>
      <c r="N27" s="224"/>
      <c r="O27" s="224"/>
      <c r="P27" s="224"/>
      <c r="Q27" s="224"/>
      <c r="R27" s="224"/>
      <c r="S27" s="224"/>
      <c r="T27" s="224"/>
      <c r="U27" s="224"/>
      <c r="V27" s="224"/>
      <c r="W27" s="224"/>
      <c r="X27" s="224"/>
      <c r="Y27" s="224"/>
      <c r="Z27" s="224"/>
      <c r="AA27" s="224"/>
      <c r="AB27" s="224"/>
      <c r="AC27" s="224"/>
      <c r="AD27" s="224"/>
      <c r="AE27" s="224"/>
      <c r="AF27" s="224"/>
      <c r="AG27" s="224"/>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24"/>
      <c r="BH27" s="224"/>
      <c r="BI27" s="224"/>
      <c r="BJ27" s="224"/>
      <c r="BK27" s="224"/>
      <c r="BL27" s="224"/>
      <c r="BM27" s="224"/>
      <c r="BN27" s="224"/>
      <c r="BO27" s="224"/>
      <c r="BP27" s="224"/>
      <c r="BQ27" s="224"/>
      <c r="BR27" s="224"/>
      <c r="BS27" s="224"/>
      <c r="BT27" s="224"/>
      <c r="BU27" s="221" t="s">
        <v>1203</v>
      </c>
    </row>
    <row r="28" spans="2:74" ht="27.6" x14ac:dyDescent="0.3">
      <c r="B28" s="129" t="s">
        <v>832</v>
      </c>
      <c r="C28" s="244">
        <v>25</v>
      </c>
      <c r="D28" s="131" t="s">
        <v>875</v>
      </c>
      <c r="E28" s="224"/>
      <c r="F28" s="224"/>
      <c r="G28" s="224"/>
      <c r="H28" s="224"/>
      <c r="I28" s="224"/>
      <c r="J28" s="224"/>
      <c r="K28" s="224"/>
      <c r="L28" s="224"/>
      <c r="M28" s="224"/>
      <c r="N28" s="224"/>
      <c r="O28" s="224"/>
      <c r="P28" s="224"/>
      <c r="Q28" s="224"/>
      <c r="R28" s="224"/>
      <c r="S28" s="224"/>
      <c r="T28" s="224"/>
      <c r="U28" s="224"/>
      <c r="V28" s="224"/>
      <c r="W28" s="224"/>
      <c r="X28" s="224"/>
      <c r="Y28" s="224"/>
      <c r="Z28" s="224"/>
      <c r="AA28" s="224"/>
      <c r="AB28" s="224"/>
      <c r="AC28" s="224"/>
      <c r="AD28" s="224"/>
      <c r="AE28" s="224"/>
      <c r="AF28" s="224"/>
      <c r="AG28" s="224"/>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24"/>
      <c r="BH28" s="224"/>
      <c r="BI28" s="224"/>
      <c r="BJ28" s="224"/>
      <c r="BK28" s="224"/>
      <c r="BL28" s="224"/>
      <c r="BM28" s="224"/>
      <c r="BN28" s="224"/>
      <c r="BO28" s="224"/>
      <c r="BP28" s="224"/>
      <c r="BQ28" s="224"/>
      <c r="BR28" s="224"/>
      <c r="BS28" s="224"/>
      <c r="BT28" s="224"/>
      <c r="BU28" s="221" t="s">
        <v>1203</v>
      </c>
    </row>
    <row r="29" spans="2:74" ht="41.4" x14ac:dyDescent="0.3">
      <c r="B29" s="129" t="s">
        <v>832</v>
      </c>
      <c r="C29" s="244">
        <v>26</v>
      </c>
      <c r="D29" s="131" t="s">
        <v>877</v>
      </c>
      <c r="E29" s="224"/>
      <c r="F29" s="224"/>
      <c r="G29" s="224"/>
      <c r="H29" s="224"/>
      <c r="I29" s="224"/>
      <c r="J29" s="224"/>
      <c r="K29" s="224"/>
      <c r="L29" s="224"/>
      <c r="M29" s="224"/>
      <c r="N29" s="224"/>
      <c r="O29" s="224"/>
      <c r="P29" s="224"/>
      <c r="Q29" s="224"/>
      <c r="R29" s="224"/>
      <c r="S29" s="224"/>
      <c r="T29" s="224"/>
      <c r="U29" s="224"/>
      <c r="V29" s="224"/>
      <c r="W29" s="224"/>
      <c r="X29" s="224"/>
      <c r="Y29" s="224"/>
      <c r="Z29" s="224"/>
      <c r="AA29" s="224"/>
      <c r="AB29" s="224"/>
      <c r="AC29" s="224"/>
      <c r="AD29" s="224"/>
      <c r="AE29" s="224"/>
      <c r="AF29" s="224"/>
      <c r="AG29" s="224"/>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24"/>
      <c r="BH29" s="224"/>
      <c r="BI29" s="224"/>
      <c r="BJ29" s="224"/>
      <c r="BK29" s="224"/>
      <c r="BL29" s="224"/>
      <c r="BM29" s="224"/>
      <c r="BN29" s="224"/>
      <c r="BO29" s="224"/>
      <c r="BP29" s="224"/>
      <c r="BQ29" s="224"/>
      <c r="BR29" s="224"/>
      <c r="BS29" s="224"/>
      <c r="BT29" s="224"/>
      <c r="BU29" s="221" t="s">
        <v>1203</v>
      </c>
    </row>
    <row r="30" spans="2:74" ht="55.2" x14ac:dyDescent="0.3">
      <c r="B30" s="129" t="s">
        <v>832</v>
      </c>
      <c r="C30" s="244">
        <v>27</v>
      </c>
      <c r="D30" s="131" t="s">
        <v>879</v>
      </c>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24"/>
      <c r="BH30" s="224"/>
      <c r="BI30" s="224"/>
      <c r="BJ30" s="224"/>
      <c r="BK30" s="224"/>
      <c r="BL30" s="224"/>
      <c r="BM30" s="224"/>
      <c r="BN30" s="224"/>
      <c r="BO30" s="224"/>
      <c r="BP30" s="224"/>
      <c r="BQ30" s="224"/>
      <c r="BR30" s="224"/>
      <c r="BS30" s="224"/>
      <c r="BT30" s="224"/>
      <c r="BU30" s="221" t="s">
        <v>1204</v>
      </c>
    </row>
    <row r="31" spans="2:74" ht="41.4" x14ac:dyDescent="0.3">
      <c r="B31" s="129" t="s">
        <v>832</v>
      </c>
      <c r="C31" s="244">
        <v>28</v>
      </c>
      <c r="D31" s="131" t="s">
        <v>881</v>
      </c>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24"/>
      <c r="BH31" s="224"/>
      <c r="BI31" s="224"/>
      <c r="BJ31" s="224"/>
      <c r="BK31" s="224"/>
      <c r="BL31" s="224"/>
      <c r="BM31" s="224"/>
      <c r="BN31" s="224"/>
      <c r="BO31" s="224"/>
      <c r="BP31" s="224"/>
      <c r="BQ31" s="224"/>
      <c r="BR31" s="224"/>
      <c r="BS31" s="224"/>
      <c r="BT31" s="224"/>
      <c r="BU31" s="221" t="s">
        <v>1205</v>
      </c>
    </row>
    <row r="32" spans="2:74" x14ac:dyDescent="0.3">
      <c r="B32" s="267" t="s">
        <v>832</v>
      </c>
      <c r="C32" s="244">
        <v>29</v>
      </c>
      <c r="D32" s="245" t="s">
        <v>845</v>
      </c>
      <c r="E32" s="243"/>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c r="AE32" s="243"/>
      <c r="AF32" s="243"/>
      <c r="AG32" s="243"/>
      <c r="AH32" s="243"/>
      <c r="AI32" s="243"/>
      <c r="AJ32" s="243"/>
      <c r="AK32" s="243"/>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T32" s="243"/>
      <c r="BU32" s="246"/>
    </row>
    <row r="33" spans="2:73" ht="27.6" x14ac:dyDescent="0.3">
      <c r="B33" s="129" t="s">
        <v>832</v>
      </c>
      <c r="C33" s="244">
        <v>30</v>
      </c>
      <c r="D33" s="131" t="s">
        <v>883</v>
      </c>
      <c r="E33" s="224"/>
      <c r="F33" s="224"/>
      <c r="G33" s="224"/>
      <c r="H33" s="224"/>
      <c r="I33" s="224"/>
      <c r="J33" s="224"/>
      <c r="K33" s="224"/>
      <c r="L33" s="224"/>
      <c r="M33" s="224"/>
      <c r="N33" s="224"/>
      <c r="O33" s="224"/>
      <c r="P33" s="224"/>
      <c r="Q33" s="224"/>
      <c r="R33" s="224"/>
      <c r="S33" s="224"/>
      <c r="T33" s="224"/>
      <c r="U33" s="224"/>
      <c r="V33" s="224"/>
      <c r="W33" s="224"/>
      <c r="X33" s="224"/>
      <c r="Y33" s="224"/>
      <c r="Z33" s="224"/>
      <c r="AA33" s="224"/>
      <c r="AB33" s="224"/>
      <c r="AC33" s="224"/>
      <c r="AD33" s="224"/>
      <c r="AE33" s="224"/>
      <c r="AF33" s="224"/>
      <c r="AG33" s="224"/>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24"/>
      <c r="BH33" s="224"/>
      <c r="BI33" s="224"/>
      <c r="BJ33" s="224"/>
      <c r="BK33" s="224"/>
      <c r="BL33" s="224"/>
      <c r="BM33" s="224"/>
      <c r="BN33" s="224"/>
      <c r="BO33" s="224"/>
      <c r="BP33" s="224"/>
      <c r="BQ33" s="224"/>
      <c r="BR33" s="224"/>
      <c r="BS33" s="224"/>
      <c r="BT33" s="224"/>
      <c r="BU33" s="221" t="s">
        <v>1206</v>
      </c>
    </row>
    <row r="34" spans="2:73" ht="41.4" x14ac:dyDescent="0.3">
      <c r="B34" s="129" t="s">
        <v>832</v>
      </c>
      <c r="C34" s="244">
        <v>31</v>
      </c>
      <c r="D34" s="131" t="s">
        <v>885</v>
      </c>
      <c r="E34" s="224"/>
      <c r="F34" s="224"/>
      <c r="G34" s="224"/>
      <c r="H34" s="224"/>
      <c r="I34" s="224"/>
      <c r="J34" s="224"/>
      <c r="K34" s="224"/>
      <c r="L34" s="224"/>
      <c r="M34" s="224"/>
      <c r="N34" s="224"/>
      <c r="O34" s="224"/>
      <c r="P34" s="224"/>
      <c r="Q34" s="224"/>
      <c r="R34" s="224"/>
      <c r="S34" s="224"/>
      <c r="T34" s="224"/>
      <c r="U34" s="224"/>
      <c r="V34" s="224"/>
      <c r="W34" s="224"/>
      <c r="X34" s="224"/>
      <c r="Y34" s="224"/>
      <c r="Z34" s="224"/>
      <c r="AA34" s="224"/>
      <c r="AB34" s="224"/>
      <c r="AC34" s="224"/>
      <c r="AD34" s="224"/>
      <c r="AE34" s="224"/>
      <c r="AF34" s="224"/>
      <c r="AG34" s="224"/>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24"/>
      <c r="BH34" s="224"/>
      <c r="BI34" s="224"/>
      <c r="BJ34" s="224"/>
      <c r="BK34" s="224"/>
      <c r="BL34" s="224"/>
      <c r="BM34" s="224"/>
      <c r="BN34" s="224"/>
      <c r="BO34" s="224"/>
      <c r="BP34" s="224"/>
      <c r="BQ34" s="224"/>
      <c r="BR34" s="224"/>
      <c r="BS34" s="224"/>
      <c r="BT34" s="224"/>
      <c r="BU34" s="221" t="s">
        <v>1206</v>
      </c>
    </row>
    <row r="35" spans="2:73" ht="27.6" x14ac:dyDescent="0.3">
      <c r="B35" s="129" t="s">
        <v>832</v>
      </c>
      <c r="C35" s="244">
        <v>32</v>
      </c>
      <c r="D35" s="131" t="s">
        <v>887</v>
      </c>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24"/>
      <c r="BH35" s="224"/>
      <c r="BI35" s="224"/>
      <c r="BJ35" s="224"/>
      <c r="BK35" s="224"/>
      <c r="BL35" s="224"/>
      <c r="BM35" s="224"/>
      <c r="BN35" s="224"/>
      <c r="BO35" s="224"/>
      <c r="BP35" s="224"/>
      <c r="BQ35" s="224"/>
      <c r="BR35" s="224"/>
      <c r="BS35" s="224"/>
      <c r="BT35" s="224"/>
      <c r="BU35" s="221" t="s">
        <v>1206</v>
      </c>
    </row>
    <row r="36" spans="2:73" ht="41.4" x14ac:dyDescent="0.3">
      <c r="B36" s="129" t="s">
        <v>832</v>
      </c>
      <c r="C36" s="244">
        <v>33</v>
      </c>
      <c r="D36" s="131" t="s">
        <v>889</v>
      </c>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24"/>
      <c r="BH36" s="224"/>
      <c r="BI36" s="224"/>
      <c r="BJ36" s="224"/>
      <c r="BK36" s="224"/>
      <c r="BL36" s="224"/>
      <c r="BM36" s="224"/>
      <c r="BN36" s="224"/>
      <c r="BO36" s="224"/>
      <c r="BP36" s="224"/>
      <c r="BQ36" s="224"/>
      <c r="BR36" s="224"/>
      <c r="BS36" s="224"/>
      <c r="BT36" s="224"/>
      <c r="BU36" s="221" t="s">
        <v>1207</v>
      </c>
    </row>
    <row r="37" spans="2:73" ht="41.4" x14ac:dyDescent="0.3">
      <c r="B37" s="129" t="s">
        <v>832</v>
      </c>
      <c r="C37" s="244">
        <v>34</v>
      </c>
      <c r="D37" s="131" t="s">
        <v>891</v>
      </c>
      <c r="E37" s="224"/>
      <c r="F37" s="224"/>
      <c r="G37" s="224"/>
      <c r="H37" s="224"/>
      <c r="I37" s="224"/>
      <c r="J37" s="224"/>
      <c r="K37" s="224"/>
      <c r="L37" s="224"/>
      <c r="M37" s="224"/>
      <c r="N37" s="224"/>
      <c r="O37" s="224"/>
      <c r="P37" s="224"/>
      <c r="Q37" s="224"/>
      <c r="R37" s="224"/>
      <c r="S37" s="224"/>
      <c r="T37" s="224"/>
      <c r="U37" s="224"/>
      <c r="V37" s="224"/>
      <c r="W37" s="224"/>
      <c r="X37" s="224"/>
      <c r="Y37" s="224"/>
      <c r="Z37" s="224"/>
      <c r="AA37" s="224"/>
      <c r="AB37" s="224"/>
      <c r="AC37" s="224"/>
      <c r="AD37" s="224"/>
      <c r="AE37" s="224"/>
      <c r="AF37" s="224"/>
      <c r="AG37" s="224"/>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24"/>
      <c r="BH37" s="224"/>
      <c r="BI37" s="224"/>
      <c r="BJ37" s="224"/>
      <c r="BK37" s="224"/>
      <c r="BL37" s="224"/>
      <c r="BM37" s="224"/>
      <c r="BN37" s="224"/>
      <c r="BO37" s="224"/>
      <c r="BP37" s="224"/>
      <c r="BQ37" s="224"/>
      <c r="BR37" s="224"/>
      <c r="BS37" s="224"/>
      <c r="BT37" s="224"/>
      <c r="BU37" s="221" t="s">
        <v>1208</v>
      </c>
    </row>
    <row r="38" spans="2:73" x14ac:dyDescent="0.3">
      <c r="B38" s="267" t="s">
        <v>832</v>
      </c>
      <c r="C38" s="244">
        <v>35</v>
      </c>
      <c r="D38" s="245" t="s">
        <v>845</v>
      </c>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243"/>
      <c r="AF38" s="243"/>
      <c r="AG38" s="243"/>
      <c r="AH38" s="243"/>
      <c r="AI38" s="243"/>
      <c r="AJ38" s="243"/>
      <c r="AK38" s="243"/>
      <c r="AL38" s="243"/>
      <c r="AM38" s="243"/>
      <c r="AN38" s="243"/>
      <c r="AO38" s="243"/>
      <c r="AP38" s="243"/>
      <c r="AQ38" s="243"/>
      <c r="AR38" s="243"/>
      <c r="AS38" s="243"/>
      <c r="AT38" s="243"/>
      <c r="AU38" s="243"/>
      <c r="AV38" s="243"/>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T38" s="243"/>
      <c r="BU38" s="246"/>
    </row>
    <row r="39" spans="2:73" ht="41.4" x14ac:dyDescent="0.3">
      <c r="B39" s="129" t="s">
        <v>832</v>
      </c>
      <c r="C39" s="244">
        <v>36</v>
      </c>
      <c r="D39" s="131" t="s">
        <v>893</v>
      </c>
      <c r="E39" s="224"/>
      <c r="F39" s="224"/>
      <c r="G39" s="224"/>
      <c r="H39" s="224"/>
      <c r="I39" s="224"/>
      <c r="J39" s="224"/>
      <c r="K39" s="224"/>
      <c r="L39" s="224"/>
      <c r="M39" s="224"/>
      <c r="N39" s="224"/>
      <c r="O39" s="224"/>
      <c r="P39" s="224"/>
      <c r="Q39" s="224"/>
      <c r="R39" s="224"/>
      <c r="S39" s="224"/>
      <c r="T39" s="224"/>
      <c r="U39" s="224"/>
      <c r="V39" s="224"/>
      <c r="W39" s="224"/>
      <c r="X39" s="224"/>
      <c r="Y39" s="224"/>
      <c r="Z39" s="224"/>
      <c r="AA39" s="224"/>
      <c r="AB39" s="224"/>
      <c r="AC39" s="224"/>
      <c r="AD39" s="224"/>
      <c r="AE39" s="224"/>
      <c r="AF39" s="224"/>
      <c r="AG39" s="224"/>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24"/>
      <c r="BH39" s="224"/>
      <c r="BI39" s="224"/>
      <c r="BJ39" s="224"/>
      <c r="BK39" s="224"/>
      <c r="BL39" s="224"/>
      <c r="BM39" s="224"/>
      <c r="BN39" s="224"/>
      <c r="BO39" s="224"/>
      <c r="BP39" s="224"/>
      <c r="BQ39" s="224"/>
      <c r="BR39" s="224"/>
      <c r="BS39" s="224"/>
      <c r="BT39" s="224"/>
      <c r="BU39" s="221" t="s">
        <v>1209</v>
      </c>
    </row>
    <row r="40" spans="2:73" ht="41.4" x14ac:dyDescent="0.3">
      <c r="B40" s="129" t="s">
        <v>832</v>
      </c>
      <c r="C40" s="244">
        <v>37</v>
      </c>
      <c r="D40" s="131" t="s">
        <v>895</v>
      </c>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24"/>
      <c r="BH40" s="224"/>
      <c r="BI40" s="224"/>
      <c r="BJ40" s="224"/>
      <c r="BK40" s="224"/>
      <c r="BL40" s="224"/>
      <c r="BM40" s="224"/>
      <c r="BN40" s="224"/>
      <c r="BO40" s="224"/>
      <c r="BP40" s="224"/>
      <c r="BQ40" s="224"/>
      <c r="BR40" s="224"/>
      <c r="BS40" s="224"/>
      <c r="BT40" s="224"/>
      <c r="BU40" s="221" t="s">
        <v>1209</v>
      </c>
    </row>
    <row r="41" spans="2:73" ht="41.4" x14ac:dyDescent="0.3">
      <c r="B41" s="129" t="s">
        <v>832</v>
      </c>
      <c r="C41" s="244">
        <v>38</v>
      </c>
      <c r="D41" s="131" t="s">
        <v>897</v>
      </c>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24"/>
      <c r="BH41" s="224"/>
      <c r="BI41" s="224"/>
      <c r="BJ41" s="224"/>
      <c r="BK41" s="224"/>
      <c r="BL41" s="224"/>
      <c r="BM41" s="224"/>
      <c r="BN41" s="224"/>
      <c r="BO41" s="224"/>
      <c r="BP41" s="224"/>
      <c r="BQ41" s="224"/>
      <c r="BR41" s="224"/>
      <c r="BS41" s="224"/>
      <c r="BT41" s="224"/>
      <c r="BU41" s="221" t="s">
        <v>1209</v>
      </c>
    </row>
    <row r="42" spans="2:73" ht="41.4" x14ac:dyDescent="0.3">
      <c r="B42" s="129" t="s">
        <v>832</v>
      </c>
      <c r="C42" s="244">
        <v>39</v>
      </c>
      <c r="D42" s="131" t="s">
        <v>899</v>
      </c>
      <c r="E42" s="224"/>
      <c r="F42" s="224"/>
      <c r="G42" s="224"/>
      <c r="H42" s="224"/>
      <c r="I42" s="224"/>
      <c r="J42" s="224"/>
      <c r="K42" s="224"/>
      <c r="L42" s="224"/>
      <c r="M42" s="224"/>
      <c r="N42" s="224"/>
      <c r="O42" s="224"/>
      <c r="P42" s="224"/>
      <c r="Q42" s="224"/>
      <c r="R42" s="224"/>
      <c r="S42" s="224"/>
      <c r="T42" s="224"/>
      <c r="U42" s="224"/>
      <c r="V42" s="224"/>
      <c r="W42" s="224"/>
      <c r="X42" s="224"/>
      <c r="Y42" s="224"/>
      <c r="Z42" s="224"/>
      <c r="AA42" s="224"/>
      <c r="AB42" s="224"/>
      <c r="AC42" s="224"/>
      <c r="AD42" s="224"/>
      <c r="AE42" s="224"/>
      <c r="AF42" s="224"/>
      <c r="AG42" s="224"/>
      <c r="AH42" s="224"/>
      <c r="AI42" s="224"/>
      <c r="AJ42" s="224"/>
      <c r="AK42" s="224"/>
      <c r="AL42" s="224"/>
      <c r="AM42" s="224"/>
      <c r="AN42" s="224"/>
      <c r="AO42" s="224"/>
      <c r="AP42" s="224"/>
      <c r="AQ42" s="224"/>
      <c r="AR42" s="224"/>
      <c r="AS42" s="224"/>
      <c r="AT42" s="224"/>
      <c r="AU42" s="224"/>
      <c r="AV42" s="224"/>
      <c r="AW42" s="224"/>
      <c r="AX42" s="224"/>
      <c r="AY42" s="224"/>
      <c r="AZ42" s="224"/>
      <c r="BA42" s="224"/>
      <c r="BB42" s="224"/>
      <c r="BC42" s="224"/>
      <c r="BD42" s="224"/>
      <c r="BE42" s="224"/>
      <c r="BF42" s="224"/>
      <c r="BG42" s="224"/>
      <c r="BH42" s="224"/>
      <c r="BI42" s="224"/>
      <c r="BJ42" s="224"/>
      <c r="BK42" s="224"/>
      <c r="BL42" s="224"/>
      <c r="BM42" s="224"/>
      <c r="BN42" s="224"/>
      <c r="BO42" s="224"/>
      <c r="BP42" s="224"/>
      <c r="BQ42" s="224"/>
      <c r="BR42" s="224"/>
      <c r="BS42" s="224"/>
      <c r="BT42" s="224"/>
      <c r="BU42" s="221" t="s">
        <v>1209</v>
      </c>
    </row>
    <row r="43" spans="2:73" ht="41.4" x14ac:dyDescent="0.3">
      <c r="B43" s="129" t="s">
        <v>832</v>
      </c>
      <c r="C43" s="244">
        <v>40</v>
      </c>
      <c r="D43" s="131" t="s">
        <v>901</v>
      </c>
      <c r="E43" s="224"/>
      <c r="F43" s="224"/>
      <c r="G43" s="224"/>
      <c r="H43" s="224"/>
      <c r="I43" s="224"/>
      <c r="J43" s="224"/>
      <c r="K43" s="224"/>
      <c r="L43" s="224"/>
      <c r="M43" s="224"/>
      <c r="N43" s="224"/>
      <c r="O43" s="224"/>
      <c r="P43" s="224"/>
      <c r="Q43" s="224"/>
      <c r="R43" s="224"/>
      <c r="S43" s="224"/>
      <c r="T43" s="224"/>
      <c r="U43" s="224"/>
      <c r="V43" s="224"/>
      <c r="W43" s="224"/>
      <c r="X43" s="224"/>
      <c r="Y43" s="224"/>
      <c r="Z43" s="224"/>
      <c r="AA43" s="224"/>
      <c r="AB43" s="224"/>
      <c r="AC43" s="224"/>
      <c r="AD43" s="224"/>
      <c r="AE43" s="224"/>
      <c r="AF43" s="224"/>
      <c r="AG43" s="224"/>
      <c r="AH43" s="224"/>
      <c r="AI43" s="224"/>
      <c r="AJ43" s="224"/>
      <c r="AK43" s="224"/>
      <c r="AL43" s="224"/>
      <c r="AM43" s="224"/>
      <c r="AN43" s="224"/>
      <c r="AO43" s="224"/>
      <c r="AP43" s="224"/>
      <c r="AQ43" s="224"/>
      <c r="AR43" s="224"/>
      <c r="AS43" s="224"/>
      <c r="AT43" s="224"/>
      <c r="AU43" s="224"/>
      <c r="AV43" s="224"/>
      <c r="AW43" s="224"/>
      <c r="AX43" s="224"/>
      <c r="AY43" s="224"/>
      <c r="AZ43" s="224"/>
      <c r="BA43" s="224"/>
      <c r="BB43" s="224"/>
      <c r="BC43" s="224"/>
      <c r="BD43" s="224"/>
      <c r="BE43" s="224"/>
      <c r="BF43" s="224"/>
      <c r="BG43" s="224"/>
      <c r="BH43" s="224"/>
      <c r="BI43" s="224"/>
      <c r="BJ43" s="224"/>
      <c r="BK43" s="224"/>
      <c r="BL43" s="224"/>
      <c r="BM43" s="224"/>
      <c r="BN43" s="224"/>
      <c r="BO43" s="224"/>
      <c r="BP43" s="224"/>
      <c r="BQ43" s="224"/>
      <c r="BR43" s="224"/>
      <c r="BS43" s="224"/>
      <c r="BT43" s="224"/>
      <c r="BU43" s="221" t="s">
        <v>1209</v>
      </c>
    </row>
    <row r="44" spans="2:73" x14ac:dyDescent="0.3">
      <c r="B44" s="267" t="s">
        <v>832</v>
      </c>
      <c r="C44" s="244">
        <v>41</v>
      </c>
      <c r="D44" s="245" t="s">
        <v>845</v>
      </c>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3"/>
      <c r="AI44" s="243"/>
      <c r="AJ44" s="243"/>
      <c r="AK44" s="243"/>
      <c r="AL44" s="243"/>
      <c r="AM44" s="243"/>
      <c r="AN44" s="243"/>
      <c r="AO44" s="243"/>
      <c r="AP44" s="243"/>
      <c r="AQ44" s="243"/>
      <c r="AR44" s="243"/>
      <c r="AS44" s="243"/>
      <c r="AT44" s="243"/>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6"/>
    </row>
    <row r="45" spans="2:73" ht="69" x14ac:dyDescent="0.3">
      <c r="B45" s="129" t="s">
        <v>832</v>
      </c>
      <c r="C45" s="244">
        <v>42</v>
      </c>
      <c r="D45" s="131" t="s">
        <v>903</v>
      </c>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4"/>
      <c r="AI45" s="224"/>
      <c r="AJ45" s="224"/>
      <c r="AK45" s="224"/>
      <c r="AL45" s="224"/>
      <c r="AM45" s="224"/>
      <c r="AN45" s="224"/>
      <c r="AO45" s="224"/>
      <c r="AP45" s="224"/>
      <c r="AQ45" s="224"/>
      <c r="AR45" s="224"/>
      <c r="AS45" s="224"/>
      <c r="AT45" s="224"/>
      <c r="AU45" s="224"/>
      <c r="AV45" s="224"/>
      <c r="AW45" s="224"/>
      <c r="AX45" s="224"/>
      <c r="AY45" s="224"/>
      <c r="AZ45" s="224"/>
      <c r="BA45" s="224"/>
      <c r="BB45" s="224"/>
      <c r="BC45" s="224"/>
      <c r="BD45" s="224"/>
      <c r="BE45" s="224"/>
      <c r="BF45" s="224"/>
      <c r="BG45" s="224"/>
      <c r="BH45" s="224"/>
      <c r="BI45" s="224"/>
      <c r="BJ45" s="224"/>
      <c r="BK45" s="224"/>
      <c r="BL45" s="224"/>
      <c r="BM45" s="224"/>
      <c r="BN45" s="224"/>
      <c r="BO45" s="224"/>
      <c r="BP45" s="224"/>
      <c r="BQ45" s="224"/>
      <c r="BR45" s="224"/>
      <c r="BS45" s="224"/>
      <c r="BT45" s="224"/>
      <c r="BU45" s="221" t="s">
        <v>1210</v>
      </c>
    </row>
    <row r="46" spans="2:73" ht="41.4" x14ac:dyDescent="0.3">
      <c r="B46" s="129" t="s">
        <v>832</v>
      </c>
      <c r="C46" s="244">
        <v>43</v>
      </c>
      <c r="D46" s="131" t="s">
        <v>905</v>
      </c>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4"/>
      <c r="AI46" s="224"/>
      <c r="AJ46" s="224"/>
      <c r="AK46" s="224"/>
      <c r="AL46" s="224"/>
      <c r="AM46" s="224"/>
      <c r="AN46" s="224"/>
      <c r="AO46" s="224"/>
      <c r="AP46" s="224"/>
      <c r="AQ46" s="224"/>
      <c r="AR46" s="224"/>
      <c r="AS46" s="224"/>
      <c r="AT46" s="224"/>
      <c r="AU46" s="224"/>
      <c r="AV46" s="224"/>
      <c r="AW46" s="224"/>
      <c r="AX46" s="224"/>
      <c r="AY46" s="224"/>
      <c r="AZ46" s="224"/>
      <c r="BA46" s="224"/>
      <c r="BB46" s="224"/>
      <c r="BC46" s="224"/>
      <c r="BD46" s="224"/>
      <c r="BE46" s="224"/>
      <c r="BF46" s="224"/>
      <c r="BG46" s="224"/>
      <c r="BH46" s="224"/>
      <c r="BI46" s="224"/>
      <c r="BJ46" s="224"/>
      <c r="BK46" s="224"/>
      <c r="BL46" s="224"/>
      <c r="BM46" s="224"/>
      <c r="BN46" s="224"/>
      <c r="BO46" s="224"/>
      <c r="BP46" s="224"/>
      <c r="BQ46" s="224"/>
      <c r="BR46" s="224"/>
      <c r="BS46" s="224"/>
      <c r="BT46" s="224"/>
      <c r="BU46" s="221" t="s">
        <v>1211</v>
      </c>
    </row>
    <row r="47" spans="2:73" x14ac:dyDescent="0.3">
      <c r="B47" s="267" t="s">
        <v>832</v>
      </c>
      <c r="C47" s="244">
        <v>44</v>
      </c>
      <c r="D47" s="245" t="s">
        <v>845</v>
      </c>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6"/>
    </row>
    <row r="48" spans="2:73" ht="27.6" x14ac:dyDescent="0.3">
      <c r="B48" s="129" t="s">
        <v>832</v>
      </c>
      <c r="C48" s="244">
        <v>45</v>
      </c>
      <c r="D48" s="131" t="s">
        <v>907</v>
      </c>
      <c r="E48" s="224"/>
      <c r="F48" s="224"/>
      <c r="G48" s="224"/>
      <c r="H48" s="224"/>
      <c r="I48" s="224"/>
      <c r="J48" s="224"/>
      <c r="K48" s="224"/>
      <c r="L48" s="224"/>
      <c r="M48" s="224"/>
      <c r="N48" s="224"/>
      <c r="O48" s="224"/>
      <c r="P48" s="224"/>
      <c r="Q48" s="224"/>
      <c r="R48" s="224"/>
      <c r="S48" s="224"/>
      <c r="T48" s="224"/>
      <c r="U48" s="224"/>
      <c r="V48" s="224"/>
      <c r="W48" s="224"/>
      <c r="X48" s="224"/>
      <c r="Y48" s="224"/>
      <c r="Z48" s="224"/>
      <c r="AA48" s="224"/>
      <c r="AB48" s="224"/>
      <c r="AC48" s="224"/>
      <c r="AD48" s="224"/>
      <c r="AE48" s="224"/>
      <c r="AF48" s="224"/>
      <c r="AG48" s="224"/>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24"/>
      <c r="BH48" s="224"/>
      <c r="BI48" s="224"/>
      <c r="BJ48" s="224"/>
      <c r="BK48" s="224"/>
      <c r="BL48" s="224"/>
      <c r="BM48" s="224"/>
      <c r="BN48" s="224"/>
      <c r="BO48" s="224"/>
      <c r="BP48" s="224"/>
      <c r="BQ48" s="224"/>
      <c r="BR48" s="224"/>
      <c r="BS48" s="224"/>
      <c r="BT48" s="224"/>
      <c r="BU48" s="221" t="s">
        <v>1200</v>
      </c>
    </row>
    <row r="49" spans="2:73" ht="27.6" x14ac:dyDescent="0.3">
      <c r="B49" s="129" t="s">
        <v>832</v>
      </c>
      <c r="C49" s="244">
        <v>46</v>
      </c>
      <c r="D49" s="131" t="s">
        <v>909</v>
      </c>
      <c r="E49" s="224"/>
      <c r="F49" s="224"/>
      <c r="G49" s="224"/>
      <c r="H49" s="224"/>
      <c r="I49" s="224"/>
      <c r="J49" s="224"/>
      <c r="K49" s="224"/>
      <c r="L49" s="224"/>
      <c r="M49" s="224"/>
      <c r="N49" s="224"/>
      <c r="O49" s="224"/>
      <c r="P49" s="224"/>
      <c r="Q49" s="224"/>
      <c r="R49" s="224"/>
      <c r="S49" s="224"/>
      <c r="T49" s="224"/>
      <c r="U49" s="224"/>
      <c r="V49" s="224"/>
      <c r="W49" s="224"/>
      <c r="X49" s="224"/>
      <c r="Y49" s="224"/>
      <c r="Z49" s="224"/>
      <c r="AA49" s="224"/>
      <c r="AB49" s="224"/>
      <c r="AC49" s="224"/>
      <c r="AD49" s="224"/>
      <c r="AE49" s="224"/>
      <c r="AF49" s="224"/>
      <c r="AG49" s="224"/>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24"/>
      <c r="BH49" s="224"/>
      <c r="BI49" s="224"/>
      <c r="BJ49" s="224"/>
      <c r="BK49" s="224"/>
      <c r="BL49" s="224"/>
      <c r="BM49" s="224"/>
      <c r="BN49" s="224"/>
      <c r="BO49" s="224"/>
      <c r="BP49" s="224"/>
      <c r="BQ49" s="224"/>
      <c r="BR49" s="224"/>
      <c r="BS49" s="224"/>
      <c r="BT49" s="224"/>
      <c r="BU49" s="221" t="s">
        <v>1200</v>
      </c>
    </row>
    <row r="50" spans="2:73" ht="27.6" x14ac:dyDescent="0.3">
      <c r="B50" s="129" t="s">
        <v>832</v>
      </c>
      <c r="C50" s="244">
        <v>47</v>
      </c>
      <c r="D50" s="131" t="s">
        <v>911</v>
      </c>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24"/>
      <c r="BH50" s="224"/>
      <c r="BI50" s="224"/>
      <c r="BJ50" s="224"/>
      <c r="BK50" s="224"/>
      <c r="BL50" s="224"/>
      <c r="BM50" s="224"/>
      <c r="BN50" s="224"/>
      <c r="BO50" s="224"/>
      <c r="BP50" s="224"/>
      <c r="BQ50" s="224"/>
      <c r="BR50" s="224"/>
      <c r="BS50" s="224"/>
      <c r="BT50" s="224"/>
      <c r="BU50" s="221" t="s">
        <v>1200</v>
      </c>
    </row>
    <row r="51" spans="2:73" x14ac:dyDescent="0.3">
      <c r="B51" s="267" t="s">
        <v>840</v>
      </c>
      <c r="C51" s="244">
        <v>48</v>
      </c>
      <c r="D51" s="245" t="s">
        <v>845</v>
      </c>
      <c r="E51" s="243"/>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c r="AE51" s="243"/>
      <c r="AF51" s="243"/>
      <c r="AG51" s="243"/>
      <c r="AH51" s="243"/>
      <c r="AI51" s="243"/>
      <c r="AJ51" s="243"/>
      <c r="AK51" s="243"/>
      <c r="AL51" s="243"/>
      <c r="AM51" s="243"/>
      <c r="AN51" s="243"/>
      <c r="AO51" s="243"/>
      <c r="AP51" s="243"/>
      <c r="AQ51" s="243"/>
      <c r="AR51" s="243"/>
      <c r="AS51" s="243"/>
      <c r="AT51" s="243"/>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6"/>
    </row>
    <row r="52" spans="2:73" ht="27.6" x14ac:dyDescent="0.3">
      <c r="B52" s="129" t="s">
        <v>840</v>
      </c>
      <c r="C52" s="244">
        <v>49</v>
      </c>
      <c r="D52" s="131" t="s">
        <v>913</v>
      </c>
      <c r="E52" s="224"/>
      <c r="F52" s="224"/>
      <c r="G52" s="224"/>
      <c r="H52" s="224"/>
      <c r="I52" s="224"/>
      <c r="J52" s="224"/>
      <c r="K52" s="224"/>
      <c r="L52" s="224"/>
      <c r="M52" s="224"/>
      <c r="N52" s="224"/>
      <c r="O52" s="224"/>
      <c r="P52" s="224"/>
      <c r="Q52" s="224"/>
      <c r="R52" s="224"/>
      <c r="S52" s="224"/>
      <c r="T52" s="224"/>
      <c r="U52" s="224"/>
      <c r="V52" s="224"/>
      <c r="W52" s="224"/>
      <c r="X52" s="224"/>
      <c r="Y52" s="224"/>
      <c r="Z52" s="224"/>
      <c r="AA52" s="224"/>
      <c r="AB52" s="224"/>
      <c r="AC52" s="224"/>
      <c r="AD52" s="224"/>
      <c r="AE52" s="224"/>
      <c r="AF52" s="224"/>
      <c r="AG52" s="224"/>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24"/>
      <c r="BH52" s="224"/>
      <c r="BI52" s="224"/>
      <c r="BJ52" s="224"/>
      <c r="BK52" s="224"/>
      <c r="BL52" s="224"/>
      <c r="BM52" s="224"/>
      <c r="BN52" s="224"/>
      <c r="BO52" s="224"/>
      <c r="BP52" s="224"/>
      <c r="BQ52" s="224"/>
      <c r="BR52" s="224"/>
      <c r="BS52" s="224"/>
      <c r="BT52" s="224"/>
      <c r="BU52" s="221" t="s">
        <v>1212</v>
      </c>
    </row>
    <row r="53" spans="2:73" ht="41.4" x14ac:dyDescent="0.3">
      <c r="B53" s="129" t="s">
        <v>840</v>
      </c>
      <c r="C53" s="244">
        <v>50</v>
      </c>
      <c r="D53" s="131" t="s">
        <v>1065</v>
      </c>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24"/>
      <c r="AD53" s="224"/>
      <c r="AE53" s="224"/>
      <c r="AF53" s="224"/>
      <c r="AG53" s="224"/>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24"/>
      <c r="BH53" s="224"/>
      <c r="BI53" s="224"/>
      <c r="BJ53" s="224"/>
      <c r="BK53" s="224"/>
      <c r="BL53" s="224"/>
      <c r="BM53" s="224"/>
      <c r="BN53" s="224"/>
      <c r="BO53" s="224"/>
      <c r="BP53" s="224"/>
      <c r="BQ53" s="224"/>
      <c r="BR53" s="224"/>
      <c r="BS53" s="224"/>
      <c r="BT53" s="224"/>
      <c r="BU53" s="221" t="s">
        <v>1214</v>
      </c>
    </row>
    <row r="54" spans="2:73" ht="55.2" x14ac:dyDescent="0.3">
      <c r="B54" s="129" t="s">
        <v>840</v>
      </c>
      <c r="C54" s="244">
        <v>51</v>
      </c>
      <c r="D54" s="131" t="s">
        <v>915</v>
      </c>
      <c r="E54" s="224"/>
      <c r="F54" s="224"/>
      <c r="G54" s="224"/>
      <c r="H54" s="224"/>
      <c r="I54" s="224"/>
      <c r="J54" s="224"/>
      <c r="K54" s="224"/>
      <c r="L54" s="224"/>
      <c r="M54" s="224"/>
      <c r="N54" s="224"/>
      <c r="O54" s="224"/>
      <c r="P54" s="224"/>
      <c r="Q54" s="224"/>
      <c r="R54" s="224"/>
      <c r="S54" s="224"/>
      <c r="T54" s="224"/>
      <c r="U54" s="224"/>
      <c r="V54" s="224"/>
      <c r="W54" s="224"/>
      <c r="X54" s="224"/>
      <c r="Y54" s="224"/>
      <c r="Z54" s="224"/>
      <c r="AA54" s="224"/>
      <c r="AB54" s="224"/>
      <c r="AC54" s="224"/>
      <c r="AD54" s="224"/>
      <c r="AE54" s="224"/>
      <c r="AF54" s="224"/>
      <c r="AG54" s="224"/>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24"/>
      <c r="BH54" s="224"/>
      <c r="BI54" s="224"/>
      <c r="BJ54" s="224"/>
      <c r="BK54" s="224"/>
      <c r="BL54" s="224"/>
      <c r="BM54" s="224"/>
      <c r="BN54" s="224"/>
      <c r="BO54" s="224"/>
      <c r="BP54" s="224"/>
      <c r="BQ54" s="224"/>
      <c r="BR54" s="224"/>
      <c r="BS54" s="224"/>
      <c r="BT54" s="224"/>
      <c r="BU54" s="221" t="s">
        <v>1214</v>
      </c>
    </row>
    <row r="55" spans="2:73" ht="41.4" x14ac:dyDescent="0.3">
      <c r="B55" s="129" t="s">
        <v>840</v>
      </c>
      <c r="C55" s="244">
        <v>52</v>
      </c>
      <c r="D55" s="131" t="s">
        <v>917</v>
      </c>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24"/>
      <c r="BH55" s="224"/>
      <c r="BI55" s="224"/>
      <c r="BJ55" s="224"/>
      <c r="BK55" s="224"/>
      <c r="BL55" s="224"/>
      <c r="BM55" s="224"/>
      <c r="BN55" s="224"/>
      <c r="BO55" s="224"/>
      <c r="BP55" s="224"/>
      <c r="BQ55" s="224"/>
      <c r="BR55" s="224"/>
      <c r="BS55" s="224"/>
      <c r="BT55" s="224"/>
      <c r="BU55" s="221" t="s">
        <v>1214</v>
      </c>
    </row>
    <row r="56" spans="2:73" ht="41.4" x14ac:dyDescent="0.3">
      <c r="B56" s="129" t="s">
        <v>840</v>
      </c>
      <c r="C56" s="244">
        <v>53</v>
      </c>
      <c r="D56" s="131" t="s">
        <v>919</v>
      </c>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24"/>
      <c r="BH56" s="224"/>
      <c r="BI56" s="224"/>
      <c r="BJ56" s="224"/>
      <c r="BK56" s="224"/>
      <c r="BL56" s="224"/>
      <c r="BM56" s="224"/>
      <c r="BN56" s="224"/>
      <c r="BO56" s="224"/>
      <c r="BP56" s="224"/>
      <c r="BQ56" s="224"/>
      <c r="BR56" s="224"/>
      <c r="BS56" s="224"/>
      <c r="BT56" s="224"/>
      <c r="BU56" s="221" t="s">
        <v>1212</v>
      </c>
    </row>
    <row r="57" spans="2:73" ht="55.2" x14ac:dyDescent="0.3">
      <c r="B57" s="129" t="s">
        <v>840</v>
      </c>
      <c r="C57" s="244">
        <v>54</v>
      </c>
      <c r="D57" s="131" t="s">
        <v>921</v>
      </c>
      <c r="E57" s="224"/>
      <c r="F57" s="224"/>
      <c r="G57" s="224"/>
      <c r="H57" s="224"/>
      <c r="I57" s="224"/>
      <c r="J57" s="224"/>
      <c r="K57" s="224"/>
      <c r="L57" s="224"/>
      <c r="M57" s="224"/>
      <c r="N57" s="224"/>
      <c r="O57" s="224"/>
      <c r="P57" s="224"/>
      <c r="Q57" s="224"/>
      <c r="R57" s="224"/>
      <c r="S57" s="224"/>
      <c r="T57" s="224"/>
      <c r="U57" s="224"/>
      <c r="V57" s="224"/>
      <c r="W57" s="224"/>
      <c r="X57" s="224"/>
      <c r="Y57" s="224"/>
      <c r="Z57" s="224"/>
      <c r="AA57" s="224"/>
      <c r="AB57" s="224"/>
      <c r="AC57" s="224"/>
      <c r="AD57" s="224"/>
      <c r="AE57" s="224"/>
      <c r="AF57" s="224"/>
      <c r="AG57" s="224"/>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24"/>
      <c r="BH57" s="224"/>
      <c r="BI57" s="224"/>
      <c r="BJ57" s="224"/>
      <c r="BK57" s="224"/>
      <c r="BL57" s="224"/>
      <c r="BM57" s="224"/>
      <c r="BN57" s="224"/>
      <c r="BO57" s="224"/>
      <c r="BP57" s="224"/>
      <c r="BQ57" s="224"/>
      <c r="BR57" s="224"/>
      <c r="BS57" s="224"/>
      <c r="BT57" s="224"/>
      <c r="BU57" s="221" t="s">
        <v>1216</v>
      </c>
    </row>
    <row r="58" spans="2:73" ht="41.4" x14ac:dyDescent="0.3">
      <c r="B58" s="129" t="s">
        <v>840</v>
      </c>
      <c r="C58" s="244">
        <v>55</v>
      </c>
      <c r="D58" s="131" t="s">
        <v>924</v>
      </c>
      <c r="E58" s="224"/>
      <c r="F58" s="224"/>
      <c r="G58" s="224"/>
      <c r="H58" s="224"/>
      <c r="I58" s="224"/>
      <c r="J58" s="224"/>
      <c r="K58" s="224"/>
      <c r="L58" s="224"/>
      <c r="M58" s="224"/>
      <c r="N58" s="224"/>
      <c r="O58" s="224"/>
      <c r="P58" s="224"/>
      <c r="Q58" s="224"/>
      <c r="R58" s="224"/>
      <c r="S58" s="224"/>
      <c r="T58" s="224"/>
      <c r="U58" s="224"/>
      <c r="V58" s="224"/>
      <c r="W58" s="224"/>
      <c r="X58" s="224"/>
      <c r="Y58" s="224"/>
      <c r="Z58" s="224"/>
      <c r="AA58" s="224"/>
      <c r="AB58" s="224"/>
      <c r="AC58" s="224"/>
      <c r="AD58" s="224"/>
      <c r="AE58" s="224"/>
      <c r="AF58" s="224"/>
      <c r="AG58" s="224"/>
      <c r="AH58" s="224"/>
      <c r="AI58" s="224"/>
      <c r="AJ58" s="224"/>
      <c r="AK58" s="224"/>
      <c r="AL58" s="224"/>
      <c r="AM58" s="224"/>
      <c r="AN58" s="224"/>
      <c r="AO58" s="224"/>
      <c r="AP58" s="224"/>
      <c r="AQ58" s="224"/>
      <c r="AR58" s="224"/>
      <c r="AS58" s="224"/>
      <c r="AT58" s="224"/>
      <c r="AU58" s="224"/>
      <c r="AV58" s="224"/>
      <c r="AW58" s="224"/>
      <c r="AX58" s="224"/>
      <c r="AY58" s="224"/>
      <c r="AZ58" s="224"/>
      <c r="BA58" s="224"/>
      <c r="BB58" s="224"/>
      <c r="BC58" s="224"/>
      <c r="BD58" s="224"/>
      <c r="BE58" s="224"/>
      <c r="BF58" s="224"/>
      <c r="BG58" s="224"/>
      <c r="BH58" s="224"/>
      <c r="BI58" s="224"/>
      <c r="BJ58" s="224"/>
      <c r="BK58" s="224"/>
      <c r="BL58" s="224"/>
      <c r="BM58" s="224"/>
      <c r="BN58" s="224"/>
      <c r="BO58" s="224"/>
      <c r="BP58" s="224"/>
      <c r="BQ58" s="224"/>
      <c r="BR58" s="224"/>
      <c r="BS58" s="224"/>
      <c r="BT58" s="224"/>
      <c r="BU58" s="221" t="s">
        <v>1215</v>
      </c>
    </row>
    <row r="59" spans="2:73" x14ac:dyDescent="0.3">
      <c r="B59" s="267" t="s">
        <v>840</v>
      </c>
      <c r="C59" s="244">
        <v>56</v>
      </c>
      <c r="D59" s="245" t="s">
        <v>845</v>
      </c>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3"/>
      <c r="AI59" s="243"/>
      <c r="AJ59" s="243"/>
      <c r="AK59" s="243"/>
      <c r="AL59" s="243"/>
      <c r="AM59" s="243"/>
      <c r="AN59" s="243"/>
      <c r="AO59" s="243"/>
      <c r="AP59" s="243"/>
      <c r="AQ59" s="243"/>
      <c r="AR59" s="243"/>
      <c r="AS59" s="243"/>
      <c r="AT59" s="243"/>
      <c r="AU59" s="243"/>
      <c r="AV59" s="243"/>
      <c r="AW59" s="243"/>
      <c r="AX59" s="243"/>
      <c r="AY59" s="243"/>
      <c r="AZ59" s="243"/>
      <c r="BA59" s="243"/>
      <c r="BB59" s="243"/>
      <c r="BC59" s="243"/>
      <c r="BD59" s="243"/>
      <c r="BE59" s="243"/>
      <c r="BF59" s="243"/>
      <c r="BG59" s="243"/>
      <c r="BH59" s="243"/>
      <c r="BI59" s="243"/>
      <c r="BJ59" s="243"/>
      <c r="BK59" s="243"/>
      <c r="BL59" s="243"/>
      <c r="BM59" s="243"/>
      <c r="BN59" s="243"/>
      <c r="BO59" s="243"/>
      <c r="BP59" s="243"/>
      <c r="BQ59" s="243"/>
      <c r="BR59" s="243"/>
      <c r="BS59" s="243"/>
      <c r="BT59" s="243"/>
      <c r="BU59" s="246"/>
    </row>
    <row r="60" spans="2:73" ht="27.6" x14ac:dyDescent="0.3">
      <c r="B60" s="129" t="s">
        <v>840</v>
      </c>
      <c r="C60" s="244">
        <v>57</v>
      </c>
      <c r="D60" s="131" t="s">
        <v>925</v>
      </c>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4"/>
      <c r="AI60" s="224"/>
      <c r="AJ60" s="224"/>
      <c r="AK60" s="224"/>
      <c r="AL60" s="224"/>
      <c r="AM60" s="224"/>
      <c r="AN60" s="224"/>
      <c r="AO60" s="224"/>
      <c r="AP60" s="224"/>
      <c r="AQ60" s="224"/>
      <c r="AR60" s="224"/>
      <c r="AS60" s="224"/>
      <c r="AT60" s="224"/>
      <c r="AU60" s="224"/>
      <c r="AV60" s="224"/>
      <c r="AW60" s="224"/>
      <c r="AX60" s="224"/>
      <c r="AY60" s="224"/>
      <c r="AZ60" s="224"/>
      <c r="BA60" s="224"/>
      <c r="BB60" s="224"/>
      <c r="BC60" s="224"/>
      <c r="BD60" s="224"/>
      <c r="BE60" s="224"/>
      <c r="BF60" s="224"/>
      <c r="BG60" s="224"/>
      <c r="BH60" s="224"/>
      <c r="BI60" s="224"/>
      <c r="BJ60" s="224"/>
      <c r="BK60" s="224"/>
      <c r="BL60" s="224"/>
      <c r="BM60" s="224"/>
      <c r="BN60" s="224"/>
      <c r="BO60" s="224"/>
      <c r="BP60" s="224"/>
      <c r="BQ60" s="224"/>
      <c r="BR60" s="224"/>
      <c r="BS60" s="224"/>
      <c r="BT60" s="224"/>
      <c r="BU60" s="221" t="s">
        <v>1212</v>
      </c>
    </row>
    <row r="61" spans="2:73" ht="27.6" x14ac:dyDescent="0.3">
      <c r="B61" s="129" t="s">
        <v>840</v>
      </c>
      <c r="C61" s="244">
        <v>58</v>
      </c>
      <c r="D61" s="131" t="s">
        <v>927</v>
      </c>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4"/>
      <c r="AI61" s="224"/>
      <c r="AJ61" s="224"/>
      <c r="AK61" s="224"/>
      <c r="AL61" s="224"/>
      <c r="AM61" s="224"/>
      <c r="AN61" s="224"/>
      <c r="AO61" s="224"/>
      <c r="AP61" s="224"/>
      <c r="AQ61" s="224"/>
      <c r="AR61" s="224"/>
      <c r="AS61" s="224"/>
      <c r="AT61" s="224"/>
      <c r="AU61" s="224"/>
      <c r="AV61" s="224"/>
      <c r="AW61" s="224"/>
      <c r="AX61" s="224"/>
      <c r="AY61" s="224"/>
      <c r="AZ61" s="224"/>
      <c r="BA61" s="224"/>
      <c r="BB61" s="224"/>
      <c r="BC61" s="224"/>
      <c r="BD61" s="224"/>
      <c r="BE61" s="224"/>
      <c r="BF61" s="224"/>
      <c r="BG61" s="224"/>
      <c r="BH61" s="224"/>
      <c r="BI61" s="224"/>
      <c r="BJ61" s="224"/>
      <c r="BK61" s="224"/>
      <c r="BL61" s="224"/>
      <c r="BM61" s="224"/>
      <c r="BN61" s="224"/>
      <c r="BO61" s="224"/>
      <c r="BP61" s="224"/>
      <c r="BQ61" s="224"/>
      <c r="BR61" s="224"/>
      <c r="BS61" s="224"/>
      <c r="BT61" s="224"/>
      <c r="BU61" s="221" t="s">
        <v>1217</v>
      </c>
    </row>
    <row r="62" spans="2:73" ht="55.2" x14ac:dyDescent="0.3">
      <c r="B62" s="129" t="s">
        <v>840</v>
      </c>
      <c r="C62" s="244">
        <v>59</v>
      </c>
      <c r="D62" s="131" t="s">
        <v>929</v>
      </c>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4"/>
      <c r="AI62" s="224"/>
      <c r="AJ62" s="224"/>
      <c r="AK62" s="224"/>
      <c r="AL62" s="224"/>
      <c r="AM62" s="224"/>
      <c r="AN62" s="224"/>
      <c r="AO62" s="224"/>
      <c r="AP62" s="224"/>
      <c r="AQ62" s="224"/>
      <c r="AR62" s="224"/>
      <c r="AS62" s="224"/>
      <c r="AT62" s="224"/>
      <c r="AU62" s="224"/>
      <c r="AV62" s="224"/>
      <c r="AW62" s="224"/>
      <c r="AX62" s="224"/>
      <c r="AY62" s="224"/>
      <c r="AZ62" s="224"/>
      <c r="BA62" s="224"/>
      <c r="BB62" s="224"/>
      <c r="BC62" s="224"/>
      <c r="BD62" s="224"/>
      <c r="BE62" s="224"/>
      <c r="BF62" s="224"/>
      <c r="BG62" s="224"/>
      <c r="BH62" s="224"/>
      <c r="BI62" s="224"/>
      <c r="BJ62" s="224"/>
      <c r="BK62" s="224"/>
      <c r="BL62" s="224"/>
      <c r="BM62" s="224"/>
      <c r="BN62" s="224"/>
      <c r="BO62" s="224"/>
      <c r="BP62" s="224"/>
      <c r="BQ62" s="224"/>
      <c r="BR62" s="224"/>
      <c r="BS62" s="224"/>
      <c r="BT62" s="224"/>
      <c r="BU62" s="221" t="s">
        <v>1217</v>
      </c>
    </row>
    <row r="63" spans="2:73" x14ac:dyDescent="0.3">
      <c r="B63" s="267" t="s">
        <v>840</v>
      </c>
      <c r="C63" s="244">
        <v>60</v>
      </c>
      <c r="D63" s="245" t="s">
        <v>845</v>
      </c>
      <c r="E63" s="243"/>
      <c r="F63" s="243"/>
      <c r="G63" s="243"/>
      <c r="H63" s="243"/>
      <c r="I63" s="243"/>
      <c r="J63" s="243"/>
      <c r="K63" s="243"/>
      <c r="L63" s="243"/>
      <c r="M63" s="243"/>
      <c r="N63" s="243"/>
      <c r="O63" s="243"/>
      <c r="P63" s="243"/>
      <c r="Q63" s="243"/>
      <c r="R63" s="243"/>
      <c r="S63" s="243"/>
      <c r="T63" s="243"/>
      <c r="U63" s="243"/>
      <c r="V63" s="243"/>
      <c r="W63" s="243"/>
      <c r="X63" s="243"/>
      <c r="Y63" s="243"/>
      <c r="Z63" s="243"/>
      <c r="AA63" s="243"/>
      <c r="AB63" s="243"/>
      <c r="AC63" s="243"/>
      <c r="AD63" s="243"/>
      <c r="AE63" s="243"/>
      <c r="AF63" s="243"/>
      <c r="AG63" s="243"/>
      <c r="AH63" s="243"/>
      <c r="AI63" s="243"/>
      <c r="AJ63" s="243"/>
      <c r="AK63" s="243"/>
      <c r="AL63" s="243"/>
      <c r="AM63" s="243"/>
      <c r="AN63" s="243"/>
      <c r="AO63" s="243"/>
      <c r="AP63" s="243"/>
      <c r="AQ63" s="243"/>
      <c r="AR63" s="243"/>
      <c r="AS63" s="243"/>
      <c r="AT63" s="243"/>
      <c r="AU63" s="243"/>
      <c r="AV63" s="243"/>
      <c r="AW63" s="243"/>
      <c r="AX63" s="243"/>
      <c r="AY63" s="243"/>
      <c r="AZ63" s="243"/>
      <c r="BA63" s="243"/>
      <c r="BB63" s="243"/>
      <c r="BC63" s="243"/>
      <c r="BD63" s="243"/>
      <c r="BE63" s="243"/>
      <c r="BF63" s="243"/>
      <c r="BG63" s="243"/>
      <c r="BH63" s="243"/>
      <c r="BI63" s="243"/>
      <c r="BJ63" s="243"/>
      <c r="BK63" s="243"/>
      <c r="BL63" s="243"/>
      <c r="BM63" s="243"/>
      <c r="BN63" s="243"/>
      <c r="BO63" s="243"/>
      <c r="BP63" s="243"/>
      <c r="BQ63" s="243"/>
      <c r="BR63" s="243"/>
      <c r="BS63" s="243"/>
      <c r="BT63" s="243"/>
      <c r="BU63" s="246"/>
    </row>
    <row r="64" spans="2:73" ht="41.4" x14ac:dyDescent="0.3">
      <c r="B64" s="129" t="s">
        <v>840</v>
      </c>
      <c r="C64" s="244">
        <v>61</v>
      </c>
      <c r="D64" s="131" t="s">
        <v>931</v>
      </c>
      <c r="E64" s="224"/>
      <c r="F64" s="224"/>
      <c r="G64" s="224"/>
      <c r="H64" s="224"/>
      <c r="I64" s="224"/>
      <c r="J64" s="224"/>
      <c r="K64" s="224"/>
      <c r="L64" s="224"/>
      <c r="M64" s="224"/>
      <c r="N64" s="224"/>
      <c r="O64" s="224"/>
      <c r="P64" s="224"/>
      <c r="Q64" s="224"/>
      <c r="R64" s="224"/>
      <c r="S64" s="224"/>
      <c r="T64" s="224"/>
      <c r="U64" s="224"/>
      <c r="V64" s="224"/>
      <c r="W64" s="224"/>
      <c r="X64" s="224"/>
      <c r="Y64" s="224"/>
      <c r="Z64" s="224"/>
      <c r="AA64" s="224"/>
      <c r="AB64" s="224"/>
      <c r="AC64" s="224"/>
      <c r="AD64" s="224"/>
      <c r="AE64" s="224"/>
      <c r="AF64" s="224"/>
      <c r="AG64" s="224"/>
      <c r="AH64" s="224"/>
      <c r="AI64" s="224"/>
      <c r="AJ64" s="224"/>
      <c r="AK64" s="224"/>
      <c r="AL64" s="224"/>
      <c r="AM64" s="224"/>
      <c r="AN64" s="224"/>
      <c r="AO64" s="224"/>
      <c r="AP64" s="224"/>
      <c r="AQ64" s="224"/>
      <c r="AR64" s="224"/>
      <c r="AS64" s="224"/>
      <c r="AT64" s="224"/>
      <c r="AU64" s="224"/>
      <c r="AV64" s="224"/>
      <c r="AW64" s="224"/>
      <c r="AX64" s="224"/>
      <c r="AY64" s="224"/>
      <c r="AZ64" s="224"/>
      <c r="BA64" s="224"/>
      <c r="BB64" s="224"/>
      <c r="BC64" s="224"/>
      <c r="BD64" s="224"/>
      <c r="BE64" s="224"/>
      <c r="BF64" s="224"/>
      <c r="BG64" s="224"/>
      <c r="BH64" s="224"/>
      <c r="BI64" s="224"/>
      <c r="BJ64" s="224"/>
      <c r="BK64" s="224"/>
      <c r="BL64" s="224"/>
      <c r="BM64" s="224"/>
      <c r="BN64" s="224"/>
      <c r="BO64" s="224"/>
      <c r="BP64" s="224"/>
      <c r="BQ64" s="224"/>
      <c r="BR64" s="224"/>
      <c r="BS64" s="224"/>
      <c r="BT64" s="224"/>
      <c r="BU64" s="221" t="s">
        <v>1214</v>
      </c>
    </row>
    <row r="65" spans="2:74" ht="27.6" x14ac:dyDescent="0.3">
      <c r="B65" s="129" t="s">
        <v>840</v>
      </c>
      <c r="C65" s="244">
        <v>62</v>
      </c>
      <c r="D65" s="131" t="s">
        <v>933</v>
      </c>
      <c r="E65" s="224"/>
      <c r="F65" s="224"/>
      <c r="G65" s="224"/>
      <c r="H65" s="224"/>
      <c r="I65" s="224"/>
      <c r="J65" s="224"/>
      <c r="K65" s="224"/>
      <c r="L65" s="224"/>
      <c r="M65" s="224"/>
      <c r="N65" s="224"/>
      <c r="O65" s="224"/>
      <c r="P65" s="224"/>
      <c r="Q65" s="224"/>
      <c r="R65" s="224"/>
      <c r="S65" s="224"/>
      <c r="T65" s="224"/>
      <c r="U65" s="224"/>
      <c r="V65" s="224"/>
      <c r="W65" s="224"/>
      <c r="X65" s="224"/>
      <c r="Y65" s="224"/>
      <c r="Z65" s="224"/>
      <c r="AA65" s="224"/>
      <c r="AB65" s="224"/>
      <c r="AC65" s="224"/>
      <c r="AD65" s="224"/>
      <c r="AE65" s="224"/>
      <c r="AF65" s="224"/>
      <c r="AG65" s="224"/>
      <c r="AH65" s="224"/>
      <c r="AI65" s="224"/>
      <c r="AJ65" s="224"/>
      <c r="AK65" s="224"/>
      <c r="AL65" s="224"/>
      <c r="AM65" s="224"/>
      <c r="AN65" s="224"/>
      <c r="AO65" s="224"/>
      <c r="AP65" s="224"/>
      <c r="AQ65" s="224"/>
      <c r="AR65" s="224"/>
      <c r="AS65" s="224"/>
      <c r="AT65" s="224"/>
      <c r="AU65" s="224"/>
      <c r="AV65" s="224"/>
      <c r="AW65" s="224"/>
      <c r="AX65" s="224"/>
      <c r="AY65" s="224"/>
      <c r="AZ65" s="224"/>
      <c r="BA65" s="224"/>
      <c r="BB65" s="224"/>
      <c r="BC65" s="224"/>
      <c r="BD65" s="224"/>
      <c r="BE65" s="224"/>
      <c r="BF65" s="224"/>
      <c r="BG65" s="224"/>
      <c r="BH65" s="224"/>
      <c r="BI65" s="224"/>
      <c r="BJ65" s="224"/>
      <c r="BK65" s="224"/>
      <c r="BL65" s="224"/>
      <c r="BM65" s="224"/>
      <c r="BN65" s="224"/>
      <c r="BO65" s="224"/>
      <c r="BP65" s="224"/>
      <c r="BQ65" s="224"/>
      <c r="BR65" s="224"/>
      <c r="BS65" s="224"/>
      <c r="BT65" s="224"/>
      <c r="BU65" s="221" t="s">
        <v>1218</v>
      </c>
    </row>
    <row r="66" spans="2:74" ht="27.6" x14ac:dyDescent="0.3">
      <c r="B66" s="129" t="s">
        <v>840</v>
      </c>
      <c r="C66" s="244">
        <v>63</v>
      </c>
      <c r="D66" s="131" t="s">
        <v>935</v>
      </c>
      <c r="E66" s="224"/>
      <c r="F66" s="224"/>
      <c r="G66" s="224"/>
      <c r="H66" s="224"/>
      <c r="I66" s="224"/>
      <c r="J66" s="224"/>
      <c r="K66" s="224"/>
      <c r="L66" s="224"/>
      <c r="M66" s="224"/>
      <c r="N66" s="224"/>
      <c r="O66" s="224"/>
      <c r="P66" s="224"/>
      <c r="Q66" s="224"/>
      <c r="R66" s="224"/>
      <c r="S66" s="224"/>
      <c r="T66" s="224"/>
      <c r="U66" s="224"/>
      <c r="V66" s="224"/>
      <c r="W66" s="224"/>
      <c r="X66" s="224"/>
      <c r="Y66" s="224"/>
      <c r="Z66" s="224"/>
      <c r="AA66" s="224"/>
      <c r="AB66" s="224"/>
      <c r="AC66" s="224"/>
      <c r="AD66" s="224"/>
      <c r="AE66" s="224"/>
      <c r="AF66" s="224"/>
      <c r="AG66" s="224"/>
      <c r="AH66" s="224"/>
      <c r="AI66" s="224"/>
      <c r="AJ66" s="224"/>
      <c r="AK66" s="224"/>
      <c r="AL66" s="224"/>
      <c r="AM66" s="224"/>
      <c r="AN66" s="224"/>
      <c r="AO66" s="224"/>
      <c r="AP66" s="224"/>
      <c r="AQ66" s="224"/>
      <c r="AR66" s="224"/>
      <c r="AS66" s="224"/>
      <c r="AT66" s="224"/>
      <c r="AU66" s="224"/>
      <c r="AV66" s="224"/>
      <c r="AW66" s="224"/>
      <c r="AX66" s="224"/>
      <c r="AY66" s="224"/>
      <c r="AZ66" s="224"/>
      <c r="BA66" s="224"/>
      <c r="BB66" s="224"/>
      <c r="BC66" s="224"/>
      <c r="BD66" s="224"/>
      <c r="BE66" s="224"/>
      <c r="BF66" s="224"/>
      <c r="BG66" s="224"/>
      <c r="BH66" s="224"/>
      <c r="BI66" s="224"/>
      <c r="BJ66" s="224"/>
      <c r="BK66" s="224"/>
      <c r="BL66" s="224"/>
      <c r="BM66" s="224"/>
      <c r="BN66" s="224"/>
      <c r="BO66" s="224"/>
      <c r="BP66" s="224"/>
      <c r="BQ66" s="224"/>
      <c r="BR66" s="224"/>
      <c r="BS66" s="224"/>
      <c r="BT66" s="224"/>
      <c r="BU66" s="221" t="s">
        <v>1219</v>
      </c>
    </row>
    <row r="67" spans="2:74" ht="55.2" x14ac:dyDescent="0.3">
      <c r="B67" s="129" t="s">
        <v>840</v>
      </c>
      <c r="C67" s="244">
        <v>64</v>
      </c>
      <c r="D67" s="131" t="s">
        <v>1075</v>
      </c>
      <c r="E67" s="224"/>
      <c r="F67" s="224"/>
      <c r="G67" s="224"/>
      <c r="H67" s="224"/>
      <c r="I67" s="224"/>
      <c r="J67" s="224"/>
      <c r="K67" s="224"/>
      <c r="L67" s="224"/>
      <c r="M67" s="224"/>
      <c r="N67" s="224"/>
      <c r="O67" s="224"/>
      <c r="P67" s="224"/>
      <c r="Q67" s="224"/>
      <c r="R67" s="224"/>
      <c r="S67" s="224"/>
      <c r="T67" s="224"/>
      <c r="U67" s="224"/>
      <c r="V67" s="224"/>
      <c r="W67" s="224"/>
      <c r="X67" s="224"/>
      <c r="Y67" s="224"/>
      <c r="Z67" s="224"/>
      <c r="AA67" s="224"/>
      <c r="AB67" s="224"/>
      <c r="AC67" s="224"/>
      <c r="AD67" s="224"/>
      <c r="AE67" s="224"/>
      <c r="AF67" s="224"/>
      <c r="AG67" s="224"/>
      <c r="AH67" s="224"/>
      <c r="AI67" s="224"/>
      <c r="AJ67" s="224"/>
      <c r="AK67" s="224"/>
      <c r="AL67" s="224"/>
      <c r="AM67" s="224"/>
      <c r="AN67" s="224"/>
      <c r="AO67" s="224"/>
      <c r="AP67" s="224"/>
      <c r="AQ67" s="224"/>
      <c r="AR67" s="224"/>
      <c r="AS67" s="224"/>
      <c r="AT67" s="224"/>
      <c r="AU67" s="224"/>
      <c r="AV67" s="224"/>
      <c r="AW67" s="224"/>
      <c r="AX67" s="22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1" t="s">
        <v>1214</v>
      </c>
    </row>
    <row r="68" spans="2:74" ht="27.6" x14ac:dyDescent="0.3">
      <c r="B68" s="129" t="s">
        <v>840</v>
      </c>
      <c r="C68" s="244">
        <v>65</v>
      </c>
      <c r="D68" s="131" t="s">
        <v>936</v>
      </c>
      <c r="E68" s="224"/>
      <c r="F68" s="224"/>
      <c r="G68" s="224"/>
      <c r="H68" s="224"/>
      <c r="I68" s="224"/>
      <c r="J68" s="224"/>
      <c r="K68" s="224"/>
      <c r="L68" s="224"/>
      <c r="M68" s="224"/>
      <c r="N68" s="224"/>
      <c r="O68" s="224"/>
      <c r="P68" s="224"/>
      <c r="Q68" s="224"/>
      <c r="R68" s="224"/>
      <c r="S68" s="224"/>
      <c r="T68" s="224"/>
      <c r="U68" s="224"/>
      <c r="V68" s="224"/>
      <c r="W68" s="224"/>
      <c r="X68" s="224"/>
      <c r="Y68" s="224"/>
      <c r="Z68" s="224"/>
      <c r="AA68" s="224"/>
      <c r="AB68" s="224"/>
      <c r="AC68" s="224"/>
      <c r="AD68" s="224"/>
      <c r="AE68" s="224"/>
      <c r="AF68" s="224"/>
      <c r="AG68" s="224"/>
      <c r="AH68" s="224"/>
      <c r="AI68" s="224"/>
      <c r="AJ68" s="224"/>
      <c r="AK68" s="224"/>
      <c r="AL68" s="224"/>
      <c r="AM68" s="224"/>
      <c r="AN68" s="224"/>
      <c r="AO68" s="224"/>
      <c r="AP68" s="224"/>
      <c r="AQ68" s="224"/>
      <c r="AR68" s="224"/>
      <c r="AS68" s="224"/>
      <c r="AT68" s="224"/>
      <c r="AU68" s="224"/>
      <c r="AV68" s="224"/>
      <c r="AW68" s="224"/>
      <c r="AX68" s="224"/>
      <c r="AY68" s="224"/>
      <c r="AZ68" s="224"/>
      <c r="BA68" s="224"/>
      <c r="BB68" s="224"/>
      <c r="BC68" s="224"/>
      <c r="BD68" s="224"/>
      <c r="BE68" s="224"/>
      <c r="BF68" s="224"/>
      <c r="BG68" s="224"/>
      <c r="BH68" s="224"/>
      <c r="BI68" s="224"/>
      <c r="BJ68" s="224"/>
      <c r="BK68" s="224"/>
      <c r="BL68" s="224"/>
      <c r="BM68" s="224"/>
      <c r="BN68" s="224"/>
      <c r="BO68" s="224"/>
      <c r="BP68" s="224"/>
      <c r="BQ68" s="224"/>
      <c r="BR68" s="224"/>
      <c r="BS68" s="224"/>
      <c r="BT68" s="224"/>
      <c r="BU68" s="221" t="s">
        <v>1214</v>
      </c>
    </row>
    <row r="69" spans="2:74" ht="27.6" x14ac:dyDescent="0.3">
      <c r="B69" s="129" t="s">
        <v>840</v>
      </c>
      <c r="C69" s="244">
        <v>66</v>
      </c>
      <c r="D69" s="131" t="s">
        <v>937</v>
      </c>
      <c r="E69" s="224"/>
      <c r="F69" s="224"/>
      <c r="G69" s="224"/>
      <c r="H69" s="224"/>
      <c r="I69" s="224"/>
      <c r="J69" s="224"/>
      <c r="K69" s="224"/>
      <c r="L69" s="224"/>
      <c r="M69" s="224"/>
      <c r="N69" s="224"/>
      <c r="O69" s="224"/>
      <c r="P69" s="224"/>
      <c r="Q69" s="224"/>
      <c r="R69" s="224"/>
      <c r="S69" s="224"/>
      <c r="T69" s="224"/>
      <c r="U69" s="224"/>
      <c r="V69" s="224"/>
      <c r="W69" s="224"/>
      <c r="X69" s="224"/>
      <c r="Y69" s="224"/>
      <c r="Z69" s="224"/>
      <c r="AA69" s="224"/>
      <c r="AB69" s="224"/>
      <c r="AC69" s="224"/>
      <c r="AD69" s="224"/>
      <c r="AE69" s="224"/>
      <c r="AF69" s="224"/>
      <c r="AG69" s="224"/>
      <c r="AH69" s="224"/>
      <c r="AI69" s="224"/>
      <c r="AJ69" s="224"/>
      <c r="AK69" s="224"/>
      <c r="AL69" s="224"/>
      <c r="AM69" s="224"/>
      <c r="AN69" s="224"/>
      <c r="AO69" s="224"/>
      <c r="AP69" s="224"/>
      <c r="AQ69" s="224"/>
      <c r="AR69" s="224"/>
      <c r="AS69" s="224"/>
      <c r="AT69" s="224"/>
      <c r="AU69" s="224"/>
      <c r="AV69" s="224"/>
      <c r="AW69" s="224"/>
      <c r="AX69" s="224"/>
      <c r="AY69" s="224"/>
      <c r="AZ69" s="224"/>
      <c r="BA69" s="224"/>
      <c r="BB69" s="224"/>
      <c r="BC69" s="224"/>
      <c r="BD69" s="224"/>
      <c r="BE69" s="224"/>
      <c r="BF69" s="224"/>
      <c r="BG69" s="224"/>
      <c r="BH69" s="224"/>
      <c r="BI69" s="224"/>
      <c r="BJ69" s="224"/>
      <c r="BK69" s="224"/>
      <c r="BL69" s="224"/>
      <c r="BM69" s="224"/>
      <c r="BN69" s="224"/>
      <c r="BO69" s="224"/>
      <c r="BP69" s="224"/>
      <c r="BQ69" s="224"/>
      <c r="BR69" s="224"/>
      <c r="BS69" s="224"/>
      <c r="BT69" s="224"/>
      <c r="BU69" s="221" t="s">
        <v>1212</v>
      </c>
    </row>
    <row r="70" spans="2:74" ht="27.6" x14ac:dyDescent="0.3">
      <c r="B70" s="129" t="s">
        <v>840</v>
      </c>
      <c r="C70" s="244">
        <v>67</v>
      </c>
      <c r="D70" s="131" t="s">
        <v>939</v>
      </c>
      <c r="E70" s="224"/>
      <c r="F70" s="224"/>
      <c r="G70" s="224"/>
      <c r="H70" s="224"/>
      <c r="I70" s="224"/>
      <c r="J70" s="224"/>
      <c r="K70" s="224"/>
      <c r="L70" s="224"/>
      <c r="M70" s="224"/>
      <c r="N70" s="224"/>
      <c r="O70" s="224"/>
      <c r="P70" s="224"/>
      <c r="Q70" s="224"/>
      <c r="R70" s="224"/>
      <c r="S70" s="224"/>
      <c r="T70" s="224"/>
      <c r="U70" s="224"/>
      <c r="V70" s="224"/>
      <c r="W70" s="224"/>
      <c r="X70" s="224"/>
      <c r="Y70" s="224"/>
      <c r="Z70" s="224"/>
      <c r="AA70" s="224"/>
      <c r="AB70" s="224"/>
      <c r="AC70" s="224"/>
      <c r="AD70" s="224"/>
      <c r="AE70" s="224"/>
      <c r="AF70" s="224"/>
      <c r="AG70" s="224"/>
      <c r="AH70" s="224"/>
      <c r="AI70" s="224"/>
      <c r="AJ70" s="224"/>
      <c r="AK70" s="224"/>
      <c r="AL70" s="224"/>
      <c r="AM70" s="224"/>
      <c r="AN70" s="224"/>
      <c r="AO70" s="224"/>
      <c r="AP70" s="224"/>
      <c r="AQ70" s="224"/>
      <c r="AR70" s="224"/>
      <c r="AS70" s="224"/>
      <c r="AT70" s="224"/>
      <c r="AU70" s="224"/>
      <c r="AV70" s="224"/>
      <c r="AW70" s="224"/>
      <c r="AX70" s="224"/>
      <c r="AY70" s="224"/>
      <c r="AZ70" s="224"/>
      <c r="BA70" s="224"/>
      <c r="BB70" s="224"/>
      <c r="BC70" s="224"/>
      <c r="BD70" s="224"/>
      <c r="BE70" s="224"/>
      <c r="BF70" s="224"/>
      <c r="BG70" s="224"/>
      <c r="BH70" s="224"/>
      <c r="BI70" s="224"/>
      <c r="BJ70" s="224"/>
      <c r="BK70" s="224"/>
      <c r="BL70" s="224"/>
      <c r="BM70" s="224"/>
      <c r="BN70" s="224"/>
      <c r="BO70" s="224"/>
      <c r="BP70" s="224"/>
      <c r="BQ70" s="224"/>
      <c r="BR70" s="224"/>
      <c r="BS70" s="224"/>
      <c r="BT70" s="224"/>
      <c r="BU70" s="221" t="s">
        <v>1218</v>
      </c>
    </row>
    <row r="71" spans="2:74" x14ac:dyDescent="0.3">
      <c r="B71" s="129" t="s">
        <v>840</v>
      </c>
      <c r="C71" s="244">
        <v>68</v>
      </c>
      <c r="D71" s="131" t="s">
        <v>941</v>
      </c>
      <c r="E71" s="224"/>
      <c r="F71" s="224"/>
      <c r="G71" s="224"/>
      <c r="H71" s="224"/>
      <c r="I71" s="224"/>
      <c r="J71" s="224"/>
      <c r="K71" s="224"/>
      <c r="L71" s="224"/>
      <c r="M71" s="224"/>
      <c r="N71" s="224"/>
      <c r="O71" s="224"/>
      <c r="P71" s="224"/>
      <c r="Q71" s="224"/>
      <c r="R71" s="224"/>
      <c r="S71" s="224"/>
      <c r="T71" s="224"/>
      <c r="U71" s="224"/>
      <c r="V71" s="224"/>
      <c r="W71" s="224"/>
      <c r="X71" s="224"/>
      <c r="Y71" s="224"/>
      <c r="Z71" s="224"/>
      <c r="AA71" s="224"/>
      <c r="AB71" s="224"/>
      <c r="AC71" s="224"/>
      <c r="AD71" s="224"/>
      <c r="AE71" s="224"/>
      <c r="AF71" s="224"/>
      <c r="AG71" s="224"/>
      <c r="AH71" s="224"/>
      <c r="AI71" s="224"/>
      <c r="AJ71" s="224"/>
      <c r="AK71" s="224"/>
      <c r="AL71" s="224"/>
      <c r="AM71" s="224"/>
      <c r="AN71" s="224"/>
      <c r="AO71" s="224"/>
      <c r="AP71" s="224"/>
      <c r="AQ71" s="224"/>
      <c r="AR71" s="224"/>
      <c r="AS71" s="224"/>
      <c r="AT71" s="224"/>
      <c r="AU71" s="224"/>
      <c r="AV71" s="224"/>
      <c r="AW71" s="224"/>
      <c r="AX71" s="224"/>
      <c r="AY71" s="224"/>
      <c r="AZ71" s="224"/>
      <c r="BA71" s="224"/>
      <c r="BB71" s="224"/>
      <c r="BC71" s="224"/>
      <c r="BD71" s="224"/>
      <c r="BE71" s="224"/>
      <c r="BF71" s="224"/>
      <c r="BG71" s="224"/>
      <c r="BH71" s="224"/>
      <c r="BI71" s="224"/>
      <c r="BJ71" s="224"/>
      <c r="BK71" s="224"/>
      <c r="BL71" s="224"/>
      <c r="BM71" s="224"/>
      <c r="BN71" s="224"/>
      <c r="BO71" s="224"/>
      <c r="BP71" s="224"/>
      <c r="BQ71" s="224"/>
      <c r="BR71" s="224"/>
      <c r="BS71" s="224"/>
      <c r="BT71" s="224"/>
      <c r="BU71" s="221" t="s">
        <v>1218</v>
      </c>
    </row>
    <row r="72" spans="2:74" ht="27.6" x14ac:dyDescent="0.3">
      <c r="B72" s="129" t="s">
        <v>840</v>
      </c>
      <c r="C72" s="244">
        <v>69</v>
      </c>
      <c r="D72" s="131" t="s">
        <v>943</v>
      </c>
      <c r="E72" s="224"/>
      <c r="F72" s="224"/>
      <c r="G72" s="224"/>
      <c r="H72" s="224"/>
      <c r="I72" s="224"/>
      <c r="J72" s="224"/>
      <c r="K72" s="224"/>
      <c r="L72" s="224"/>
      <c r="M72" s="224"/>
      <c r="N72" s="224"/>
      <c r="O72" s="224"/>
      <c r="P72" s="224"/>
      <c r="Q72" s="224"/>
      <c r="R72" s="224"/>
      <c r="S72" s="224"/>
      <c r="T72" s="224"/>
      <c r="U72" s="224"/>
      <c r="V72" s="224"/>
      <c r="W72" s="224"/>
      <c r="X72" s="224"/>
      <c r="Y72" s="224"/>
      <c r="Z72" s="224"/>
      <c r="AA72" s="224"/>
      <c r="AB72" s="224"/>
      <c r="AC72" s="224"/>
      <c r="AD72" s="224"/>
      <c r="AE72" s="224"/>
      <c r="AF72" s="224"/>
      <c r="AG72" s="224"/>
      <c r="AH72" s="224"/>
      <c r="AI72" s="224"/>
      <c r="AJ72" s="224"/>
      <c r="AK72" s="224"/>
      <c r="AL72" s="224"/>
      <c r="AM72" s="224"/>
      <c r="AN72" s="224"/>
      <c r="AO72" s="224"/>
      <c r="AP72" s="224"/>
      <c r="AQ72" s="224"/>
      <c r="AR72" s="224"/>
      <c r="AS72" s="224"/>
      <c r="AT72" s="224"/>
      <c r="AU72" s="224"/>
      <c r="AV72" s="224"/>
      <c r="AW72" s="224"/>
      <c r="AX72" s="224"/>
      <c r="AY72" s="224"/>
      <c r="AZ72" s="224"/>
      <c r="BA72" s="224"/>
      <c r="BB72" s="224"/>
      <c r="BC72" s="224"/>
      <c r="BD72" s="224"/>
      <c r="BE72" s="224"/>
      <c r="BF72" s="224"/>
      <c r="BG72" s="224"/>
      <c r="BH72" s="224"/>
      <c r="BI72" s="224"/>
      <c r="BJ72" s="224"/>
      <c r="BK72" s="224"/>
      <c r="BL72" s="224"/>
      <c r="BM72" s="224"/>
      <c r="BN72" s="224"/>
      <c r="BO72" s="224"/>
      <c r="BP72" s="224"/>
      <c r="BQ72" s="224"/>
      <c r="BR72" s="224"/>
      <c r="BS72" s="224"/>
      <c r="BT72" s="224"/>
      <c r="BU72" s="221" t="s">
        <v>1212</v>
      </c>
    </row>
    <row r="73" spans="2:74" ht="41.4" x14ac:dyDescent="0.3">
      <c r="B73" s="129" t="s">
        <v>840</v>
      </c>
      <c r="C73" s="244">
        <v>70</v>
      </c>
      <c r="D73" s="131" t="s">
        <v>945</v>
      </c>
      <c r="E73" s="224"/>
      <c r="F73" s="224"/>
      <c r="G73" s="224"/>
      <c r="H73" s="224"/>
      <c r="I73" s="224"/>
      <c r="J73" s="224"/>
      <c r="K73" s="224"/>
      <c r="L73" s="224"/>
      <c r="M73" s="224"/>
      <c r="N73" s="224"/>
      <c r="O73" s="224"/>
      <c r="P73" s="224"/>
      <c r="Q73" s="224"/>
      <c r="R73" s="224"/>
      <c r="S73" s="224"/>
      <c r="T73" s="224"/>
      <c r="U73" s="224"/>
      <c r="V73" s="224"/>
      <c r="W73" s="224"/>
      <c r="X73" s="224"/>
      <c r="Y73" s="224"/>
      <c r="Z73" s="224"/>
      <c r="AA73" s="224"/>
      <c r="AB73" s="224"/>
      <c r="AC73" s="224"/>
      <c r="AD73" s="224"/>
      <c r="AE73" s="224"/>
      <c r="AF73" s="224"/>
      <c r="AG73" s="224"/>
      <c r="AH73" s="224"/>
      <c r="AI73" s="224"/>
      <c r="AJ73" s="224"/>
      <c r="AK73" s="224"/>
      <c r="AL73" s="224"/>
      <c r="AM73" s="224"/>
      <c r="AN73" s="224"/>
      <c r="AO73" s="224"/>
      <c r="AP73" s="224"/>
      <c r="AQ73" s="224"/>
      <c r="AR73" s="224"/>
      <c r="AS73" s="224"/>
      <c r="AT73" s="224"/>
      <c r="AU73" s="224"/>
      <c r="AV73" s="224"/>
      <c r="AW73" s="224"/>
      <c r="AX73" s="224"/>
      <c r="AY73" s="224"/>
      <c r="AZ73" s="224"/>
      <c r="BA73" s="224"/>
      <c r="BB73" s="224"/>
      <c r="BC73" s="224"/>
      <c r="BD73" s="224"/>
      <c r="BE73" s="224"/>
      <c r="BF73" s="224"/>
      <c r="BG73" s="224"/>
      <c r="BH73" s="224"/>
      <c r="BI73" s="224"/>
      <c r="BJ73" s="224"/>
      <c r="BK73" s="224"/>
      <c r="BL73" s="224"/>
      <c r="BM73" s="224"/>
      <c r="BN73" s="224"/>
      <c r="BO73" s="224"/>
      <c r="BP73" s="224"/>
      <c r="BQ73" s="224"/>
      <c r="BR73" s="224"/>
      <c r="BS73" s="224"/>
      <c r="BT73" s="224"/>
      <c r="BU73" s="221" t="s">
        <v>1220</v>
      </c>
    </row>
    <row r="74" spans="2:74" ht="41.4" x14ac:dyDescent="0.3">
      <c r="B74" s="129" t="s">
        <v>840</v>
      </c>
      <c r="C74" s="244">
        <v>71</v>
      </c>
      <c r="D74" s="131" t="s">
        <v>947</v>
      </c>
      <c r="E74" s="224"/>
      <c r="F74" s="224"/>
      <c r="G74" s="224"/>
      <c r="H74" s="224"/>
      <c r="I74" s="224"/>
      <c r="J74" s="224"/>
      <c r="K74" s="224"/>
      <c r="L74" s="224"/>
      <c r="M74" s="224"/>
      <c r="N74" s="224"/>
      <c r="O74" s="224"/>
      <c r="P74" s="224"/>
      <c r="Q74" s="224"/>
      <c r="R74" s="224"/>
      <c r="S74" s="224"/>
      <c r="T74" s="224"/>
      <c r="U74" s="224"/>
      <c r="V74" s="224"/>
      <c r="W74" s="224"/>
      <c r="X74" s="224"/>
      <c r="Y74" s="224"/>
      <c r="Z74" s="224"/>
      <c r="AA74" s="224"/>
      <c r="AB74" s="224"/>
      <c r="AC74" s="224"/>
      <c r="AD74" s="224"/>
      <c r="AE74" s="224"/>
      <c r="AF74" s="224"/>
      <c r="AG74" s="224"/>
      <c r="AH74" s="224"/>
      <c r="AI74" s="224"/>
      <c r="AJ74" s="224"/>
      <c r="AK74" s="224"/>
      <c r="AL74" s="224"/>
      <c r="AM74" s="224"/>
      <c r="AN74" s="224"/>
      <c r="AO74" s="224"/>
      <c r="AP74" s="224"/>
      <c r="AQ74" s="224"/>
      <c r="AR74" s="224"/>
      <c r="AS74" s="224"/>
      <c r="AT74" s="224"/>
      <c r="AU74" s="224"/>
      <c r="AV74" s="224"/>
      <c r="AW74" s="224"/>
      <c r="AX74" s="224"/>
      <c r="AY74" s="224"/>
      <c r="AZ74" s="224"/>
      <c r="BA74" s="224"/>
      <c r="BB74" s="224"/>
      <c r="BC74" s="224"/>
      <c r="BD74" s="224"/>
      <c r="BE74" s="224"/>
      <c r="BF74" s="224"/>
      <c r="BG74" s="224"/>
      <c r="BH74" s="224"/>
      <c r="BI74" s="224"/>
      <c r="BJ74" s="224"/>
      <c r="BK74" s="224"/>
      <c r="BL74" s="224"/>
      <c r="BM74" s="224"/>
      <c r="BN74" s="224"/>
      <c r="BO74" s="224"/>
      <c r="BP74" s="224"/>
      <c r="BQ74" s="224"/>
      <c r="BR74" s="224"/>
      <c r="BS74" s="224"/>
      <c r="BT74" s="224"/>
      <c r="BU74" s="221" t="s">
        <v>1218</v>
      </c>
    </row>
    <row r="75" spans="2:74" ht="41.4" x14ac:dyDescent="0.3">
      <c r="B75" s="129" t="s">
        <v>840</v>
      </c>
      <c r="C75" s="244">
        <v>72</v>
      </c>
      <c r="D75" s="131" t="s">
        <v>949</v>
      </c>
      <c r="E75" s="224"/>
      <c r="F75" s="224"/>
      <c r="G75" s="224"/>
      <c r="H75" s="224"/>
      <c r="I75" s="224"/>
      <c r="J75" s="224"/>
      <c r="K75" s="224"/>
      <c r="L75" s="224"/>
      <c r="M75" s="224"/>
      <c r="N75" s="224"/>
      <c r="O75" s="224"/>
      <c r="P75" s="224"/>
      <c r="Q75" s="224"/>
      <c r="R75" s="224"/>
      <c r="S75" s="224"/>
      <c r="T75" s="224"/>
      <c r="U75" s="224"/>
      <c r="V75" s="224"/>
      <c r="W75" s="224"/>
      <c r="X75" s="224"/>
      <c r="Y75" s="224"/>
      <c r="Z75" s="224"/>
      <c r="AA75" s="224"/>
      <c r="AB75" s="224"/>
      <c r="AC75" s="224"/>
      <c r="AD75" s="224"/>
      <c r="AE75" s="224"/>
      <c r="AF75" s="224"/>
      <c r="AG75" s="224"/>
      <c r="AH75" s="224"/>
      <c r="AI75" s="224"/>
      <c r="AJ75" s="224"/>
      <c r="AK75" s="224"/>
      <c r="AL75" s="224"/>
      <c r="AM75" s="224"/>
      <c r="AN75" s="224"/>
      <c r="AO75" s="224"/>
      <c r="AP75" s="224"/>
      <c r="AQ75" s="224"/>
      <c r="AR75" s="224"/>
      <c r="AS75" s="224"/>
      <c r="AT75" s="224"/>
      <c r="AU75" s="224"/>
      <c r="AV75" s="224"/>
      <c r="AW75" s="224"/>
      <c r="AX75" s="224"/>
      <c r="AY75" s="224"/>
      <c r="AZ75" s="224"/>
      <c r="BA75" s="224"/>
      <c r="BB75" s="224"/>
      <c r="BC75" s="224"/>
      <c r="BD75" s="224"/>
      <c r="BE75" s="224"/>
      <c r="BF75" s="224"/>
      <c r="BG75" s="224"/>
      <c r="BH75" s="224"/>
      <c r="BI75" s="224"/>
      <c r="BJ75" s="224"/>
      <c r="BK75" s="224"/>
      <c r="BL75" s="224"/>
      <c r="BM75" s="224"/>
      <c r="BN75" s="224"/>
      <c r="BO75" s="224"/>
      <c r="BP75" s="224"/>
      <c r="BQ75" s="224"/>
      <c r="BR75" s="224"/>
      <c r="BS75" s="224"/>
      <c r="BT75" s="224"/>
      <c r="BU75" s="221" t="s">
        <v>1220</v>
      </c>
    </row>
    <row r="76" spans="2:74" ht="27.6" x14ac:dyDescent="0.3">
      <c r="B76" s="129" t="s">
        <v>840</v>
      </c>
      <c r="C76" s="244">
        <v>73</v>
      </c>
      <c r="D76" s="131" t="s">
        <v>951</v>
      </c>
      <c r="E76" s="224"/>
      <c r="F76" s="224"/>
      <c r="G76" s="224"/>
      <c r="H76" s="224"/>
      <c r="I76" s="224"/>
      <c r="J76" s="224"/>
      <c r="K76" s="224"/>
      <c r="L76" s="224"/>
      <c r="M76" s="224"/>
      <c r="N76" s="224"/>
      <c r="O76" s="224"/>
      <c r="P76" s="224"/>
      <c r="Q76" s="224"/>
      <c r="R76" s="224"/>
      <c r="S76" s="224"/>
      <c r="T76" s="224"/>
      <c r="U76" s="224"/>
      <c r="V76" s="224"/>
      <c r="W76" s="224"/>
      <c r="X76" s="224"/>
      <c r="Y76" s="224"/>
      <c r="Z76" s="224"/>
      <c r="AA76" s="224"/>
      <c r="AB76" s="224"/>
      <c r="AC76" s="224"/>
      <c r="AD76" s="224"/>
      <c r="AE76" s="224"/>
      <c r="AF76" s="224"/>
      <c r="AG76" s="224"/>
      <c r="AH76" s="224"/>
      <c r="AI76" s="224"/>
      <c r="AJ76" s="224"/>
      <c r="AK76" s="224"/>
      <c r="AL76" s="224"/>
      <c r="AM76" s="224"/>
      <c r="AN76" s="224"/>
      <c r="AO76" s="224"/>
      <c r="AP76" s="224"/>
      <c r="AQ76" s="224"/>
      <c r="AR76" s="224"/>
      <c r="AS76" s="224"/>
      <c r="AT76" s="224"/>
      <c r="AU76" s="224"/>
      <c r="AV76" s="224"/>
      <c r="AW76" s="224"/>
      <c r="AX76" s="224"/>
      <c r="AY76" s="224"/>
      <c r="AZ76" s="224"/>
      <c r="BA76" s="224"/>
      <c r="BB76" s="224"/>
      <c r="BC76" s="224"/>
      <c r="BD76" s="224"/>
      <c r="BE76" s="224"/>
      <c r="BF76" s="224"/>
      <c r="BG76" s="224"/>
      <c r="BH76" s="224"/>
      <c r="BI76" s="224"/>
      <c r="BJ76" s="224"/>
      <c r="BK76" s="224"/>
      <c r="BL76" s="224"/>
      <c r="BM76" s="224"/>
      <c r="BN76" s="224"/>
      <c r="BO76" s="224"/>
      <c r="BP76" s="224"/>
      <c r="BQ76" s="224"/>
      <c r="BR76" s="224"/>
      <c r="BS76" s="224"/>
      <c r="BT76" s="224"/>
      <c r="BU76" s="221" t="s">
        <v>1218</v>
      </c>
    </row>
    <row r="77" spans="2:74" x14ac:dyDescent="0.3">
      <c r="B77" s="267" t="s">
        <v>840</v>
      </c>
      <c r="C77" s="244">
        <v>74</v>
      </c>
      <c r="D77" s="245" t="s">
        <v>845</v>
      </c>
      <c r="E77" s="243"/>
      <c r="F77" s="243"/>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c r="AG77" s="243"/>
      <c r="AH77" s="243"/>
      <c r="AI77" s="243"/>
      <c r="AJ77" s="243"/>
      <c r="AK77" s="243"/>
      <c r="AL77" s="243"/>
      <c r="AM77" s="243"/>
      <c r="AN77" s="243"/>
      <c r="AO77" s="243"/>
      <c r="AP77" s="243"/>
      <c r="AQ77" s="243"/>
      <c r="AR77" s="243"/>
      <c r="AS77" s="243"/>
      <c r="AT77" s="243"/>
      <c r="AU77" s="243"/>
      <c r="AV77" s="243"/>
      <c r="AW77" s="243"/>
      <c r="AX77" s="243"/>
      <c r="AY77" s="243"/>
      <c r="AZ77" s="243"/>
      <c r="BA77" s="243"/>
      <c r="BB77" s="243"/>
      <c r="BC77" s="243"/>
      <c r="BD77" s="243"/>
      <c r="BE77" s="243"/>
      <c r="BF77" s="243"/>
      <c r="BG77" s="243"/>
      <c r="BH77" s="243"/>
      <c r="BI77" s="243"/>
      <c r="BJ77" s="243"/>
      <c r="BK77" s="243"/>
      <c r="BL77" s="243"/>
      <c r="BM77" s="243"/>
      <c r="BN77" s="243"/>
      <c r="BO77" s="243"/>
      <c r="BP77" s="243"/>
      <c r="BQ77" s="243"/>
      <c r="BR77" s="243"/>
      <c r="BS77" s="243"/>
      <c r="BT77" s="243"/>
      <c r="BU77" s="246"/>
    </row>
    <row r="78" spans="2:74" x14ac:dyDescent="0.3">
      <c r="B78" s="129" t="s">
        <v>840</v>
      </c>
      <c r="C78" s="244">
        <v>75</v>
      </c>
      <c r="D78" s="131" t="s">
        <v>953</v>
      </c>
      <c r="E78" s="224"/>
      <c r="F78" s="224"/>
      <c r="G78" s="224"/>
      <c r="H78" s="224"/>
      <c r="I78" s="224"/>
      <c r="J78" s="224"/>
      <c r="K78" s="224"/>
      <c r="L78" s="224"/>
      <c r="M78" s="224"/>
      <c r="N78" s="224"/>
      <c r="O78" s="224"/>
      <c r="P78" s="224"/>
      <c r="Q78" s="224"/>
      <c r="R78" s="224"/>
      <c r="S78" s="224"/>
      <c r="T78" s="224"/>
      <c r="U78" s="224"/>
      <c r="V78" s="224"/>
      <c r="W78" s="224"/>
      <c r="X78" s="224"/>
      <c r="Y78" s="224"/>
      <c r="Z78" s="224"/>
      <c r="AA78" s="224"/>
      <c r="AB78" s="224"/>
      <c r="AC78" s="224"/>
      <c r="AD78" s="224"/>
      <c r="AE78" s="224"/>
      <c r="AF78" s="224"/>
      <c r="AG78" s="224"/>
      <c r="AH78" s="224"/>
      <c r="AI78" s="224"/>
      <c r="AJ78" s="224"/>
      <c r="AK78" s="224"/>
      <c r="AL78" s="224"/>
      <c r="AM78" s="224"/>
      <c r="AN78" s="224"/>
      <c r="AO78" s="224"/>
      <c r="AP78" s="224"/>
      <c r="AQ78" s="224"/>
      <c r="AR78" s="224"/>
      <c r="AS78" s="224"/>
      <c r="AT78" s="224"/>
      <c r="AU78" s="224"/>
      <c r="AV78" s="224"/>
      <c r="AW78" s="224"/>
      <c r="AX78" s="224"/>
      <c r="AY78" s="224"/>
      <c r="AZ78" s="224"/>
      <c r="BA78" s="224"/>
      <c r="BB78" s="224"/>
      <c r="BC78" s="224"/>
      <c r="BD78" s="224"/>
      <c r="BE78" s="224"/>
      <c r="BF78" s="224"/>
      <c r="BG78" s="224"/>
      <c r="BH78" s="224"/>
      <c r="BI78" s="224"/>
      <c r="BJ78" s="224"/>
      <c r="BK78" s="224"/>
      <c r="BL78" s="224"/>
      <c r="BM78" s="224"/>
      <c r="BN78" s="224"/>
      <c r="BO78" s="224"/>
      <c r="BP78" s="224"/>
      <c r="BQ78" s="224"/>
      <c r="BR78" s="224"/>
      <c r="BS78" s="224"/>
      <c r="BT78" s="224"/>
      <c r="BU78" s="221" t="s">
        <v>1219</v>
      </c>
    </row>
    <row r="79" spans="2:74" ht="41.4" x14ac:dyDescent="0.3">
      <c r="B79" s="129" t="s">
        <v>840</v>
      </c>
      <c r="C79" s="244">
        <v>76</v>
      </c>
      <c r="D79" s="131" t="s">
        <v>955</v>
      </c>
      <c r="E79" s="224"/>
      <c r="F79" s="224"/>
      <c r="G79" s="224"/>
      <c r="H79" s="224"/>
      <c r="I79" s="224"/>
      <c r="J79" s="224"/>
      <c r="K79" s="224"/>
      <c r="L79" s="224"/>
      <c r="M79" s="224"/>
      <c r="N79" s="224"/>
      <c r="O79" s="224"/>
      <c r="P79" s="224"/>
      <c r="Q79" s="224"/>
      <c r="R79" s="224"/>
      <c r="S79" s="224"/>
      <c r="T79" s="224"/>
      <c r="U79" s="224"/>
      <c r="V79" s="224"/>
      <c r="W79" s="224"/>
      <c r="X79" s="224"/>
      <c r="Y79" s="224"/>
      <c r="Z79" s="224"/>
      <c r="AA79" s="224"/>
      <c r="AB79" s="224"/>
      <c r="AC79" s="224"/>
      <c r="AD79" s="224"/>
      <c r="AE79" s="224"/>
      <c r="AF79" s="224"/>
      <c r="AG79" s="224"/>
      <c r="AH79" s="224"/>
      <c r="AI79" s="224"/>
      <c r="AJ79" s="224"/>
      <c r="AK79" s="224"/>
      <c r="AL79" s="224"/>
      <c r="AM79" s="224"/>
      <c r="AN79" s="224"/>
      <c r="AO79" s="224"/>
      <c r="AP79" s="224"/>
      <c r="AQ79" s="224"/>
      <c r="AR79" s="224"/>
      <c r="AS79" s="224"/>
      <c r="AT79" s="224"/>
      <c r="AU79" s="224"/>
      <c r="AV79" s="224"/>
      <c r="AW79" s="224"/>
      <c r="AX79" s="224"/>
      <c r="AY79" s="224"/>
      <c r="AZ79" s="224"/>
      <c r="BA79" s="224"/>
      <c r="BB79" s="224"/>
      <c r="BC79" s="224"/>
      <c r="BD79" s="224"/>
      <c r="BE79" s="224"/>
      <c r="BF79" s="224"/>
      <c r="BG79" s="224"/>
      <c r="BH79" s="224"/>
      <c r="BI79" s="224"/>
      <c r="BJ79" s="224"/>
      <c r="BK79" s="224"/>
      <c r="BL79" s="224"/>
      <c r="BM79" s="224"/>
      <c r="BN79" s="224"/>
      <c r="BO79" s="224"/>
      <c r="BP79" s="224"/>
      <c r="BQ79" s="224"/>
      <c r="BR79" s="224"/>
      <c r="BS79" s="224"/>
      <c r="BT79" s="224"/>
      <c r="BU79" s="221" t="s">
        <v>1219</v>
      </c>
      <c r="BV79" s="221"/>
    </row>
    <row r="80" spans="2:74" ht="27.6" x14ac:dyDescent="0.3">
      <c r="B80" s="129" t="s">
        <v>840</v>
      </c>
      <c r="C80" s="244">
        <v>77</v>
      </c>
      <c r="D80" s="131" t="s">
        <v>957</v>
      </c>
      <c r="E80" s="224"/>
      <c r="F80" s="224"/>
      <c r="G80" s="224"/>
      <c r="H80" s="224"/>
      <c r="I80" s="224"/>
      <c r="J80" s="224"/>
      <c r="K80" s="224"/>
      <c r="L80" s="224"/>
      <c r="M80" s="224"/>
      <c r="N80" s="224"/>
      <c r="O80" s="224"/>
      <c r="P80" s="224"/>
      <c r="Q80" s="224"/>
      <c r="R80" s="224"/>
      <c r="S80" s="224"/>
      <c r="T80" s="224"/>
      <c r="U80" s="224"/>
      <c r="V80" s="224"/>
      <c r="W80" s="224"/>
      <c r="X80" s="224"/>
      <c r="Y80" s="224"/>
      <c r="Z80" s="224"/>
      <c r="AA80" s="224"/>
      <c r="AB80" s="224"/>
      <c r="AC80" s="224"/>
      <c r="AD80" s="224"/>
      <c r="AE80" s="224"/>
      <c r="AF80" s="224"/>
      <c r="AG80" s="224"/>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24"/>
      <c r="BH80" s="224"/>
      <c r="BI80" s="224"/>
      <c r="BJ80" s="224"/>
      <c r="BK80" s="224"/>
      <c r="BL80" s="224"/>
      <c r="BM80" s="224"/>
      <c r="BN80" s="224"/>
      <c r="BO80" s="224"/>
      <c r="BP80" s="224"/>
      <c r="BQ80" s="224"/>
      <c r="BR80" s="224"/>
      <c r="BS80" s="224"/>
      <c r="BT80" s="224"/>
      <c r="BU80" s="221" t="s">
        <v>1219</v>
      </c>
    </row>
    <row r="81" spans="2:73" ht="41.4" x14ac:dyDescent="0.3">
      <c r="B81" s="129" t="s">
        <v>840</v>
      </c>
      <c r="C81" s="244">
        <v>78</v>
      </c>
      <c r="D81" s="131" t="s">
        <v>959</v>
      </c>
      <c r="E81" s="224"/>
      <c r="F81" s="224"/>
      <c r="G81" s="224"/>
      <c r="H81" s="224"/>
      <c r="I81" s="224"/>
      <c r="J81" s="224"/>
      <c r="K81" s="224"/>
      <c r="L81" s="224"/>
      <c r="M81" s="224"/>
      <c r="N81" s="224"/>
      <c r="O81" s="224"/>
      <c r="P81" s="224"/>
      <c r="Q81" s="224"/>
      <c r="R81" s="224"/>
      <c r="S81" s="224"/>
      <c r="T81" s="224"/>
      <c r="U81" s="224"/>
      <c r="V81" s="224"/>
      <c r="W81" s="224"/>
      <c r="X81" s="224"/>
      <c r="Y81" s="224"/>
      <c r="Z81" s="224"/>
      <c r="AA81" s="224"/>
      <c r="AB81" s="224"/>
      <c r="AC81" s="224"/>
      <c r="AD81" s="224"/>
      <c r="AE81" s="224"/>
      <c r="AF81" s="224"/>
      <c r="AG81" s="224"/>
      <c r="AH81" s="224"/>
      <c r="AI81" s="224"/>
      <c r="AJ81" s="224"/>
      <c r="AK81" s="224"/>
      <c r="AL81" s="224"/>
      <c r="AM81" s="224"/>
      <c r="AN81" s="224"/>
      <c r="AO81" s="224"/>
      <c r="AP81" s="224"/>
      <c r="AQ81" s="224"/>
      <c r="AR81" s="224"/>
      <c r="AS81" s="224"/>
      <c r="AT81" s="224"/>
      <c r="AU81" s="224"/>
      <c r="AV81" s="224"/>
      <c r="AW81" s="224"/>
      <c r="AX81" s="224"/>
      <c r="AY81" s="224"/>
      <c r="AZ81" s="224"/>
      <c r="BA81" s="224"/>
      <c r="BB81" s="224"/>
      <c r="BC81" s="224"/>
      <c r="BD81" s="224"/>
      <c r="BE81" s="224"/>
      <c r="BF81" s="224"/>
      <c r="BG81" s="224"/>
      <c r="BH81" s="224"/>
      <c r="BI81" s="224"/>
      <c r="BJ81" s="224"/>
      <c r="BK81" s="224"/>
      <c r="BL81" s="224"/>
      <c r="BM81" s="224"/>
      <c r="BN81" s="224"/>
      <c r="BO81" s="224"/>
      <c r="BP81" s="224"/>
      <c r="BQ81" s="224"/>
      <c r="BR81" s="224"/>
      <c r="BS81" s="224"/>
      <c r="BT81" s="224"/>
      <c r="BU81" s="221" t="s">
        <v>1219</v>
      </c>
    </row>
    <row r="82" spans="2:73" ht="27.6" x14ac:dyDescent="0.3">
      <c r="B82" s="129" t="s">
        <v>840</v>
      </c>
      <c r="C82" s="244">
        <v>79</v>
      </c>
      <c r="D82" s="131" t="s">
        <v>961</v>
      </c>
      <c r="E82" s="224"/>
      <c r="F82" s="224"/>
      <c r="G82" s="224"/>
      <c r="H82" s="224"/>
      <c r="I82" s="224"/>
      <c r="J82" s="224"/>
      <c r="K82" s="224"/>
      <c r="L82" s="224"/>
      <c r="M82" s="224"/>
      <c r="N82" s="224"/>
      <c r="O82" s="224"/>
      <c r="P82" s="224"/>
      <c r="Q82" s="224"/>
      <c r="R82" s="224"/>
      <c r="S82" s="224"/>
      <c r="T82" s="224"/>
      <c r="U82" s="224"/>
      <c r="V82" s="224"/>
      <c r="W82" s="224"/>
      <c r="X82" s="224"/>
      <c r="Y82" s="224"/>
      <c r="Z82" s="224"/>
      <c r="AA82" s="224"/>
      <c r="AB82" s="224"/>
      <c r="AC82" s="224"/>
      <c r="AD82" s="224"/>
      <c r="AE82" s="224"/>
      <c r="AF82" s="224"/>
      <c r="AG82" s="224"/>
      <c r="AH82" s="224"/>
      <c r="AI82" s="224"/>
      <c r="AJ82" s="224"/>
      <c r="AK82" s="224"/>
      <c r="AL82" s="224"/>
      <c r="AM82" s="224"/>
      <c r="AN82" s="224"/>
      <c r="AO82" s="224"/>
      <c r="AP82" s="224"/>
      <c r="AQ82" s="224"/>
      <c r="AR82" s="224"/>
      <c r="AS82" s="224"/>
      <c r="AT82" s="224"/>
      <c r="AU82" s="224"/>
      <c r="AV82" s="224"/>
      <c r="AW82" s="224"/>
      <c r="AX82" s="224"/>
      <c r="AY82" s="224"/>
      <c r="AZ82" s="224"/>
      <c r="BA82" s="224"/>
      <c r="BB82" s="224"/>
      <c r="BC82" s="224"/>
      <c r="BD82" s="224"/>
      <c r="BE82" s="224"/>
      <c r="BF82" s="224"/>
      <c r="BG82" s="224"/>
      <c r="BH82" s="224"/>
      <c r="BI82" s="224"/>
      <c r="BJ82" s="224"/>
      <c r="BK82" s="224"/>
      <c r="BL82" s="224"/>
      <c r="BM82" s="224"/>
      <c r="BN82" s="224"/>
      <c r="BO82" s="224"/>
      <c r="BP82" s="224"/>
      <c r="BQ82" s="224"/>
      <c r="BR82" s="224"/>
      <c r="BS82" s="224"/>
      <c r="BT82" s="224"/>
      <c r="BU82" s="221" t="s">
        <v>1219</v>
      </c>
    </row>
    <row r="83" spans="2:73" x14ac:dyDescent="0.3">
      <c r="B83" s="267" t="s">
        <v>840</v>
      </c>
      <c r="C83" s="244">
        <v>80</v>
      </c>
      <c r="D83" s="245" t="s">
        <v>845</v>
      </c>
      <c r="E83" s="243"/>
      <c r="F83" s="243"/>
      <c r="G83" s="243"/>
      <c r="H83" s="243"/>
      <c r="I83" s="243"/>
      <c r="J83" s="243"/>
      <c r="K83" s="243"/>
      <c r="L83" s="243"/>
      <c r="M83" s="243"/>
      <c r="N83" s="243"/>
      <c r="O83" s="243"/>
      <c r="P83" s="243"/>
      <c r="Q83" s="243"/>
      <c r="R83" s="243"/>
      <c r="S83" s="243"/>
      <c r="T83" s="243"/>
      <c r="U83" s="243"/>
      <c r="V83" s="243"/>
      <c r="W83" s="243"/>
      <c r="X83" s="243"/>
      <c r="Y83" s="243"/>
      <c r="Z83" s="243"/>
      <c r="AA83" s="243"/>
      <c r="AB83" s="243"/>
      <c r="AC83" s="243"/>
      <c r="AD83" s="243"/>
      <c r="AE83" s="243"/>
      <c r="AF83" s="243"/>
      <c r="AG83" s="243"/>
      <c r="AH83" s="243"/>
      <c r="AI83" s="243"/>
      <c r="AJ83" s="243"/>
      <c r="AK83" s="243"/>
      <c r="AL83" s="243"/>
      <c r="AM83" s="243"/>
      <c r="AN83" s="243"/>
      <c r="AO83" s="243"/>
      <c r="AP83" s="243"/>
      <c r="AQ83" s="243"/>
      <c r="AR83" s="243"/>
      <c r="AS83" s="243"/>
      <c r="AT83" s="243"/>
      <c r="AU83" s="243"/>
      <c r="AV83" s="243"/>
      <c r="AW83" s="243"/>
      <c r="AX83" s="243"/>
      <c r="AY83" s="243"/>
      <c r="AZ83" s="243"/>
      <c r="BA83" s="243"/>
      <c r="BB83" s="243"/>
      <c r="BC83" s="243"/>
      <c r="BD83" s="243"/>
      <c r="BE83" s="243"/>
      <c r="BF83" s="243"/>
      <c r="BG83" s="243"/>
      <c r="BH83" s="243"/>
      <c r="BI83" s="243"/>
      <c r="BJ83" s="243"/>
      <c r="BK83" s="243"/>
      <c r="BL83" s="243"/>
      <c r="BM83" s="243"/>
      <c r="BN83" s="243"/>
      <c r="BO83" s="243"/>
      <c r="BP83" s="243"/>
      <c r="BQ83" s="243"/>
      <c r="BR83" s="243"/>
      <c r="BS83" s="243"/>
      <c r="BT83" s="243"/>
      <c r="BU83" s="246"/>
    </row>
    <row r="84" spans="2:73" ht="41.4" x14ac:dyDescent="0.3">
      <c r="B84" s="129" t="s">
        <v>840</v>
      </c>
      <c r="C84" s="244">
        <v>81</v>
      </c>
      <c r="D84" s="131" t="s">
        <v>1077</v>
      </c>
      <c r="E84" s="224"/>
      <c r="F84" s="224"/>
      <c r="G84" s="224"/>
      <c r="H84" s="224"/>
      <c r="I84" s="224"/>
      <c r="J84" s="224"/>
      <c r="K84" s="224"/>
      <c r="L84" s="224"/>
      <c r="M84" s="224"/>
      <c r="N84" s="224"/>
      <c r="O84" s="224"/>
      <c r="P84" s="224"/>
      <c r="Q84" s="224"/>
      <c r="R84" s="224"/>
      <c r="S84" s="224"/>
      <c r="T84" s="224"/>
      <c r="U84" s="224"/>
      <c r="V84" s="224"/>
      <c r="W84" s="224"/>
      <c r="X84" s="224"/>
      <c r="Y84" s="224"/>
      <c r="Z84" s="224"/>
      <c r="AA84" s="224"/>
      <c r="AB84" s="224"/>
      <c r="AC84" s="224"/>
      <c r="AD84" s="224"/>
      <c r="AE84" s="224"/>
      <c r="AF84" s="224"/>
      <c r="AG84" s="224"/>
      <c r="AH84" s="224"/>
      <c r="AI84" s="224"/>
      <c r="AJ84" s="224"/>
      <c r="AK84" s="224"/>
      <c r="AL84" s="224"/>
      <c r="AM84" s="224"/>
      <c r="AN84" s="224"/>
      <c r="AO84" s="224"/>
      <c r="AP84" s="224"/>
      <c r="AQ84" s="224"/>
      <c r="AR84" s="224"/>
      <c r="AS84" s="224"/>
      <c r="AT84" s="224"/>
      <c r="AU84" s="224"/>
      <c r="AV84" s="224"/>
      <c r="AW84" s="224"/>
      <c r="AX84" s="224"/>
      <c r="AY84" s="224"/>
      <c r="AZ84" s="224"/>
      <c r="BA84" s="224"/>
      <c r="BB84" s="224"/>
      <c r="BC84" s="224"/>
      <c r="BD84" s="224"/>
      <c r="BE84" s="224"/>
      <c r="BF84" s="224"/>
      <c r="BG84" s="224"/>
      <c r="BH84" s="224"/>
      <c r="BI84" s="224"/>
      <c r="BJ84" s="224"/>
      <c r="BK84" s="224"/>
      <c r="BL84" s="224"/>
      <c r="BM84" s="224"/>
      <c r="BN84" s="224"/>
      <c r="BO84" s="224"/>
      <c r="BP84" s="224"/>
      <c r="BQ84" s="224"/>
      <c r="BR84" s="224"/>
      <c r="BS84" s="224"/>
      <c r="BT84" s="224"/>
      <c r="BU84" s="221" t="s">
        <v>1222</v>
      </c>
    </row>
    <row r="85" spans="2:73" ht="55.2" x14ac:dyDescent="0.3">
      <c r="B85" s="129" t="s">
        <v>840</v>
      </c>
      <c r="C85" s="244">
        <v>82</v>
      </c>
      <c r="D85" s="131" t="s">
        <v>1079</v>
      </c>
      <c r="E85" s="224"/>
      <c r="F85" s="224"/>
      <c r="G85" s="224"/>
      <c r="H85" s="224"/>
      <c r="I85" s="224"/>
      <c r="J85" s="224"/>
      <c r="K85" s="224"/>
      <c r="L85" s="224"/>
      <c r="M85" s="224"/>
      <c r="N85" s="224"/>
      <c r="O85" s="224"/>
      <c r="P85" s="224"/>
      <c r="Q85" s="224"/>
      <c r="R85" s="224"/>
      <c r="S85" s="224"/>
      <c r="T85" s="224"/>
      <c r="U85" s="224"/>
      <c r="V85" s="224"/>
      <c r="W85" s="224"/>
      <c r="X85" s="224"/>
      <c r="Y85" s="224"/>
      <c r="Z85" s="224"/>
      <c r="AA85" s="224"/>
      <c r="AB85" s="224"/>
      <c r="AC85" s="224"/>
      <c r="AD85" s="224"/>
      <c r="AE85" s="224"/>
      <c r="AF85" s="224"/>
      <c r="AG85" s="224"/>
      <c r="AH85" s="224"/>
      <c r="AI85" s="224"/>
      <c r="AJ85" s="224"/>
      <c r="AK85" s="224"/>
      <c r="AL85" s="224"/>
      <c r="AM85" s="224"/>
      <c r="AN85" s="224"/>
      <c r="AO85" s="224"/>
      <c r="AP85" s="224"/>
      <c r="AQ85" s="224"/>
      <c r="AR85" s="224"/>
      <c r="AS85" s="224"/>
      <c r="AT85" s="224"/>
      <c r="AU85" s="224"/>
      <c r="AV85" s="224"/>
      <c r="AW85" s="224"/>
      <c r="AX85" s="224"/>
      <c r="AY85" s="224"/>
      <c r="AZ85" s="224"/>
      <c r="BA85" s="224"/>
      <c r="BB85" s="224"/>
      <c r="BC85" s="224"/>
      <c r="BD85" s="224"/>
      <c r="BE85" s="224"/>
      <c r="BF85" s="224"/>
      <c r="BG85" s="224"/>
      <c r="BH85" s="224"/>
      <c r="BI85" s="224"/>
      <c r="BJ85" s="224"/>
      <c r="BK85" s="224"/>
      <c r="BL85" s="224"/>
      <c r="BM85" s="224"/>
      <c r="BN85" s="224"/>
      <c r="BO85" s="224"/>
      <c r="BP85" s="224"/>
      <c r="BQ85" s="224"/>
      <c r="BR85" s="224"/>
      <c r="BS85" s="224"/>
      <c r="BT85" s="224"/>
      <c r="BU85" s="221" t="s">
        <v>1222</v>
      </c>
    </row>
    <row r="86" spans="2:73" ht="55.2" x14ac:dyDescent="0.3">
      <c r="B86" s="129" t="s">
        <v>840</v>
      </c>
      <c r="C86" s="244">
        <v>83</v>
      </c>
      <c r="D86" s="131" t="s">
        <v>1135</v>
      </c>
      <c r="E86" s="224"/>
      <c r="F86" s="224"/>
      <c r="G86" s="224"/>
      <c r="H86" s="224"/>
      <c r="I86" s="224"/>
      <c r="J86" s="224"/>
      <c r="K86" s="224"/>
      <c r="L86" s="224"/>
      <c r="M86" s="224"/>
      <c r="N86" s="224"/>
      <c r="O86" s="224"/>
      <c r="P86" s="224"/>
      <c r="Q86" s="224"/>
      <c r="R86" s="224"/>
      <c r="S86" s="224"/>
      <c r="T86" s="224"/>
      <c r="U86" s="224"/>
      <c r="V86" s="224"/>
      <c r="W86" s="224"/>
      <c r="X86" s="224"/>
      <c r="Y86" s="224"/>
      <c r="Z86" s="224"/>
      <c r="AA86" s="224"/>
      <c r="AB86" s="224"/>
      <c r="AC86" s="224"/>
      <c r="AD86" s="224"/>
      <c r="AE86" s="224"/>
      <c r="AF86" s="224"/>
      <c r="AG86" s="224"/>
      <c r="AH86" s="224"/>
      <c r="AI86" s="224"/>
      <c r="AJ86" s="224"/>
      <c r="AK86" s="224"/>
      <c r="AL86" s="224"/>
      <c r="AM86" s="224"/>
      <c r="AN86" s="224"/>
      <c r="AO86" s="224"/>
      <c r="AP86" s="224"/>
      <c r="AQ86" s="224"/>
      <c r="AR86" s="224"/>
      <c r="AS86" s="224"/>
      <c r="AT86" s="224"/>
      <c r="AU86" s="224"/>
      <c r="AV86" s="224"/>
      <c r="AW86" s="224"/>
      <c r="AX86" s="224"/>
      <c r="AY86" s="224"/>
      <c r="AZ86" s="224"/>
      <c r="BA86" s="224"/>
      <c r="BB86" s="224"/>
      <c r="BC86" s="224"/>
      <c r="BD86" s="224"/>
      <c r="BE86" s="224"/>
      <c r="BF86" s="224"/>
      <c r="BG86" s="224"/>
      <c r="BH86" s="224"/>
      <c r="BI86" s="224"/>
      <c r="BJ86" s="224"/>
      <c r="BK86" s="224"/>
      <c r="BL86" s="224"/>
      <c r="BM86" s="224"/>
      <c r="BN86" s="224"/>
      <c r="BO86" s="224"/>
      <c r="BP86" s="224"/>
      <c r="BQ86" s="224"/>
      <c r="BR86" s="224"/>
      <c r="BS86" s="224"/>
      <c r="BT86" s="224"/>
      <c r="BU86" s="221" t="s">
        <v>1222</v>
      </c>
    </row>
    <row r="87" spans="2:73" x14ac:dyDescent="0.3">
      <c r="B87" s="267" t="s">
        <v>840</v>
      </c>
      <c r="C87" s="244">
        <v>84</v>
      </c>
      <c r="D87" s="245" t="s">
        <v>845</v>
      </c>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c r="AJ87" s="243"/>
      <c r="AK87" s="243"/>
      <c r="AL87" s="243"/>
      <c r="AM87" s="243"/>
      <c r="AN87" s="243"/>
      <c r="AO87" s="243"/>
      <c r="AP87" s="243"/>
      <c r="AQ87" s="243"/>
      <c r="AR87" s="243"/>
      <c r="AS87" s="243"/>
      <c r="AT87" s="243"/>
      <c r="AU87" s="243"/>
      <c r="AV87" s="243"/>
      <c r="AW87" s="243"/>
      <c r="AX87" s="243"/>
      <c r="AY87" s="243"/>
      <c r="AZ87" s="243"/>
      <c r="BA87" s="243"/>
      <c r="BB87" s="243"/>
      <c r="BC87" s="243"/>
      <c r="BD87" s="243"/>
      <c r="BE87" s="243"/>
      <c r="BF87" s="243"/>
      <c r="BG87" s="243"/>
      <c r="BH87" s="243"/>
      <c r="BI87" s="243"/>
      <c r="BJ87" s="243"/>
      <c r="BK87" s="243"/>
      <c r="BL87" s="243"/>
      <c r="BM87" s="243"/>
      <c r="BN87" s="243"/>
      <c r="BO87" s="243"/>
      <c r="BP87" s="243"/>
      <c r="BQ87" s="243"/>
      <c r="BR87" s="243"/>
      <c r="BS87" s="243"/>
      <c r="BT87" s="243"/>
      <c r="BU87" s="246"/>
    </row>
    <row r="88" spans="2:73" ht="27.6" x14ac:dyDescent="0.3">
      <c r="B88" s="129" t="s">
        <v>840</v>
      </c>
      <c r="C88" s="244">
        <v>85</v>
      </c>
      <c r="D88" s="131" t="s">
        <v>963</v>
      </c>
      <c r="E88" s="224"/>
      <c r="F88" s="224"/>
      <c r="G88" s="224"/>
      <c r="H88" s="224"/>
      <c r="I88" s="224"/>
      <c r="J88" s="224"/>
      <c r="K88" s="224"/>
      <c r="L88" s="224"/>
      <c r="M88" s="224"/>
      <c r="N88" s="224"/>
      <c r="O88" s="224"/>
      <c r="P88" s="224"/>
      <c r="Q88" s="224"/>
      <c r="R88" s="224"/>
      <c r="S88" s="224"/>
      <c r="T88" s="224"/>
      <c r="U88" s="224"/>
      <c r="V88" s="224"/>
      <c r="W88" s="224"/>
      <c r="X88" s="224"/>
      <c r="Y88" s="224"/>
      <c r="Z88" s="224"/>
      <c r="AA88" s="224"/>
      <c r="AB88" s="224"/>
      <c r="AC88" s="224"/>
      <c r="AD88" s="224"/>
      <c r="AE88" s="224"/>
      <c r="AF88" s="224"/>
      <c r="AG88" s="224"/>
      <c r="AH88" s="224"/>
      <c r="AI88" s="224"/>
      <c r="AJ88" s="224"/>
      <c r="AK88" s="224"/>
      <c r="AL88" s="224"/>
      <c r="AM88" s="224"/>
      <c r="AN88" s="224"/>
      <c r="AO88" s="224"/>
      <c r="AP88" s="224"/>
      <c r="AQ88" s="224"/>
      <c r="AR88" s="224"/>
      <c r="AS88" s="224"/>
      <c r="AT88" s="224"/>
      <c r="AU88" s="224"/>
      <c r="AV88" s="224"/>
      <c r="AW88" s="224"/>
      <c r="AX88" s="224"/>
      <c r="AY88" s="224"/>
      <c r="AZ88" s="224"/>
      <c r="BA88" s="224"/>
      <c r="BB88" s="224"/>
      <c r="BC88" s="224"/>
      <c r="BD88" s="224"/>
      <c r="BE88" s="224"/>
      <c r="BF88" s="224"/>
      <c r="BG88" s="224"/>
      <c r="BH88" s="224"/>
      <c r="BI88" s="224"/>
      <c r="BJ88" s="224"/>
      <c r="BK88" s="224"/>
      <c r="BL88" s="224"/>
      <c r="BM88" s="224"/>
      <c r="BN88" s="224"/>
      <c r="BO88" s="224"/>
      <c r="BP88" s="224"/>
      <c r="BQ88" s="224"/>
      <c r="BR88" s="224"/>
      <c r="BS88" s="224"/>
      <c r="BT88" s="224"/>
      <c r="BU88" s="221" t="s">
        <v>1223</v>
      </c>
    </row>
    <row r="89" spans="2:73" ht="27.6" x14ac:dyDescent="0.3">
      <c r="B89" s="129" t="s">
        <v>840</v>
      </c>
      <c r="C89" s="244">
        <v>86</v>
      </c>
      <c r="D89" s="131" t="s">
        <v>965</v>
      </c>
      <c r="E89" s="224"/>
      <c r="F89" s="224"/>
      <c r="G89" s="224"/>
      <c r="H89" s="224"/>
      <c r="I89" s="224"/>
      <c r="J89" s="224"/>
      <c r="K89" s="224"/>
      <c r="L89" s="224"/>
      <c r="M89" s="224"/>
      <c r="N89" s="224"/>
      <c r="O89" s="224"/>
      <c r="P89" s="224"/>
      <c r="Q89" s="224"/>
      <c r="R89" s="224"/>
      <c r="S89" s="224"/>
      <c r="T89" s="224"/>
      <c r="U89" s="224"/>
      <c r="V89" s="224"/>
      <c r="W89" s="224"/>
      <c r="X89" s="224"/>
      <c r="Y89" s="224"/>
      <c r="Z89" s="224"/>
      <c r="AA89" s="224"/>
      <c r="AB89" s="224"/>
      <c r="AC89" s="224"/>
      <c r="AD89" s="224"/>
      <c r="AE89" s="224"/>
      <c r="AF89" s="224"/>
      <c r="AG89" s="224"/>
      <c r="AH89" s="224"/>
      <c r="AI89" s="224"/>
      <c r="AJ89" s="224"/>
      <c r="AK89" s="224"/>
      <c r="AL89" s="224"/>
      <c r="AM89" s="224"/>
      <c r="AN89" s="224"/>
      <c r="AO89" s="224"/>
      <c r="AP89" s="224"/>
      <c r="AQ89" s="224"/>
      <c r="AR89" s="224"/>
      <c r="AS89" s="224"/>
      <c r="AT89" s="224"/>
      <c r="AU89" s="224"/>
      <c r="AV89" s="224"/>
      <c r="AW89" s="224"/>
      <c r="AX89" s="224"/>
      <c r="AY89" s="224"/>
      <c r="AZ89" s="224"/>
      <c r="BA89" s="224"/>
      <c r="BB89" s="224"/>
      <c r="BC89" s="224"/>
      <c r="BD89" s="224"/>
      <c r="BE89" s="224"/>
      <c r="BF89" s="224"/>
      <c r="BG89" s="224"/>
      <c r="BH89" s="224"/>
      <c r="BI89" s="224"/>
      <c r="BJ89" s="224"/>
      <c r="BK89" s="224"/>
      <c r="BL89" s="224"/>
      <c r="BM89" s="224"/>
      <c r="BN89" s="224"/>
      <c r="BO89" s="224"/>
      <c r="BP89" s="224"/>
      <c r="BQ89" s="224"/>
      <c r="BR89" s="224"/>
      <c r="BS89" s="224"/>
      <c r="BT89" s="224"/>
      <c r="BU89" s="221" t="s">
        <v>1223</v>
      </c>
    </row>
    <row r="90" spans="2:73" ht="41.4" x14ac:dyDescent="0.3">
      <c r="B90" s="129" t="s">
        <v>840</v>
      </c>
      <c r="C90" s="244">
        <v>87</v>
      </c>
      <c r="D90" s="131" t="s">
        <v>967</v>
      </c>
      <c r="E90" s="224"/>
      <c r="F90" s="224"/>
      <c r="G90" s="224"/>
      <c r="H90" s="224"/>
      <c r="I90" s="224"/>
      <c r="J90" s="224"/>
      <c r="K90" s="224"/>
      <c r="L90" s="224"/>
      <c r="M90" s="224"/>
      <c r="N90" s="224"/>
      <c r="O90" s="224"/>
      <c r="P90" s="224"/>
      <c r="Q90" s="224"/>
      <c r="R90" s="224"/>
      <c r="S90" s="224"/>
      <c r="T90" s="224"/>
      <c r="U90" s="224"/>
      <c r="V90" s="224"/>
      <c r="W90" s="224"/>
      <c r="X90" s="224"/>
      <c r="Y90" s="224"/>
      <c r="Z90" s="224"/>
      <c r="AA90" s="224"/>
      <c r="AB90" s="224"/>
      <c r="AC90" s="224"/>
      <c r="AD90" s="224"/>
      <c r="AE90" s="224"/>
      <c r="AF90" s="224"/>
      <c r="AG90" s="224"/>
      <c r="AH90" s="224"/>
      <c r="AI90" s="224"/>
      <c r="AJ90" s="224"/>
      <c r="AK90" s="224"/>
      <c r="AL90" s="224"/>
      <c r="AM90" s="224"/>
      <c r="AN90" s="224"/>
      <c r="AO90" s="224"/>
      <c r="AP90" s="224"/>
      <c r="AQ90" s="224"/>
      <c r="AR90" s="224"/>
      <c r="AS90" s="224"/>
      <c r="AT90" s="224"/>
      <c r="AU90" s="224"/>
      <c r="AV90" s="224"/>
      <c r="AW90" s="224"/>
      <c r="AX90" s="224"/>
      <c r="AY90" s="224"/>
      <c r="AZ90" s="224"/>
      <c r="BA90" s="224"/>
      <c r="BB90" s="224"/>
      <c r="BC90" s="224"/>
      <c r="BD90" s="224"/>
      <c r="BE90" s="224"/>
      <c r="BF90" s="224"/>
      <c r="BG90" s="224"/>
      <c r="BH90" s="224"/>
      <c r="BI90" s="224"/>
      <c r="BJ90" s="224"/>
      <c r="BK90" s="224"/>
      <c r="BL90" s="224"/>
      <c r="BM90" s="224"/>
      <c r="BN90" s="224"/>
      <c r="BO90" s="224"/>
      <c r="BP90" s="224"/>
      <c r="BQ90" s="224"/>
      <c r="BR90" s="224"/>
      <c r="BS90" s="224"/>
      <c r="BT90" s="224"/>
      <c r="BU90" s="221" t="s">
        <v>1223</v>
      </c>
    </row>
    <row r="91" spans="2:73" x14ac:dyDescent="0.3">
      <c r="B91" s="267" t="s">
        <v>840</v>
      </c>
      <c r="C91" s="244">
        <v>88</v>
      </c>
      <c r="D91" s="245" t="s">
        <v>845</v>
      </c>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3"/>
      <c r="AJ91" s="243"/>
      <c r="AK91" s="243"/>
      <c r="AL91" s="243"/>
      <c r="AM91" s="243"/>
      <c r="AN91" s="243"/>
      <c r="AO91" s="243"/>
      <c r="AP91" s="243"/>
      <c r="AQ91" s="243"/>
      <c r="AR91" s="243"/>
      <c r="AS91" s="243"/>
      <c r="AT91" s="243"/>
      <c r="AU91" s="243"/>
      <c r="AV91" s="243"/>
      <c r="AW91" s="243"/>
      <c r="AX91" s="243"/>
      <c r="AY91" s="243"/>
      <c r="AZ91" s="243"/>
      <c r="BA91" s="243"/>
      <c r="BB91" s="243"/>
      <c r="BC91" s="243"/>
      <c r="BD91" s="243"/>
      <c r="BE91" s="243"/>
      <c r="BF91" s="243"/>
      <c r="BG91" s="243"/>
      <c r="BH91" s="243"/>
      <c r="BI91" s="243"/>
      <c r="BJ91" s="243"/>
      <c r="BK91" s="243"/>
      <c r="BL91" s="243"/>
      <c r="BM91" s="243"/>
      <c r="BN91" s="243"/>
      <c r="BO91" s="243"/>
      <c r="BP91" s="243"/>
      <c r="BQ91" s="243"/>
      <c r="BR91" s="243"/>
      <c r="BS91" s="243"/>
      <c r="BT91" s="243"/>
      <c r="BU91" s="246"/>
    </row>
    <row r="92" spans="2:73" ht="41.4" x14ac:dyDescent="0.3">
      <c r="B92" s="129" t="s">
        <v>840</v>
      </c>
      <c r="C92" s="244">
        <v>89</v>
      </c>
      <c r="D92" s="131" t="s">
        <v>969</v>
      </c>
      <c r="E92" s="224"/>
      <c r="F92" s="224"/>
      <c r="G92" s="224"/>
      <c r="H92" s="224"/>
      <c r="I92" s="224"/>
      <c r="J92" s="224"/>
      <c r="K92" s="224"/>
      <c r="L92" s="224"/>
      <c r="M92" s="224"/>
      <c r="N92" s="224"/>
      <c r="O92" s="224"/>
      <c r="P92" s="224"/>
      <c r="Q92" s="224"/>
      <c r="R92" s="224"/>
      <c r="S92" s="224"/>
      <c r="T92" s="224"/>
      <c r="U92" s="224"/>
      <c r="V92" s="224"/>
      <c r="W92" s="224"/>
      <c r="X92" s="224"/>
      <c r="Y92" s="224"/>
      <c r="Z92" s="224"/>
      <c r="AA92" s="224"/>
      <c r="AB92" s="224"/>
      <c r="AC92" s="224"/>
      <c r="AD92" s="224"/>
      <c r="AE92" s="224"/>
      <c r="AF92" s="224"/>
      <c r="AG92" s="224"/>
      <c r="AH92" s="224"/>
      <c r="AI92" s="224"/>
      <c r="AJ92" s="224"/>
      <c r="AK92" s="224"/>
      <c r="AL92" s="224"/>
      <c r="AM92" s="224"/>
      <c r="AN92" s="224"/>
      <c r="AO92" s="224"/>
      <c r="AP92" s="224"/>
      <c r="AQ92" s="224"/>
      <c r="AR92" s="224"/>
      <c r="AS92" s="224"/>
      <c r="AT92" s="224"/>
      <c r="AU92" s="224"/>
      <c r="AV92" s="224"/>
      <c r="AW92" s="224"/>
      <c r="AX92" s="224"/>
      <c r="AY92" s="224"/>
      <c r="AZ92" s="224"/>
      <c r="BA92" s="224"/>
      <c r="BB92" s="224"/>
      <c r="BC92" s="224"/>
      <c r="BD92" s="224"/>
      <c r="BE92" s="224"/>
      <c r="BF92" s="224"/>
      <c r="BG92" s="224"/>
      <c r="BH92" s="224"/>
      <c r="BI92" s="224"/>
      <c r="BJ92" s="224"/>
      <c r="BK92" s="224"/>
      <c r="BL92" s="224"/>
      <c r="BM92" s="224"/>
      <c r="BN92" s="224"/>
      <c r="BO92" s="224"/>
      <c r="BP92" s="224"/>
      <c r="BQ92" s="224"/>
      <c r="BR92" s="224"/>
      <c r="BS92" s="224"/>
      <c r="BT92" s="224"/>
      <c r="BU92" s="221" t="s">
        <v>1224</v>
      </c>
    </row>
    <row r="93" spans="2:73" ht="41.4" x14ac:dyDescent="0.3">
      <c r="B93" s="129" t="s">
        <v>840</v>
      </c>
      <c r="C93" s="244">
        <v>90</v>
      </c>
      <c r="D93" s="131" t="s">
        <v>895</v>
      </c>
      <c r="E93" s="224"/>
      <c r="F93" s="224"/>
      <c r="G93" s="224"/>
      <c r="H93" s="224"/>
      <c r="I93" s="224"/>
      <c r="J93" s="224"/>
      <c r="K93" s="224"/>
      <c r="L93" s="224"/>
      <c r="M93" s="224"/>
      <c r="N93" s="224"/>
      <c r="O93" s="224"/>
      <c r="P93" s="224"/>
      <c r="Q93" s="224"/>
      <c r="R93" s="224"/>
      <c r="S93" s="224"/>
      <c r="T93" s="224"/>
      <c r="U93" s="224"/>
      <c r="V93" s="224"/>
      <c r="W93" s="224"/>
      <c r="X93" s="224"/>
      <c r="Y93" s="224"/>
      <c r="Z93" s="224"/>
      <c r="AA93" s="224"/>
      <c r="AB93" s="224"/>
      <c r="AC93" s="224"/>
      <c r="AD93" s="224"/>
      <c r="AE93" s="224"/>
      <c r="AF93" s="224"/>
      <c r="AG93" s="224"/>
      <c r="AH93" s="224"/>
      <c r="AI93" s="224"/>
      <c r="AJ93" s="224"/>
      <c r="AK93" s="224"/>
      <c r="AL93" s="224"/>
      <c r="AM93" s="224"/>
      <c r="AN93" s="224"/>
      <c r="AO93" s="224"/>
      <c r="AP93" s="224"/>
      <c r="AQ93" s="224"/>
      <c r="AR93" s="224"/>
      <c r="AS93" s="224"/>
      <c r="AT93" s="224"/>
      <c r="AU93" s="224"/>
      <c r="AV93" s="224"/>
      <c r="AW93" s="224"/>
      <c r="AX93" s="224"/>
      <c r="AY93" s="224"/>
      <c r="AZ93" s="224"/>
      <c r="BA93" s="224"/>
      <c r="BB93" s="224"/>
      <c r="BC93" s="224"/>
      <c r="BD93" s="224"/>
      <c r="BE93" s="224"/>
      <c r="BF93" s="224"/>
      <c r="BG93" s="224"/>
      <c r="BH93" s="224"/>
      <c r="BI93" s="224"/>
      <c r="BJ93" s="224"/>
      <c r="BK93" s="224"/>
      <c r="BL93" s="224"/>
      <c r="BM93" s="224"/>
      <c r="BN93" s="224"/>
      <c r="BO93" s="224"/>
      <c r="BP93" s="224"/>
      <c r="BQ93" s="224"/>
      <c r="BR93" s="224"/>
      <c r="BS93" s="224"/>
      <c r="BT93" s="224"/>
      <c r="BU93" s="221" t="s">
        <v>1224</v>
      </c>
    </row>
    <row r="94" spans="2:73" ht="41.4" x14ac:dyDescent="0.3">
      <c r="B94" s="129" t="s">
        <v>840</v>
      </c>
      <c r="C94" s="244">
        <v>91</v>
      </c>
      <c r="D94" s="131" t="s">
        <v>972</v>
      </c>
      <c r="E94" s="224"/>
      <c r="F94" s="224"/>
      <c r="G94" s="224"/>
      <c r="H94" s="224"/>
      <c r="I94" s="224"/>
      <c r="J94" s="224"/>
      <c r="K94" s="224"/>
      <c r="L94" s="224"/>
      <c r="M94" s="224"/>
      <c r="N94" s="224"/>
      <c r="O94" s="224"/>
      <c r="P94" s="224"/>
      <c r="Q94" s="224"/>
      <c r="R94" s="224"/>
      <c r="S94" s="224"/>
      <c r="T94" s="224"/>
      <c r="U94" s="224"/>
      <c r="V94" s="224"/>
      <c r="W94" s="224"/>
      <c r="X94" s="224"/>
      <c r="Y94" s="224"/>
      <c r="Z94" s="224"/>
      <c r="AA94" s="224"/>
      <c r="AB94" s="224"/>
      <c r="AC94" s="224"/>
      <c r="AD94" s="224"/>
      <c r="AE94" s="224"/>
      <c r="AF94" s="224"/>
      <c r="AG94" s="224"/>
      <c r="AH94" s="224"/>
      <c r="AI94" s="224"/>
      <c r="AJ94" s="224"/>
      <c r="AK94" s="224"/>
      <c r="AL94" s="224"/>
      <c r="AM94" s="224"/>
      <c r="AN94" s="224"/>
      <c r="AO94" s="224"/>
      <c r="AP94" s="224"/>
      <c r="AQ94" s="224"/>
      <c r="AR94" s="224"/>
      <c r="AS94" s="224"/>
      <c r="AT94" s="224"/>
      <c r="AU94" s="224"/>
      <c r="AV94" s="224"/>
      <c r="AW94" s="224"/>
      <c r="AX94" s="224"/>
      <c r="AY94" s="224"/>
      <c r="AZ94" s="224"/>
      <c r="BA94" s="224"/>
      <c r="BB94" s="224"/>
      <c r="BC94" s="224"/>
      <c r="BD94" s="224"/>
      <c r="BE94" s="224"/>
      <c r="BF94" s="224"/>
      <c r="BG94" s="224"/>
      <c r="BH94" s="224"/>
      <c r="BI94" s="224"/>
      <c r="BJ94" s="224"/>
      <c r="BK94" s="224"/>
      <c r="BL94" s="224"/>
      <c r="BM94" s="224"/>
      <c r="BN94" s="224"/>
      <c r="BO94" s="224"/>
      <c r="BP94" s="224"/>
      <c r="BQ94" s="224"/>
      <c r="BR94" s="224"/>
      <c r="BS94" s="224"/>
      <c r="BT94" s="224"/>
      <c r="BU94" s="221" t="s">
        <v>1218</v>
      </c>
    </row>
    <row r="95" spans="2:73" ht="41.4" x14ac:dyDescent="0.3">
      <c r="B95" s="129" t="s">
        <v>840</v>
      </c>
      <c r="C95" s="244">
        <v>92</v>
      </c>
      <c r="D95" s="131" t="s">
        <v>899</v>
      </c>
      <c r="E95" s="224"/>
      <c r="F95" s="224"/>
      <c r="G95" s="224"/>
      <c r="H95" s="224"/>
      <c r="I95" s="224"/>
      <c r="J95" s="224"/>
      <c r="K95" s="224"/>
      <c r="L95" s="224"/>
      <c r="M95" s="224"/>
      <c r="N95" s="224"/>
      <c r="O95" s="224"/>
      <c r="P95" s="224"/>
      <c r="Q95" s="224"/>
      <c r="R95" s="224"/>
      <c r="S95" s="224"/>
      <c r="T95" s="224"/>
      <c r="U95" s="224"/>
      <c r="V95" s="224"/>
      <c r="W95" s="224"/>
      <c r="X95" s="224"/>
      <c r="Y95" s="224"/>
      <c r="Z95" s="224"/>
      <c r="AA95" s="224"/>
      <c r="AB95" s="224"/>
      <c r="AC95" s="224"/>
      <c r="AD95" s="224"/>
      <c r="AE95" s="224"/>
      <c r="AF95" s="224"/>
      <c r="AG95" s="224"/>
      <c r="AH95" s="224"/>
      <c r="AI95" s="224"/>
      <c r="AJ95" s="224"/>
      <c r="AK95" s="224"/>
      <c r="AL95" s="224"/>
      <c r="AM95" s="224"/>
      <c r="AN95" s="224"/>
      <c r="AO95" s="224"/>
      <c r="AP95" s="224"/>
      <c r="AQ95" s="224"/>
      <c r="AR95" s="224"/>
      <c r="AS95" s="224"/>
      <c r="AT95" s="224"/>
      <c r="AU95" s="224"/>
      <c r="AV95" s="224"/>
      <c r="AW95" s="224"/>
      <c r="AX95" s="224"/>
      <c r="AY95" s="224"/>
      <c r="AZ95" s="224"/>
      <c r="BA95" s="224"/>
      <c r="BB95" s="224"/>
      <c r="BC95" s="224"/>
      <c r="BD95" s="224"/>
      <c r="BE95" s="224"/>
      <c r="BF95" s="224"/>
      <c r="BG95" s="224"/>
      <c r="BH95" s="224"/>
      <c r="BI95" s="224"/>
      <c r="BJ95" s="224"/>
      <c r="BK95" s="224"/>
      <c r="BL95" s="224"/>
      <c r="BM95" s="224"/>
      <c r="BN95" s="224"/>
      <c r="BO95" s="224"/>
      <c r="BP95" s="224"/>
      <c r="BQ95" s="224"/>
      <c r="BR95" s="224"/>
      <c r="BS95" s="224"/>
      <c r="BT95" s="224"/>
      <c r="BU95" s="221" t="s">
        <v>1224</v>
      </c>
    </row>
    <row r="96" spans="2:73" x14ac:dyDescent="0.3">
      <c r="B96" s="267" t="s">
        <v>834</v>
      </c>
      <c r="C96" s="244">
        <v>93</v>
      </c>
      <c r="D96" s="245" t="s">
        <v>845</v>
      </c>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3"/>
      <c r="AJ96" s="243"/>
      <c r="AK96" s="243"/>
      <c r="AL96" s="243"/>
      <c r="AM96" s="243"/>
      <c r="AN96" s="243"/>
      <c r="AO96" s="243"/>
      <c r="AP96" s="243"/>
      <c r="AQ96" s="243"/>
      <c r="AR96" s="243"/>
      <c r="AS96" s="243"/>
      <c r="AT96" s="243"/>
      <c r="AU96" s="243"/>
      <c r="AV96" s="243"/>
      <c r="AW96" s="243"/>
      <c r="AX96" s="243"/>
      <c r="AY96" s="243"/>
      <c r="AZ96" s="243"/>
      <c r="BA96" s="243"/>
      <c r="BB96" s="243"/>
      <c r="BC96" s="243"/>
      <c r="BD96" s="243"/>
      <c r="BE96" s="243"/>
      <c r="BF96" s="243"/>
      <c r="BG96" s="243"/>
      <c r="BH96" s="243"/>
      <c r="BI96" s="243"/>
      <c r="BJ96" s="243"/>
      <c r="BK96" s="243"/>
      <c r="BL96" s="243"/>
      <c r="BM96" s="243"/>
      <c r="BN96" s="243"/>
      <c r="BO96" s="243"/>
      <c r="BP96" s="243"/>
      <c r="BQ96" s="243"/>
      <c r="BR96" s="243"/>
      <c r="BS96" s="243"/>
      <c r="BT96" s="243"/>
      <c r="BU96" s="246"/>
    </row>
    <row r="97" spans="2:73" ht="27.6" x14ac:dyDescent="0.3">
      <c r="B97" s="129" t="s">
        <v>834</v>
      </c>
      <c r="C97" s="244">
        <v>94</v>
      </c>
      <c r="D97" s="131" t="s">
        <v>974</v>
      </c>
      <c r="E97" s="224"/>
      <c r="F97" s="224"/>
      <c r="G97" s="224"/>
      <c r="H97" s="224"/>
      <c r="I97" s="224"/>
      <c r="J97" s="224"/>
      <c r="K97" s="224"/>
      <c r="L97" s="224"/>
      <c r="M97" s="224"/>
      <c r="N97" s="224"/>
      <c r="O97" s="224"/>
      <c r="P97" s="224"/>
      <c r="Q97" s="224"/>
      <c r="R97" s="224"/>
      <c r="S97" s="224"/>
      <c r="T97" s="224"/>
      <c r="U97" s="224"/>
      <c r="V97" s="224"/>
      <c r="W97" s="224"/>
      <c r="X97" s="224"/>
      <c r="Y97" s="224"/>
      <c r="Z97" s="224"/>
      <c r="AA97" s="224"/>
      <c r="AB97" s="224"/>
      <c r="AC97" s="224"/>
      <c r="AD97" s="224"/>
      <c r="AE97" s="224"/>
      <c r="AF97" s="224"/>
      <c r="AG97" s="224"/>
      <c r="AH97" s="224"/>
      <c r="AI97" s="224"/>
      <c r="AJ97" s="224"/>
      <c r="AK97" s="224"/>
      <c r="AL97" s="224"/>
      <c r="AM97" s="224"/>
      <c r="AN97" s="224"/>
      <c r="AO97" s="224"/>
      <c r="AP97" s="224"/>
      <c r="AQ97" s="224"/>
      <c r="AR97" s="224"/>
      <c r="AS97" s="224"/>
      <c r="AT97" s="224"/>
      <c r="AU97" s="224"/>
      <c r="AV97" s="224"/>
      <c r="AW97" s="224"/>
      <c r="AX97" s="224"/>
      <c r="AY97" s="224"/>
      <c r="AZ97" s="224"/>
      <c r="BA97" s="224"/>
      <c r="BB97" s="224"/>
      <c r="BC97" s="224"/>
      <c r="BD97" s="224"/>
      <c r="BE97" s="224"/>
      <c r="BF97" s="224"/>
      <c r="BG97" s="224"/>
      <c r="BH97" s="224"/>
      <c r="BI97" s="224"/>
      <c r="BJ97" s="224"/>
      <c r="BK97" s="224"/>
      <c r="BL97" s="224"/>
      <c r="BM97" s="224"/>
      <c r="BN97" s="224"/>
      <c r="BO97" s="224"/>
      <c r="BP97" s="224"/>
      <c r="BQ97" s="224"/>
      <c r="BR97" s="224"/>
      <c r="BS97" s="224"/>
      <c r="BT97" s="224"/>
      <c r="BU97" s="221" t="s">
        <v>1213</v>
      </c>
    </row>
    <row r="98" spans="2:73" ht="27.6" x14ac:dyDescent="0.3">
      <c r="B98" s="129" t="s">
        <v>834</v>
      </c>
      <c r="C98" s="244">
        <v>95</v>
      </c>
      <c r="D98" s="131" t="s">
        <v>976</v>
      </c>
      <c r="E98" s="224"/>
      <c r="F98" s="224"/>
      <c r="G98" s="224"/>
      <c r="H98" s="224"/>
      <c r="I98" s="224"/>
      <c r="J98" s="224"/>
      <c r="K98" s="224"/>
      <c r="L98" s="224"/>
      <c r="M98" s="224"/>
      <c r="N98" s="224"/>
      <c r="O98" s="224"/>
      <c r="P98" s="224"/>
      <c r="Q98" s="224"/>
      <c r="R98" s="224"/>
      <c r="S98" s="224"/>
      <c r="T98" s="224"/>
      <c r="U98" s="224"/>
      <c r="V98" s="224"/>
      <c r="W98" s="224"/>
      <c r="X98" s="224"/>
      <c r="Y98" s="224"/>
      <c r="Z98" s="224"/>
      <c r="AA98" s="224"/>
      <c r="AB98" s="224"/>
      <c r="AC98" s="224"/>
      <c r="AD98" s="224"/>
      <c r="AE98" s="224"/>
      <c r="AF98" s="224"/>
      <c r="AG98" s="224"/>
      <c r="AH98" s="224"/>
      <c r="AI98" s="224"/>
      <c r="AJ98" s="224"/>
      <c r="AK98" s="224"/>
      <c r="AL98" s="224"/>
      <c r="AM98" s="224"/>
      <c r="AN98" s="224"/>
      <c r="AO98" s="224"/>
      <c r="AP98" s="224"/>
      <c r="AQ98" s="224"/>
      <c r="AR98" s="224"/>
      <c r="AS98" s="224"/>
      <c r="AT98" s="224"/>
      <c r="AU98" s="224"/>
      <c r="AV98" s="224"/>
      <c r="AW98" s="224"/>
      <c r="AX98" s="224"/>
      <c r="AY98" s="224"/>
      <c r="AZ98" s="224"/>
      <c r="BA98" s="224"/>
      <c r="BB98" s="224"/>
      <c r="BC98" s="224"/>
      <c r="BD98" s="224"/>
      <c r="BE98" s="224"/>
      <c r="BF98" s="224"/>
      <c r="BG98" s="224"/>
      <c r="BH98" s="224"/>
      <c r="BI98" s="224"/>
      <c r="BJ98" s="224"/>
      <c r="BK98" s="224"/>
      <c r="BL98" s="224"/>
      <c r="BM98" s="224"/>
      <c r="BN98" s="224"/>
      <c r="BO98" s="224"/>
      <c r="BP98" s="224"/>
      <c r="BQ98" s="224"/>
      <c r="BR98" s="224"/>
      <c r="BS98" s="224"/>
      <c r="BT98" s="224"/>
      <c r="BU98" s="221" t="s">
        <v>1213</v>
      </c>
    </row>
    <row r="99" spans="2:73" ht="27.6" x14ac:dyDescent="0.3">
      <c r="B99" s="129" t="s">
        <v>834</v>
      </c>
      <c r="C99" s="244">
        <v>96</v>
      </c>
      <c r="D99" s="131" t="s">
        <v>978</v>
      </c>
      <c r="E99" s="224"/>
      <c r="F99" s="224"/>
      <c r="G99" s="224"/>
      <c r="H99" s="224"/>
      <c r="I99" s="224"/>
      <c r="J99" s="224"/>
      <c r="K99" s="224"/>
      <c r="L99" s="224"/>
      <c r="M99" s="224"/>
      <c r="N99" s="224"/>
      <c r="O99" s="224"/>
      <c r="P99" s="224"/>
      <c r="Q99" s="224"/>
      <c r="R99" s="224"/>
      <c r="S99" s="224"/>
      <c r="T99" s="224"/>
      <c r="U99" s="224"/>
      <c r="V99" s="224"/>
      <c r="W99" s="224"/>
      <c r="X99" s="224"/>
      <c r="Y99" s="224"/>
      <c r="Z99" s="224"/>
      <c r="AA99" s="224"/>
      <c r="AB99" s="224"/>
      <c r="AC99" s="224"/>
      <c r="AD99" s="224"/>
      <c r="AE99" s="224"/>
      <c r="AF99" s="224"/>
      <c r="AG99" s="224"/>
      <c r="AH99" s="224"/>
      <c r="AI99" s="224"/>
      <c r="AJ99" s="224"/>
      <c r="AK99" s="224"/>
      <c r="AL99" s="224"/>
      <c r="AM99" s="224"/>
      <c r="AN99" s="224"/>
      <c r="AO99" s="224"/>
      <c r="AP99" s="224"/>
      <c r="AQ99" s="224"/>
      <c r="AR99" s="224"/>
      <c r="AS99" s="224"/>
      <c r="AT99" s="224"/>
      <c r="AU99" s="224"/>
      <c r="AV99" s="224"/>
      <c r="AW99" s="224"/>
      <c r="AX99" s="224"/>
      <c r="AY99" s="224"/>
      <c r="AZ99" s="224"/>
      <c r="BA99" s="224"/>
      <c r="BB99" s="224"/>
      <c r="BC99" s="224"/>
      <c r="BD99" s="224"/>
      <c r="BE99" s="224"/>
      <c r="BF99" s="224"/>
      <c r="BG99" s="224"/>
      <c r="BH99" s="224"/>
      <c r="BI99" s="224"/>
      <c r="BJ99" s="224"/>
      <c r="BK99" s="224"/>
      <c r="BL99" s="224"/>
      <c r="BM99" s="224"/>
      <c r="BN99" s="224"/>
      <c r="BO99" s="224"/>
      <c r="BP99" s="224"/>
      <c r="BQ99" s="224"/>
      <c r="BR99" s="224"/>
      <c r="BS99" s="224"/>
      <c r="BT99" s="224"/>
      <c r="BU99" s="221" t="s">
        <v>1213</v>
      </c>
    </row>
    <row r="100" spans="2:73" ht="27.6" x14ac:dyDescent="0.3">
      <c r="B100" s="129" t="s">
        <v>834</v>
      </c>
      <c r="C100" s="244">
        <v>97</v>
      </c>
      <c r="D100" s="131" t="s">
        <v>980</v>
      </c>
      <c r="E100" s="224"/>
      <c r="F100" s="224"/>
      <c r="G100" s="224"/>
      <c r="H100" s="224"/>
      <c r="I100" s="224"/>
      <c r="J100" s="224"/>
      <c r="K100" s="224"/>
      <c r="L100" s="224"/>
      <c r="M100" s="224"/>
      <c r="N100" s="224"/>
      <c r="O100" s="224"/>
      <c r="P100" s="224"/>
      <c r="Q100" s="224"/>
      <c r="R100" s="224"/>
      <c r="S100" s="224"/>
      <c r="T100" s="224"/>
      <c r="U100" s="224"/>
      <c r="V100" s="224"/>
      <c r="W100" s="224"/>
      <c r="X100" s="224"/>
      <c r="Y100" s="224"/>
      <c r="Z100" s="224"/>
      <c r="AA100" s="224"/>
      <c r="AB100" s="224"/>
      <c r="AC100" s="224"/>
      <c r="AD100" s="224"/>
      <c r="AE100" s="224"/>
      <c r="AF100" s="224"/>
      <c r="AG100" s="224"/>
      <c r="AH100" s="224"/>
      <c r="AI100" s="224"/>
      <c r="AJ100" s="224"/>
      <c r="AK100" s="224"/>
      <c r="AL100" s="224"/>
      <c r="AM100" s="224"/>
      <c r="AN100" s="224"/>
      <c r="AO100" s="224"/>
      <c r="AP100" s="224"/>
      <c r="AQ100" s="224"/>
      <c r="AR100" s="224"/>
      <c r="AS100" s="224"/>
      <c r="AT100" s="224"/>
      <c r="AU100" s="224"/>
      <c r="AV100" s="224"/>
      <c r="AW100" s="224"/>
      <c r="AX100" s="224"/>
      <c r="AY100" s="224"/>
      <c r="AZ100" s="224"/>
      <c r="BA100" s="224"/>
      <c r="BB100" s="224"/>
      <c r="BC100" s="224"/>
      <c r="BD100" s="224"/>
      <c r="BE100" s="224"/>
      <c r="BF100" s="224"/>
      <c r="BG100" s="224"/>
      <c r="BH100" s="224"/>
      <c r="BI100" s="224"/>
      <c r="BJ100" s="224"/>
      <c r="BK100" s="224"/>
      <c r="BL100" s="224"/>
      <c r="BM100" s="224"/>
      <c r="BN100" s="224"/>
      <c r="BO100" s="224"/>
      <c r="BP100" s="224"/>
      <c r="BQ100" s="224"/>
      <c r="BR100" s="224"/>
      <c r="BS100" s="224"/>
      <c r="BT100" s="224"/>
      <c r="BU100" s="221" t="s">
        <v>1213</v>
      </c>
    </row>
    <row r="101" spans="2:73" ht="41.4" x14ac:dyDescent="0.3">
      <c r="B101" s="129" t="s">
        <v>834</v>
      </c>
      <c r="C101" s="244">
        <v>98</v>
      </c>
      <c r="D101" s="131" t="s">
        <v>982</v>
      </c>
      <c r="E101" s="224"/>
      <c r="F101" s="224"/>
      <c r="G101" s="224"/>
      <c r="H101" s="224"/>
      <c r="I101" s="224"/>
      <c r="J101" s="224"/>
      <c r="K101" s="224"/>
      <c r="L101" s="224"/>
      <c r="M101" s="224"/>
      <c r="N101" s="224"/>
      <c r="O101" s="224"/>
      <c r="P101" s="224"/>
      <c r="Q101" s="224"/>
      <c r="R101" s="224"/>
      <c r="S101" s="224"/>
      <c r="T101" s="224"/>
      <c r="U101" s="224"/>
      <c r="V101" s="224"/>
      <c r="W101" s="224"/>
      <c r="X101" s="224"/>
      <c r="Y101" s="224"/>
      <c r="Z101" s="224"/>
      <c r="AA101" s="224"/>
      <c r="AB101" s="224"/>
      <c r="AC101" s="224"/>
      <c r="AD101" s="224"/>
      <c r="AE101" s="224"/>
      <c r="AF101" s="224"/>
      <c r="AG101" s="224"/>
      <c r="AH101" s="224"/>
      <c r="AI101" s="224"/>
      <c r="AJ101" s="224"/>
      <c r="AK101" s="224"/>
      <c r="AL101" s="224"/>
      <c r="AM101" s="224"/>
      <c r="AN101" s="224"/>
      <c r="AO101" s="224"/>
      <c r="AP101" s="224"/>
      <c r="AQ101" s="224"/>
      <c r="AR101" s="224"/>
      <c r="AS101" s="224"/>
      <c r="AT101" s="224"/>
      <c r="AU101" s="224"/>
      <c r="AV101" s="224"/>
      <c r="AW101" s="224"/>
      <c r="AX101" s="224"/>
      <c r="AY101" s="224"/>
      <c r="AZ101" s="224"/>
      <c r="BA101" s="224"/>
      <c r="BB101" s="224"/>
      <c r="BC101" s="224"/>
      <c r="BD101" s="224"/>
      <c r="BE101" s="224"/>
      <c r="BF101" s="224"/>
      <c r="BG101" s="224"/>
      <c r="BH101" s="224"/>
      <c r="BI101" s="224"/>
      <c r="BJ101" s="224"/>
      <c r="BK101" s="224"/>
      <c r="BL101" s="224"/>
      <c r="BM101" s="224"/>
      <c r="BN101" s="224"/>
      <c r="BO101" s="224"/>
      <c r="BP101" s="224"/>
      <c r="BQ101" s="224"/>
      <c r="BR101" s="224"/>
      <c r="BS101" s="224"/>
      <c r="BT101" s="224"/>
      <c r="BU101" s="221" t="s">
        <v>1225</v>
      </c>
    </row>
    <row r="102" spans="2:73" ht="41.4" x14ac:dyDescent="0.3">
      <c r="B102" s="129" t="s">
        <v>834</v>
      </c>
      <c r="C102" s="244">
        <v>99</v>
      </c>
      <c r="D102" s="131" t="s">
        <v>984</v>
      </c>
      <c r="E102" s="224"/>
      <c r="F102" s="224"/>
      <c r="G102" s="224"/>
      <c r="H102" s="224"/>
      <c r="I102" s="224"/>
      <c r="J102" s="224"/>
      <c r="K102" s="224"/>
      <c r="L102" s="224"/>
      <c r="M102" s="224"/>
      <c r="N102" s="224"/>
      <c r="O102" s="224"/>
      <c r="P102" s="224"/>
      <c r="Q102" s="224"/>
      <c r="R102" s="224"/>
      <c r="S102" s="224"/>
      <c r="T102" s="224"/>
      <c r="U102" s="224"/>
      <c r="V102" s="224"/>
      <c r="W102" s="224"/>
      <c r="X102" s="224"/>
      <c r="Y102" s="224"/>
      <c r="Z102" s="224"/>
      <c r="AA102" s="224"/>
      <c r="AB102" s="224"/>
      <c r="AC102" s="224"/>
      <c r="AD102" s="224"/>
      <c r="AE102" s="224"/>
      <c r="AF102" s="224"/>
      <c r="AG102" s="224"/>
      <c r="AH102" s="224"/>
      <c r="AI102" s="224"/>
      <c r="AJ102" s="224"/>
      <c r="AK102" s="224"/>
      <c r="AL102" s="224"/>
      <c r="AM102" s="224"/>
      <c r="AN102" s="224"/>
      <c r="AO102" s="224"/>
      <c r="AP102" s="224"/>
      <c r="AQ102" s="224"/>
      <c r="AR102" s="224"/>
      <c r="AS102" s="224"/>
      <c r="AT102" s="224"/>
      <c r="AU102" s="224"/>
      <c r="AV102" s="224"/>
      <c r="AW102" s="224"/>
      <c r="AX102" s="224"/>
      <c r="AY102" s="224"/>
      <c r="AZ102" s="224"/>
      <c r="BA102" s="224"/>
      <c r="BB102" s="224"/>
      <c r="BC102" s="224"/>
      <c r="BD102" s="224"/>
      <c r="BE102" s="224"/>
      <c r="BF102" s="224"/>
      <c r="BG102" s="224"/>
      <c r="BH102" s="224"/>
      <c r="BI102" s="224"/>
      <c r="BJ102" s="224"/>
      <c r="BK102" s="224"/>
      <c r="BL102" s="224"/>
      <c r="BM102" s="224"/>
      <c r="BN102" s="224"/>
      <c r="BO102" s="224"/>
      <c r="BP102" s="224"/>
      <c r="BQ102" s="224"/>
      <c r="BR102" s="224"/>
      <c r="BS102" s="224"/>
      <c r="BT102" s="224"/>
      <c r="BU102" s="221" t="s">
        <v>1213</v>
      </c>
    </row>
    <row r="103" spans="2:73" ht="27.6" x14ac:dyDescent="0.3">
      <c r="B103" s="129" t="s">
        <v>834</v>
      </c>
      <c r="C103" s="244">
        <v>100</v>
      </c>
      <c r="D103" s="131" t="s">
        <v>986</v>
      </c>
      <c r="E103" s="224"/>
      <c r="F103" s="224"/>
      <c r="G103" s="224"/>
      <c r="H103" s="224"/>
      <c r="I103" s="224"/>
      <c r="J103" s="224"/>
      <c r="K103" s="224"/>
      <c r="L103" s="224"/>
      <c r="M103" s="224"/>
      <c r="N103" s="224"/>
      <c r="O103" s="224"/>
      <c r="P103" s="224"/>
      <c r="Q103" s="224"/>
      <c r="R103" s="224"/>
      <c r="S103" s="224"/>
      <c r="T103" s="224"/>
      <c r="U103" s="224"/>
      <c r="V103" s="224"/>
      <c r="W103" s="224"/>
      <c r="X103" s="224"/>
      <c r="Y103" s="224"/>
      <c r="Z103" s="224"/>
      <c r="AA103" s="224"/>
      <c r="AB103" s="224"/>
      <c r="AC103" s="224"/>
      <c r="AD103" s="224"/>
      <c r="AE103" s="224"/>
      <c r="AF103" s="224"/>
      <c r="AG103" s="224"/>
      <c r="AH103" s="224"/>
      <c r="AI103" s="224"/>
      <c r="AJ103" s="224"/>
      <c r="AK103" s="224"/>
      <c r="AL103" s="224"/>
      <c r="AM103" s="224"/>
      <c r="AN103" s="224"/>
      <c r="AO103" s="224"/>
      <c r="AP103" s="224"/>
      <c r="AQ103" s="224"/>
      <c r="AR103" s="224"/>
      <c r="AS103" s="224"/>
      <c r="AT103" s="224"/>
      <c r="AU103" s="224"/>
      <c r="AV103" s="224"/>
      <c r="AW103" s="224"/>
      <c r="AX103" s="224"/>
      <c r="AY103" s="224"/>
      <c r="AZ103" s="224"/>
      <c r="BA103" s="224"/>
      <c r="BB103" s="224"/>
      <c r="BC103" s="224"/>
      <c r="BD103" s="224"/>
      <c r="BE103" s="224"/>
      <c r="BF103" s="224"/>
      <c r="BG103" s="224"/>
      <c r="BH103" s="224"/>
      <c r="BI103" s="224"/>
      <c r="BJ103" s="224"/>
      <c r="BK103" s="224"/>
      <c r="BL103" s="224"/>
      <c r="BM103" s="224"/>
      <c r="BN103" s="224"/>
      <c r="BO103" s="224"/>
      <c r="BP103" s="224"/>
      <c r="BQ103" s="224"/>
      <c r="BR103" s="224"/>
      <c r="BS103" s="224"/>
      <c r="BT103" s="224"/>
      <c r="BU103" s="221" t="s">
        <v>1213</v>
      </c>
    </row>
    <row r="104" spans="2:73" ht="41.4" x14ac:dyDescent="0.3">
      <c r="B104" s="129" t="s">
        <v>834</v>
      </c>
      <c r="C104" s="244">
        <v>101</v>
      </c>
      <c r="D104" s="131" t="s">
        <v>988</v>
      </c>
      <c r="E104" s="224"/>
      <c r="F104" s="224"/>
      <c r="G104" s="224"/>
      <c r="H104" s="224"/>
      <c r="I104" s="224"/>
      <c r="J104" s="224"/>
      <c r="K104" s="224"/>
      <c r="L104" s="224"/>
      <c r="M104" s="224"/>
      <c r="N104" s="224"/>
      <c r="O104" s="224"/>
      <c r="P104" s="224"/>
      <c r="Q104" s="224"/>
      <c r="R104" s="224"/>
      <c r="S104" s="224"/>
      <c r="T104" s="224"/>
      <c r="U104" s="224"/>
      <c r="V104" s="224"/>
      <c r="W104" s="224"/>
      <c r="X104" s="224"/>
      <c r="Y104" s="224"/>
      <c r="Z104" s="224"/>
      <c r="AA104" s="224"/>
      <c r="AB104" s="224"/>
      <c r="AC104" s="224"/>
      <c r="AD104" s="224"/>
      <c r="AE104" s="224"/>
      <c r="AF104" s="224"/>
      <c r="AG104" s="224"/>
      <c r="AH104" s="224"/>
      <c r="AI104" s="224"/>
      <c r="AJ104" s="224"/>
      <c r="AK104" s="224"/>
      <c r="AL104" s="224"/>
      <c r="AM104" s="224"/>
      <c r="AN104" s="224"/>
      <c r="AO104" s="224"/>
      <c r="AP104" s="224"/>
      <c r="AQ104" s="224"/>
      <c r="AR104" s="224"/>
      <c r="AS104" s="224"/>
      <c r="AT104" s="224"/>
      <c r="AU104" s="224"/>
      <c r="AV104" s="224"/>
      <c r="AW104" s="224"/>
      <c r="AX104" s="224"/>
      <c r="AY104" s="224"/>
      <c r="AZ104" s="224"/>
      <c r="BA104" s="224"/>
      <c r="BB104" s="224"/>
      <c r="BC104" s="224"/>
      <c r="BD104" s="224"/>
      <c r="BE104" s="224"/>
      <c r="BF104" s="224"/>
      <c r="BG104" s="224"/>
      <c r="BH104" s="224"/>
      <c r="BI104" s="224"/>
      <c r="BJ104" s="224"/>
      <c r="BK104" s="224"/>
      <c r="BL104" s="224"/>
      <c r="BM104" s="224"/>
      <c r="BN104" s="224"/>
      <c r="BO104" s="224"/>
      <c r="BP104" s="224"/>
      <c r="BQ104" s="224"/>
      <c r="BR104" s="224"/>
      <c r="BS104" s="224"/>
      <c r="BT104" s="224"/>
      <c r="BU104" s="221" t="s">
        <v>1225</v>
      </c>
    </row>
    <row r="105" spans="2:73" x14ac:dyDescent="0.3">
      <c r="B105" s="129" t="s">
        <v>834</v>
      </c>
      <c r="C105" s="244">
        <v>102</v>
      </c>
      <c r="D105" s="131" t="s">
        <v>990</v>
      </c>
      <c r="E105" s="224"/>
      <c r="F105" s="224"/>
      <c r="G105" s="224"/>
      <c r="H105" s="224"/>
      <c r="I105" s="224"/>
      <c r="J105" s="224"/>
      <c r="K105" s="224"/>
      <c r="L105" s="224"/>
      <c r="M105" s="224"/>
      <c r="N105" s="224"/>
      <c r="O105" s="224"/>
      <c r="P105" s="224"/>
      <c r="Q105" s="224"/>
      <c r="R105" s="224"/>
      <c r="S105" s="224"/>
      <c r="T105" s="224"/>
      <c r="U105" s="224"/>
      <c r="V105" s="224"/>
      <c r="W105" s="224"/>
      <c r="X105" s="224"/>
      <c r="Y105" s="224"/>
      <c r="Z105" s="224"/>
      <c r="AA105" s="224"/>
      <c r="AB105" s="224"/>
      <c r="AC105" s="224"/>
      <c r="AD105" s="224"/>
      <c r="AE105" s="224"/>
      <c r="AF105" s="224"/>
      <c r="AG105" s="224"/>
      <c r="AH105" s="224"/>
      <c r="AI105" s="224"/>
      <c r="AJ105" s="224"/>
      <c r="AK105" s="224"/>
      <c r="AL105" s="224"/>
      <c r="AM105" s="224"/>
      <c r="AN105" s="224"/>
      <c r="AO105" s="224"/>
      <c r="AP105" s="224"/>
      <c r="AQ105" s="224"/>
      <c r="AR105" s="224"/>
      <c r="AS105" s="224"/>
      <c r="AT105" s="224"/>
      <c r="AU105" s="224"/>
      <c r="AV105" s="224"/>
      <c r="AW105" s="224"/>
      <c r="AX105" s="224"/>
      <c r="AY105" s="224"/>
      <c r="AZ105" s="224"/>
      <c r="BA105" s="224"/>
      <c r="BB105" s="224"/>
      <c r="BC105" s="224"/>
      <c r="BD105" s="224"/>
      <c r="BE105" s="224"/>
      <c r="BF105" s="224"/>
      <c r="BG105" s="224"/>
      <c r="BH105" s="224"/>
      <c r="BI105" s="224"/>
      <c r="BJ105" s="224"/>
      <c r="BK105" s="224"/>
      <c r="BL105" s="224"/>
      <c r="BM105" s="224"/>
      <c r="BN105" s="224"/>
      <c r="BO105" s="224"/>
      <c r="BP105" s="224"/>
      <c r="BQ105" s="224"/>
      <c r="BR105" s="224"/>
      <c r="BS105" s="224"/>
      <c r="BT105" s="224"/>
      <c r="BU105" s="221" t="s">
        <v>1226</v>
      </c>
    </row>
    <row r="106" spans="2:73" ht="41.4" x14ac:dyDescent="0.3">
      <c r="B106" s="129" t="s">
        <v>834</v>
      </c>
      <c r="C106" s="244">
        <v>103</v>
      </c>
      <c r="D106" s="131" t="s">
        <v>992</v>
      </c>
      <c r="E106" s="224"/>
      <c r="F106" s="224"/>
      <c r="G106" s="224"/>
      <c r="H106" s="224"/>
      <c r="I106" s="224"/>
      <c r="J106" s="224"/>
      <c r="K106" s="224"/>
      <c r="L106" s="224"/>
      <c r="M106" s="224"/>
      <c r="N106" s="224"/>
      <c r="O106" s="224"/>
      <c r="P106" s="224"/>
      <c r="Q106" s="224"/>
      <c r="R106" s="224"/>
      <c r="S106" s="224"/>
      <c r="T106" s="224"/>
      <c r="U106" s="224"/>
      <c r="V106" s="224"/>
      <c r="W106" s="224"/>
      <c r="X106" s="224"/>
      <c r="Y106" s="224"/>
      <c r="Z106" s="224"/>
      <c r="AA106" s="224"/>
      <c r="AB106" s="224"/>
      <c r="AC106" s="224"/>
      <c r="AD106" s="224"/>
      <c r="AE106" s="224"/>
      <c r="AF106" s="224"/>
      <c r="AG106" s="224"/>
      <c r="AH106" s="224"/>
      <c r="AI106" s="224"/>
      <c r="AJ106" s="224"/>
      <c r="AK106" s="224"/>
      <c r="AL106" s="224"/>
      <c r="AM106" s="224"/>
      <c r="AN106" s="224"/>
      <c r="AO106" s="224"/>
      <c r="AP106" s="224"/>
      <c r="AQ106" s="224"/>
      <c r="AR106" s="224"/>
      <c r="AS106" s="224"/>
      <c r="AT106" s="224"/>
      <c r="AU106" s="224"/>
      <c r="AV106" s="224"/>
      <c r="AW106" s="224"/>
      <c r="AX106" s="224"/>
      <c r="AY106" s="224"/>
      <c r="AZ106" s="224"/>
      <c r="BA106" s="224"/>
      <c r="BB106" s="224"/>
      <c r="BC106" s="224"/>
      <c r="BD106" s="224"/>
      <c r="BE106" s="224"/>
      <c r="BF106" s="224"/>
      <c r="BG106" s="224"/>
      <c r="BH106" s="224"/>
      <c r="BI106" s="224"/>
      <c r="BJ106" s="224"/>
      <c r="BK106" s="224"/>
      <c r="BL106" s="224"/>
      <c r="BM106" s="224"/>
      <c r="BN106" s="224"/>
      <c r="BO106" s="224"/>
      <c r="BP106" s="224"/>
      <c r="BQ106" s="224"/>
      <c r="BR106" s="224"/>
      <c r="BS106" s="224"/>
      <c r="BT106" s="224"/>
      <c r="BU106" s="221" t="s">
        <v>1213</v>
      </c>
    </row>
    <row r="107" spans="2:73" ht="41.4" x14ac:dyDescent="0.3">
      <c r="B107" s="129" t="s">
        <v>834</v>
      </c>
      <c r="C107" s="244">
        <v>104</v>
      </c>
      <c r="D107" s="131" t="s">
        <v>994</v>
      </c>
      <c r="E107" s="224"/>
      <c r="F107" s="224"/>
      <c r="G107" s="224"/>
      <c r="H107" s="224"/>
      <c r="I107" s="224"/>
      <c r="J107" s="224"/>
      <c r="K107" s="224"/>
      <c r="L107" s="224"/>
      <c r="M107" s="224"/>
      <c r="N107" s="224"/>
      <c r="O107" s="224"/>
      <c r="P107" s="224"/>
      <c r="Q107" s="224"/>
      <c r="R107" s="224"/>
      <c r="S107" s="224"/>
      <c r="T107" s="224"/>
      <c r="U107" s="224"/>
      <c r="V107" s="224"/>
      <c r="W107" s="224"/>
      <c r="X107" s="224"/>
      <c r="Y107" s="224"/>
      <c r="Z107" s="224"/>
      <c r="AA107" s="224"/>
      <c r="AB107" s="224"/>
      <c r="AC107" s="224"/>
      <c r="AD107" s="224"/>
      <c r="AE107" s="224"/>
      <c r="AF107" s="224"/>
      <c r="AG107" s="224"/>
      <c r="AH107" s="224"/>
      <c r="AI107" s="224"/>
      <c r="AJ107" s="224"/>
      <c r="AK107" s="224"/>
      <c r="AL107" s="224"/>
      <c r="AM107" s="224"/>
      <c r="AN107" s="224"/>
      <c r="AO107" s="224"/>
      <c r="AP107" s="224"/>
      <c r="AQ107" s="224"/>
      <c r="AR107" s="224"/>
      <c r="AS107" s="224"/>
      <c r="AT107" s="224"/>
      <c r="AU107" s="224"/>
      <c r="AV107" s="224"/>
      <c r="AW107" s="224"/>
      <c r="AX107" s="224"/>
      <c r="AY107" s="224"/>
      <c r="AZ107" s="224"/>
      <c r="BA107" s="224"/>
      <c r="BB107" s="224"/>
      <c r="BC107" s="224"/>
      <c r="BD107" s="224"/>
      <c r="BE107" s="224"/>
      <c r="BF107" s="224"/>
      <c r="BG107" s="224"/>
      <c r="BH107" s="224"/>
      <c r="BI107" s="224"/>
      <c r="BJ107" s="224"/>
      <c r="BK107" s="224"/>
      <c r="BL107" s="224"/>
      <c r="BM107" s="224"/>
      <c r="BN107" s="224"/>
      <c r="BO107" s="224"/>
      <c r="BP107" s="224"/>
      <c r="BQ107" s="224"/>
      <c r="BR107" s="224"/>
      <c r="BS107" s="224"/>
      <c r="BT107" s="224"/>
      <c r="BU107" s="221" t="s">
        <v>1226</v>
      </c>
    </row>
    <row r="108" spans="2:73" x14ac:dyDescent="0.3">
      <c r="B108" s="267" t="s">
        <v>834</v>
      </c>
      <c r="C108" s="244">
        <v>105</v>
      </c>
      <c r="D108" s="245" t="s">
        <v>845</v>
      </c>
      <c r="E108" s="243"/>
      <c r="F108" s="243"/>
      <c r="G108" s="243"/>
      <c r="H108" s="243"/>
      <c r="I108" s="243"/>
      <c r="J108" s="243"/>
      <c r="K108" s="243"/>
      <c r="L108" s="243"/>
      <c r="M108" s="243"/>
      <c r="N108" s="243"/>
      <c r="O108" s="243"/>
      <c r="P108" s="243"/>
      <c r="Q108" s="243"/>
      <c r="R108" s="243"/>
      <c r="S108" s="243"/>
      <c r="T108" s="243"/>
      <c r="U108" s="243"/>
      <c r="V108" s="243"/>
      <c r="W108" s="243"/>
      <c r="X108" s="243"/>
      <c r="Y108" s="243"/>
      <c r="Z108" s="243"/>
      <c r="AA108" s="243"/>
      <c r="AB108" s="243"/>
      <c r="AC108" s="243"/>
      <c r="AD108" s="243"/>
      <c r="AE108" s="243"/>
      <c r="AF108" s="243"/>
      <c r="AG108" s="243"/>
      <c r="AH108" s="243"/>
      <c r="AI108" s="243"/>
      <c r="AJ108" s="243"/>
      <c r="AK108" s="243"/>
      <c r="AL108" s="243"/>
      <c r="AM108" s="243"/>
      <c r="AN108" s="243"/>
      <c r="AO108" s="243"/>
      <c r="AP108" s="243"/>
      <c r="AQ108" s="243"/>
      <c r="AR108" s="243"/>
      <c r="AS108" s="243"/>
      <c r="AT108" s="243"/>
      <c r="AU108" s="243"/>
      <c r="AV108" s="243"/>
      <c r="AW108" s="243"/>
      <c r="AX108" s="243"/>
      <c r="AY108" s="243"/>
      <c r="AZ108" s="243"/>
      <c r="BA108" s="243"/>
      <c r="BB108" s="243"/>
      <c r="BC108" s="243"/>
      <c r="BD108" s="243"/>
      <c r="BE108" s="243"/>
      <c r="BF108" s="243"/>
      <c r="BG108" s="243"/>
      <c r="BH108" s="243"/>
      <c r="BI108" s="243"/>
      <c r="BJ108" s="243"/>
      <c r="BK108" s="243"/>
      <c r="BL108" s="243"/>
      <c r="BM108" s="243"/>
      <c r="BN108" s="243"/>
      <c r="BO108" s="243"/>
      <c r="BP108" s="243"/>
      <c r="BQ108" s="243"/>
      <c r="BR108" s="243"/>
      <c r="BS108" s="243"/>
      <c r="BT108" s="243"/>
      <c r="BU108" s="246"/>
    </row>
    <row r="109" spans="2:73" ht="41.4" x14ac:dyDescent="0.3">
      <c r="B109" s="129" t="s">
        <v>834</v>
      </c>
      <c r="C109" s="244">
        <v>106</v>
      </c>
      <c r="D109" s="131" t="s">
        <v>996</v>
      </c>
      <c r="E109" s="224"/>
      <c r="F109" s="224"/>
      <c r="G109" s="224"/>
      <c r="H109" s="224"/>
      <c r="I109" s="224"/>
      <c r="J109" s="224"/>
      <c r="K109" s="224"/>
      <c r="L109" s="224"/>
      <c r="M109" s="224"/>
      <c r="N109" s="224"/>
      <c r="O109" s="224"/>
      <c r="P109" s="224"/>
      <c r="Q109" s="224"/>
      <c r="R109" s="224"/>
      <c r="S109" s="224"/>
      <c r="T109" s="224"/>
      <c r="U109" s="224"/>
      <c r="V109" s="224"/>
      <c r="W109" s="224"/>
      <c r="X109" s="224"/>
      <c r="Y109" s="224"/>
      <c r="Z109" s="224"/>
      <c r="AA109" s="224"/>
      <c r="AB109" s="224"/>
      <c r="AC109" s="224"/>
      <c r="AD109" s="224"/>
      <c r="AE109" s="224"/>
      <c r="AF109" s="224"/>
      <c r="AG109" s="224"/>
      <c r="AH109" s="224"/>
      <c r="AI109" s="224"/>
      <c r="AJ109" s="224"/>
      <c r="AK109" s="224"/>
      <c r="AL109" s="224"/>
      <c r="AM109" s="224"/>
      <c r="AN109" s="224"/>
      <c r="AO109" s="224"/>
      <c r="AP109" s="224"/>
      <c r="AQ109" s="224"/>
      <c r="AR109" s="224"/>
      <c r="AS109" s="224"/>
      <c r="AT109" s="224"/>
      <c r="AU109" s="224"/>
      <c r="AV109" s="224"/>
      <c r="AW109" s="224"/>
      <c r="AX109" s="224"/>
      <c r="AY109" s="224"/>
      <c r="AZ109" s="224"/>
      <c r="BA109" s="224"/>
      <c r="BB109" s="224"/>
      <c r="BC109" s="224"/>
      <c r="BD109" s="224"/>
      <c r="BE109" s="224"/>
      <c r="BF109" s="224"/>
      <c r="BG109" s="224"/>
      <c r="BH109" s="224"/>
      <c r="BI109" s="224"/>
      <c r="BJ109" s="224"/>
      <c r="BK109" s="224"/>
      <c r="BL109" s="224"/>
      <c r="BM109" s="224"/>
      <c r="BN109" s="224"/>
      <c r="BO109" s="224"/>
      <c r="BP109" s="224"/>
      <c r="BQ109" s="224"/>
      <c r="BR109" s="224"/>
      <c r="BS109" s="224"/>
      <c r="BT109" s="224"/>
      <c r="BU109" s="221" t="s">
        <v>1213</v>
      </c>
    </row>
    <row r="110" spans="2:73" ht="41.4" x14ac:dyDescent="0.3">
      <c r="B110" s="129" t="s">
        <v>834</v>
      </c>
      <c r="C110" s="244">
        <v>107</v>
      </c>
      <c r="D110" s="131" t="s">
        <v>998</v>
      </c>
      <c r="E110" s="224"/>
      <c r="F110" s="224"/>
      <c r="G110" s="224"/>
      <c r="H110" s="224"/>
      <c r="I110" s="224"/>
      <c r="J110" s="224"/>
      <c r="K110" s="224"/>
      <c r="L110" s="224"/>
      <c r="M110" s="224"/>
      <c r="N110" s="224"/>
      <c r="O110" s="224"/>
      <c r="P110" s="224"/>
      <c r="Q110" s="224"/>
      <c r="R110" s="224"/>
      <c r="S110" s="224"/>
      <c r="T110" s="224"/>
      <c r="U110" s="224"/>
      <c r="V110" s="224"/>
      <c r="W110" s="224"/>
      <c r="X110" s="224"/>
      <c r="Y110" s="224"/>
      <c r="Z110" s="224"/>
      <c r="AA110" s="224"/>
      <c r="AB110" s="224"/>
      <c r="AC110" s="224"/>
      <c r="AD110" s="224"/>
      <c r="AE110" s="224"/>
      <c r="AF110" s="224"/>
      <c r="AG110" s="224"/>
      <c r="AH110" s="224"/>
      <c r="AI110" s="224"/>
      <c r="AJ110" s="224"/>
      <c r="AK110" s="224"/>
      <c r="AL110" s="224"/>
      <c r="AM110" s="224"/>
      <c r="AN110" s="224"/>
      <c r="AO110" s="224"/>
      <c r="AP110" s="224"/>
      <c r="AQ110" s="224"/>
      <c r="AR110" s="224"/>
      <c r="AS110" s="224"/>
      <c r="AT110" s="224"/>
      <c r="AU110" s="224"/>
      <c r="AV110" s="224"/>
      <c r="AW110" s="224"/>
      <c r="AX110" s="224"/>
      <c r="AY110" s="224"/>
      <c r="AZ110" s="224"/>
      <c r="BA110" s="224"/>
      <c r="BB110" s="224"/>
      <c r="BC110" s="224"/>
      <c r="BD110" s="224"/>
      <c r="BE110" s="224"/>
      <c r="BF110" s="224"/>
      <c r="BG110" s="224"/>
      <c r="BH110" s="224"/>
      <c r="BI110" s="224"/>
      <c r="BJ110" s="224"/>
      <c r="BK110" s="224"/>
      <c r="BL110" s="224"/>
      <c r="BM110" s="224"/>
      <c r="BN110" s="224"/>
      <c r="BO110" s="224"/>
      <c r="BP110" s="224"/>
      <c r="BQ110" s="224"/>
      <c r="BR110" s="224"/>
      <c r="BS110" s="224"/>
      <c r="BT110" s="224"/>
      <c r="BU110" s="221" t="s">
        <v>1213</v>
      </c>
    </row>
    <row r="111" spans="2:73" ht="27.6" x14ac:dyDescent="0.3">
      <c r="B111" s="129" t="s">
        <v>834</v>
      </c>
      <c r="C111" s="244">
        <v>108</v>
      </c>
      <c r="D111" s="131" t="s">
        <v>1000</v>
      </c>
      <c r="E111" s="224"/>
      <c r="F111" s="224"/>
      <c r="G111" s="224"/>
      <c r="H111" s="224"/>
      <c r="I111" s="224"/>
      <c r="J111" s="224"/>
      <c r="K111" s="224"/>
      <c r="L111" s="224"/>
      <c r="M111" s="224"/>
      <c r="N111" s="224"/>
      <c r="O111" s="224"/>
      <c r="P111" s="224"/>
      <c r="Q111" s="224"/>
      <c r="R111" s="224"/>
      <c r="S111" s="224"/>
      <c r="T111" s="224"/>
      <c r="U111" s="224"/>
      <c r="V111" s="224"/>
      <c r="W111" s="224"/>
      <c r="X111" s="224"/>
      <c r="Y111" s="224"/>
      <c r="Z111" s="224"/>
      <c r="AA111" s="224"/>
      <c r="AB111" s="224"/>
      <c r="AC111" s="224"/>
      <c r="AD111" s="224"/>
      <c r="AE111" s="224"/>
      <c r="AF111" s="224"/>
      <c r="AG111" s="224"/>
      <c r="AH111" s="224"/>
      <c r="AI111" s="224"/>
      <c r="AJ111" s="224"/>
      <c r="AK111" s="224"/>
      <c r="AL111" s="224"/>
      <c r="AM111" s="224"/>
      <c r="AN111" s="224"/>
      <c r="AO111" s="224"/>
      <c r="AP111" s="224"/>
      <c r="AQ111" s="224"/>
      <c r="AR111" s="224"/>
      <c r="AS111" s="224"/>
      <c r="AT111" s="224"/>
      <c r="AU111" s="224"/>
      <c r="AV111" s="224"/>
      <c r="AW111" s="224"/>
      <c r="AX111" s="224"/>
      <c r="AY111" s="224"/>
      <c r="AZ111" s="224"/>
      <c r="BA111" s="224"/>
      <c r="BB111" s="224"/>
      <c r="BC111" s="224"/>
      <c r="BD111" s="224"/>
      <c r="BE111" s="224"/>
      <c r="BF111" s="224"/>
      <c r="BG111" s="224"/>
      <c r="BH111" s="224"/>
      <c r="BI111" s="224"/>
      <c r="BJ111" s="224"/>
      <c r="BK111" s="224"/>
      <c r="BL111" s="224"/>
      <c r="BM111" s="224"/>
      <c r="BN111" s="224"/>
      <c r="BO111" s="224"/>
      <c r="BP111" s="224"/>
      <c r="BQ111" s="224"/>
      <c r="BR111" s="224"/>
      <c r="BS111" s="224"/>
      <c r="BT111" s="224"/>
      <c r="BU111" s="221" t="s">
        <v>1213</v>
      </c>
    </row>
    <row r="112" spans="2:73" ht="27.6" x14ac:dyDescent="0.3">
      <c r="B112" s="129" t="s">
        <v>834</v>
      </c>
      <c r="C112" s="244">
        <v>109</v>
      </c>
      <c r="D112" s="131" t="s">
        <v>1002</v>
      </c>
      <c r="E112" s="224"/>
      <c r="F112" s="224"/>
      <c r="G112" s="224"/>
      <c r="H112" s="224"/>
      <c r="I112" s="224"/>
      <c r="J112" s="224"/>
      <c r="K112" s="224"/>
      <c r="L112" s="224"/>
      <c r="M112" s="224"/>
      <c r="N112" s="224"/>
      <c r="O112" s="224"/>
      <c r="P112" s="224"/>
      <c r="Q112" s="224"/>
      <c r="R112" s="224"/>
      <c r="S112" s="224"/>
      <c r="T112" s="224"/>
      <c r="U112" s="224"/>
      <c r="V112" s="224"/>
      <c r="W112" s="224"/>
      <c r="X112" s="224"/>
      <c r="Y112" s="224"/>
      <c r="Z112" s="224"/>
      <c r="AA112" s="224"/>
      <c r="AB112" s="224"/>
      <c r="AC112" s="224"/>
      <c r="AD112" s="224"/>
      <c r="AE112" s="224"/>
      <c r="AF112" s="224"/>
      <c r="AG112" s="224"/>
      <c r="AH112" s="224"/>
      <c r="AI112" s="224"/>
      <c r="AJ112" s="224"/>
      <c r="AK112" s="224"/>
      <c r="AL112" s="224"/>
      <c r="AM112" s="224"/>
      <c r="AN112" s="224"/>
      <c r="AO112" s="224"/>
      <c r="AP112" s="224"/>
      <c r="AQ112" s="224"/>
      <c r="AR112" s="224"/>
      <c r="AS112" s="224"/>
      <c r="AT112" s="224"/>
      <c r="AU112" s="224"/>
      <c r="AV112" s="224"/>
      <c r="AW112" s="224"/>
      <c r="AX112" s="224"/>
      <c r="AY112" s="224"/>
      <c r="AZ112" s="224"/>
      <c r="BA112" s="224"/>
      <c r="BB112" s="224"/>
      <c r="BC112" s="224"/>
      <c r="BD112" s="224"/>
      <c r="BE112" s="224"/>
      <c r="BF112" s="224"/>
      <c r="BG112" s="224"/>
      <c r="BH112" s="224"/>
      <c r="BI112" s="224"/>
      <c r="BJ112" s="224"/>
      <c r="BK112" s="224"/>
      <c r="BL112" s="224"/>
      <c r="BM112" s="224"/>
      <c r="BN112" s="224"/>
      <c r="BO112" s="224"/>
      <c r="BP112" s="224"/>
      <c r="BQ112" s="224"/>
      <c r="BR112" s="224"/>
      <c r="BS112" s="224"/>
      <c r="BT112" s="224"/>
      <c r="BU112" s="221" t="s">
        <v>1213</v>
      </c>
    </row>
    <row r="113" spans="2:73" ht="41.4" x14ac:dyDescent="0.3">
      <c r="B113" s="129" t="s">
        <v>834</v>
      </c>
      <c r="C113" s="244">
        <v>110</v>
      </c>
      <c r="D113" s="131" t="s">
        <v>1004</v>
      </c>
      <c r="E113" s="224"/>
      <c r="F113" s="224"/>
      <c r="G113" s="224"/>
      <c r="H113" s="224"/>
      <c r="I113" s="224"/>
      <c r="J113" s="224"/>
      <c r="K113" s="224"/>
      <c r="L113" s="224"/>
      <c r="M113" s="224"/>
      <c r="N113" s="224"/>
      <c r="O113" s="224"/>
      <c r="P113" s="224"/>
      <c r="Q113" s="224"/>
      <c r="R113" s="224"/>
      <c r="S113" s="224"/>
      <c r="T113" s="224"/>
      <c r="U113" s="224"/>
      <c r="V113" s="224"/>
      <c r="W113" s="224"/>
      <c r="X113" s="224"/>
      <c r="Y113" s="224"/>
      <c r="Z113" s="224"/>
      <c r="AA113" s="224"/>
      <c r="AB113" s="224"/>
      <c r="AC113" s="224"/>
      <c r="AD113" s="224"/>
      <c r="AE113" s="224"/>
      <c r="AF113" s="224"/>
      <c r="AG113" s="224"/>
      <c r="AH113" s="224"/>
      <c r="AI113" s="224"/>
      <c r="AJ113" s="224"/>
      <c r="AK113" s="224"/>
      <c r="AL113" s="224"/>
      <c r="AM113" s="224"/>
      <c r="AN113" s="224"/>
      <c r="AO113" s="224"/>
      <c r="AP113" s="224"/>
      <c r="AQ113" s="224"/>
      <c r="AR113" s="224"/>
      <c r="AS113" s="224"/>
      <c r="AT113" s="224"/>
      <c r="AU113" s="224"/>
      <c r="AV113" s="224"/>
      <c r="AW113" s="224"/>
      <c r="AX113" s="224"/>
      <c r="AY113" s="224"/>
      <c r="AZ113" s="224"/>
      <c r="BA113" s="224"/>
      <c r="BB113" s="224"/>
      <c r="BC113" s="224"/>
      <c r="BD113" s="224"/>
      <c r="BE113" s="224"/>
      <c r="BF113" s="224"/>
      <c r="BG113" s="224"/>
      <c r="BH113" s="224"/>
      <c r="BI113" s="224"/>
      <c r="BJ113" s="224"/>
      <c r="BK113" s="224"/>
      <c r="BL113" s="224"/>
      <c r="BM113" s="224"/>
      <c r="BN113" s="224"/>
      <c r="BO113" s="224"/>
      <c r="BP113" s="224"/>
      <c r="BQ113" s="224"/>
      <c r="BR113" s="224"/>
      <c r="BS113" s="224"/>
      <c r="BT113" s="224"/>
      <c r="BU113" s="221" t="s">
        <v>1225</v>
      </c>
    </row>
    <row r="114" spans="2:73" ht="27.6" x14ac:dyDescent="0.3">
      <c r="B114" s="129" t="s">
        <v>834</v>
      </c>
      <c r="C114" s="244">
        <v>111</v>
      </c>
      <c r="D114" s="131" t="s">
        <v>1006</v>
      </c>
      <c r="E114" s="224"/>
      <c r="F114" s="224"/>
      <c r="G114" s="224"/>
      <c r="H114" s="224"/>
      <c r="I114" s="224"/>
      <c r="J114" s="224"/>
      <c r="K114" s="224"/>
      <c r="L114" s="224"/>
      <c r="M114" s="224"/>
      <c r="N114" s="224"/>
      <c r="O114" s="224"/>
      <c r="P114" s="224"/>
      <c r="Q114" s="224"/>
      <c r="R114" s="224"/>
      <c r="S114" s="224"/>
      <c r="T114" s="224"/>
      <c r="U114" s="224"/>
      <c r="V114" s="224"/>
      <c r="W114" s="224"/>
      <c r="X114" s="224"/>
      <c r="Y114" s="224"/>
      <c r="Z114" s="224"/>
      <c r="AA114" s="224"/>
      <c r="AB114" s="224"/>
      <c r="AC114" s="224"/>
      <c r="AD114" s="224"/>
      <c r="AE114" s="224"/>
      <c r="AF114" s="224"/>
      <c r="AG114" s="224"/>
      <c r="AH114" s="224"/>
      <c r="AI114" s="224"/>
      <c r="AJ114" s="224"/>
      <c r="AK114" s="224"/>
      <c r="AL114" s="224"/>
      <c r="AM114" s="224"/>
      <c r="AN114" s="224"/>
      <c r="AO114" s="224"/>
      <c r="AP114" s="224"/>
      <c r="AQ114" s="224"/>
      <c r="AR114" s="224"/>
      <c r="AS114" s="224"/>
      <c r="AT114" s="224"/>
      <c r="AU114" s="224"/>
      <c r="AV114" s="224"/>
      <c r="AW114" s="224"/>
      <c r="AX114" s="224"/>
      <c r="AY114" s="224"/>
      <c r="AZ114" s="224"/>
      <c r="BA114" s="224"/>
      <c r="BB114" s="224"/>
      <c r="BC114" s="224"/>
      <c r="BD114" s="224"/>
      <c r="BE114" s="224"/>
      <c r="BF114" s="224"/>
      <c r="BG114" s="224"/>
      <c r="BH114" s="224"/>
      <c r="BI114" s="224"/>
      <c r="BJ114" s="224"/>
      <c r="BK114" s="224"/>
      <c r="BL114" s="224"/>
      <c r="BM114" s="224"/>
      <c r="BN114" s="224"/>
      <c r="BO114" s="224"/>
      <c r="BP114" s="224"/>
      <c r="BQ114" s="224"/>
      <c r="BR114" s="224"/>
      <c r="BS114" s="224"/>
      <c r="BT114" s="224"/>
      <c r="BU114" s="221" t="s">
        <v>1213</v>
      </c>
    </row>
    <row r="115" spans="2:73" ht="41.4" x14ac:dyDescent="0.3">
      <c r="B115" s="129" t="s">
        <v>834</v>
      </c>
      <c r="C115" s="244">
        <v>112</v>
      </c>
      <c r="D115" s="131" t="s">
        <v>1009</v>
      </c>
      <c r="E115" s="224"/>
      <c r="F115" s="224"/>
      <c r="G115" s="224"/>
      <c r="H115" s="224"/>
      <c r="I115" s="224"/>
      <c r="J115" s="224"/>
      <c r="K115" s="224"/>
      <c r="L115" s="224"/>
      <c r="M115" s="224"/>
      <c r="N115" s="224"/>
      <c r="O115" s="224"/>
      <c r="P115" s="224"/>
      <c r="Q115" s="224"/>
      <c r="R115" s="224"/>
      <c r="S115" s="224"/>
      <c r="T115" s="224"/>
      <c r="U115" s="224"/>
      <c r="V115" s="224"/>
      <c r="W115" s="224"/>
      <c r="X115" s="224"/>
      <c r="Y115" s="224"/>
      <c r="Z115" s="224"/>
      <c r="AA115" s="224"/>
      <c r="AB115" s="224"/>
      <c r="AC115" s="224"/>
      <c r="AD115" s="224"/>
      <c r="AE115" s="224"/>
      <c r="AF115" s="224"/>
      <c r="AG115" s="224"/>
      <c r="AH115" s="224"/>
      <c r="AI115" s="224"/>
      <c r="AJ115" s="224"/>
      <c r="AK115" s="224"/>
      <c r="AL115" s="224"/>
      <c r="AM115" s="224"/>
      <c r="AN115" s="224"/>
      <c r="AO115" s="224"/>
      <c r="AP115" s="224"/>
      <c r="AQ115" s="224"/>
      <c r="AR115" s="224"/>
      <c r="AS115" s="224"/>
      <c r="AT115" s="224"/>
      <c r="AU115" s="224"/>
      <c r="AV115" s="224"/>
      <c r="AW115" s="224"/>
      <c r="AX115" s="224"/>
      <c r="AY115" s="224"/>
      <c r="AZ115" s="224"/>
      <c r="BA115" s="224"/>
      <c r="BB115" s="224"/>
      <c r="BC115" s="224"/>
      <c r="BD115" s="224"/>
      <c r="BE115" s="224"/>
      <c r="BF115" s="224"/>
      <c r="BG115" s="224"/>
      <c r="BH115" s="224"/>
      <c r="BI115" s="224"/>
      <c r="BJ115" s="224"/>
      <c r="BK115" s="224"/>
      <c r="BL115" s="224"/>
      <c r="BM115" s="224"/>
      <c r="BN115" s="224"/>
      <c r="BO115" s="224"/>
      <c r="BP115" s="224"/>
      <c r="BQ115" s="224"/>
      <c r="BR115" s="224"/>
      <c r="BS115" s="224"/>
      <c r="BT115" s="224"/>
      <c r="BU115" s="221" t="s">
        <v>1225</v>
      </c>
    </row>
    <row r="116" spans="2:73" ht="55.2" x14ac:dyDescent="0.3">
      <c r="B116" s="129" t="s">
        <v>834</v>
      </c>
      <c r="C116" s="244">
        <v>113</v>
      </c>
      <c r="D116" s="131" t="s">
        <v>1010</v>
      </c>
      <c r="E116" s="224"/>
      <c r="F116" s="224"/>
      <c r="G116" s="224"/>
      <c r="H116" s="224"/>
      <c r="I116" s="224"/>
      <c r="J116" s="224"/>
      <c r="K116" s="224"/>
      <c r="L116" s="224"/>
      <c r="M116" s="224"/>
      <c r="N116" s="224"/>
      <c r="O116" s="224"/>
      <c r="P116" s="224"/>
      <c r="Q116" s="224"/>
      <c r="R116" s="224"/>
      <c r="S116" s="224"/>
      <c r="T116" s="224"/>
      <c r="U116" s="224"/>
      <c r="V116" s="224"/>
      <c r="W116" s="224"/>
      <c r="X116" s="224"/>
      <c r="Y116" s="224"/>
      <c r="Z116" s="224"/>
      <c r="AA116" s="224"/>
      <c r="AB116" s="224"/>
      <c r="AC116" s="224"/>
      <c r="AD116" s="224"/>
      <c r="AE116" s="224"/>
      <c r="AF116" s="224"/>
      <c r="AG116" s="224"/>
      <c r="AH116" s="224"/>
      <c r="AI116" s="224"/>
      <c r="AJ116" s="224"/>
      <c r="AK116" s="224"/>
      <c r="AL116" s="224"/>
      <c r="AM116" s="224"/>
      <c r="AN116" s="224"/>
      <c r="AO116" s="224"/>
      <c r="AP116" s="224"/>
      <c r="AQ116" s="224"/>
      <c r="AR116" s="224"/>
      <c r="AS116" s="224"/>
      <c r="AT116" s="224"/>
      <c r="AU116" s="224"/>
      <c r="AV116" s="224"/>
      <c r="AW116" s="224"/>
      <c r="AX116" s="224"/>
      <c r="AY116" s="224"/>
      <c r="AZ116" s="224"/>
      <c r="BA116" s="224"/>
      <c r="BB116" s="224"/>
      <c r="BC116" s="224"/>
      <c r="BD116" s="224"/>
      <c r="BE116" s="224"/>
      <c r="BF116" s="224"/>
      <c r="BG116" s="224"/>
      <c r="BH116" s="224"/>
      <c r="BI116" s="224"/>
      <c r="BJ116" s="224"/>
      <c r="BK116" s="224"/>
      <c r="BL116" s="224"/>
      <c r="BM116" s="224"/>
      <c r="BN116" s="224"/>
      <c r="BO116" s="224"/>
      <c r="BP116" s="224"/>
      <c r="BQ116" s="224"/>
      <c r="BR116" s="224"/>
      <c r="BS116" s="224"/>
      <c r="BT116" s="224"/>
      <c r="BU116" s="221" t="s">
        <v>1225</v>
      </c>
    </row>
    <row r="117" spans="2:73" ht="27.6" x14ac:dyDescent="0.3">
      <c r="B117" s="129" t="s">
        <v>834</v>
      </c>
      <c r="C117" s="244">
        <v>114</v>
      </c>
      <c r="D117" s="131" t="s">
        <v>1012</v>
      </c>
      <c r="E117" s="224"/>
      <c r="F117" s="224"/>
      <c r="G117" s="224"/>
      <c r="H117" s="224"/>
      <c r="I117" s="224"/>
      <c r="J117" s="224"/>
      <c r="K117" s="224"/>
      <c r="L117" s="224"/>
      <c r="M117" s="224"/>
      <c r="N117" s="224"/>
      <c r="O117" s="224"/>
      <c r="P117" s="224"/>
      <c r="Q117" s="224"/>
      <c r="R117" s="224"/>
      <c r="S117" s="224"/>
      <c r="T117" s="224"/>
      <c r="U117" s="224"/>
      <c r="V117" s="224"/>
      <c r="W117" s="224"/>
      <c r="X117" s="224"/>
      <c r="Y117" s="224"/>
      <c r="Z117" s="224"/>
      <c r="AA117" s="224"/>
      <c r="AB117" s="224"/>
      <c r="AC117" s="224"/>
      <c r="AD117" s="224"/>
      <c r="AE117" s="224"/>
      <c r="AF117" s="224"/>
      <c r="AG117" s="224"/>
      <c r="AH117" s="224"/>
      <c r="AI117" s="224"/>
      <c r="AJ117" s="224"/>
      <c r="AK117" s="224"/>
      <c r="AL117" s="224"/>
      <c r="AM117" s="224"/>
      <c r="AN117" s="224"/>
      <c r="AO117" s="224"/>
      <c r="AP117" s="224"/>
      <c r="AQ117" s="224"/>
      <c r="AR117" s="224"/>
      <c r="AS117" s="224"/>
      <c r="AT117" s="224"/>
      <c r="AU117" s="224"/>
      <c r="AV117" s="224"/>
      <c r="AW117" s="224"/>
      <c r="AX117" s="224"/>
      <c r="AY117" s="224"/>
      <c r="AZ117" s="224"/>
      <c r="BA117" s="224"/>
      <c r="BB117" s="224"/>
      <c r="BC117" s="224"/>
      <c r="BD117" s="224"/>
      <c r="BE117" s="224"/>
      <c r="BF117" s="224"/>
      <c r="BG117" s="224"/>
      <c r="BH117" s="224"/>
      <c r="BI117" s="224"/>
      <c r="BJ117" s="224"/>
      <c r="BK117" s="224"/>
      <c r="BL117" s="224"/>
      <c r="BM117" s="224"/>
      <c r="BN117" s="224"/>
      <c r="BO117" s="224"/>
      <c r="BP117" s="224"/>
      <c r="BQ117" s="224"/>
      <c r="BR117" s="224"/>
      <c r="BS117" s="224"/>
      <c r="BT117" s="224"/>
      <c r="BU117" s="221" t="s">
        <v>1213</v>
      </c>
    </row>
    <row r="118" spans="2:73" x14ac:dyDescent="0.3">
      <c r="B118" s="129" t="s">
        <v>834</v>
      </c>
      <c r="C118" s="244">
        <v>115</v>
      </c>
      <c r="D118" s="131" t="s">
        <v>1014</v>
      </c>
      <c r="E118" s="224"/>
      <c r="F118" s="224"/>
      <c r="G118" s="224"/>
      <c r="H118" s="224"/>
      <c r="I118" s="224"/>
      <c r="J118" s="224"/>
      <c r="K118" s="224"/>
      <c r="L118" s="224"/>
      <c r="M118" s="224"/>
      <c r="N118" s="224"/>
      <c r="O118" s="224"/>
      <c r="P118" s="224"/>
      <c r="Q118" s="224"/>
      <c r="R118" s="224"/>
      <c r="S118" s="224"/>
      <c r="T118" s="224"/>
      <c r="U118" s="224"/>
      <c r="V118" s="224"/>
      <c r="W118" s="224"/>
      <c r="X118" s="224"/>
      <c r="Y118" s="224"/>
      <c r="Z118" s="224"/>
      <c r="AA118" s="224"/>
      <c r="AB118" s="224"/>
      <c r="AC118" s="224"/>
      <c r="AD118" s="224"/>
      <c r="AE118" s="224"/>
      <c r="AF118" s="224"/>
      <c r="AG118" s="224"/>
      <c r="AH118" s="224"/>
      <c r="AI118" s="224"/>
      <c r="AJ118" s="224"/>
      <c r="AK118" s="224"/>
      <c r="AL118" s="224"/>
      <c r="AM118" s="224"/>
      <c r="AN118" s="224"/>
      <c r="AO118" s="224"/>
      <c r="AP118" s="224"/>
      <c r="AQ118" s="224"/>
      <c r="AR118" s="224"/>
      <c r="AS118" s="224"/>
      <c r="AT118" s="224"/>
      <c r="AU118" s="224"/>
      <c r="AV118" s="224"/>
      <c r="AW118" s="224"/>
      <c r="AX118" s="224"/>
      <c r="AY118" s="224"/>
      <c r="AZ118" s="224"/>
      <c r="BA118" s="224"/>
      <c r="BB118" s="224"/>
      <c r="BC118" s="224"/>
      <c r="BD118" s="224"/>
      <c r="BE118" s="224"/>
      <c r="BF118" s="224"/>
      <c r="BG118" s="224"/>
      <c r="BH118" s="224"/>
      <c r="BI118" s="224"/>
      <c r="BJ118" s="224"/>
      <c r="BK118" s="224"/>
      <c r="BL118" s="224"/>
      <c r="BM118" s="224"/>
      <c r="BN118" s="224"/>
      <c r="BO118" s="224"/>
      <c r="BP118" s="224"/>
      <c r="BQ118" s="224"/>
      <c r="BR118" s="224"/>
      <c r="BS118" s="224"/>
      <c r="BT118" s="224"/>
      <c r="BU118" s="221" t="s">
        <v>1226</v>
      </c>
    </row>
    <row r="119" spans="2:73" x14ac:dyDescent="0.3">
      <c r="B119" s="267" t="s">
        <v>834</v>
      </c>
      <c r="C119" s="244">
        <v>116</v>
      </c>
      <c r="D119" s="245" t="s">
        <v>845</v>
      </c>
      <c r="E119" s="243"/>
      <c r="F119" s="243"/>
      <c r="G119" s="243"/>
      <c r="H119" s="243"/>
      <c r="I119" s="243"/>
      <c r="J119" s="243"/>
      <c r="K119" s="243"/>
      <c r="L119" s="243"/>
      <c r="M119" s="243"/>
      <c r="N119" s="243"/>
      <c r="O119" s="243"/>
      <c r="P119" s="243"/>
      <c r="Q119" s="243"/>
      <c r="R119" s="243"/>
      <c r="S119" s="243"/>
      <c r="T119" s="243"/>
      <c r="U119" s="243"/>
      <c r="V119" s="243"/>
      <c r="W119" s="243"/>
      <c r="X119" s="243"/>
      <c r="Y119" s="243"/>
      <c r="Z119" s="243"/>
      <c r="AA119" s="243"/>
      <c r="AB119" s="243"/>
      <c r="AC119" s="243"/>
      <c r="AD119" s="243"/>
      <c r="AE119" s="243"/>
      <c r="AF119" s="243"/>
      <c r="AG119" s="243"/>
      <c r="AH119" s="243"/>
      <c r="AI119" s="243"/>
      <c r="AJ119" s="243"/>
      <c r="AK119" s="243"/>
      <c r="AL119" s="243"/>
      <c r="AM119" s="243"/>
      <c r="AN119" s="243"/>
      <c r="AO119" s="243"/>
      <c r="AP119" s="243"/>
      <c r="AQ119" s="243"/>
      <c r="AR119" s="243"/>
      <c r="AS119" s="243"/>
      <c r="AT119" s="243"/>
      <c r="AU119" s="243"/>
      <c r="AV119" s="243"/>
      <c r="AW119" s="243"/>
      <c r="AX119" s="243"/>
      <c r="AY119" s="243"/>
      <c r="AZ119" s="243"/>
      <c r="BA119" s="243"/>
      <c r="BB119" s="243"/>
      <c r="BC119" s="243"/>
      <c r="BD119" s="243"/>
      <c r="BE119" s="243"/>
      <c r="BF119" s="243"/>
      <c r="BG119" s="243"/>
      <c r="BH119" s="243"/>
      <c r="BI119" s="243"/>
      <c r="BJ119" s="243"/>
      <c r="BK119" s="243"/>
      <c r="BL119" s="243"/>
      <c r="BM119" s="243"/>
      <c r="BN119" s="243"/>
      <c r="BO119" s="243"/>
      <c r="BP119" s="243"/>
      <c r="BQ119" s="243"/>
      <c r="BR119" s="243"/>
      <c r="BS119" s="243"/>
      <c r="BT119" s="243"/>
      <c r="BU119" s="246"/>
    </row>
    <row r="120" spans="2:73" ht="27.6" x14ac:dyDescent="0.3">
      <c r="B120" s="129" t="s">
        <v>834</v>
      </c>
      <c r="C120" s="244">
        <v>117</v>
      </c>
      <c r="D120" s="131" t="s">
        <v>1016</v>
      </c>
      <c r="E120" s="224"/>
      <c r="F120" s="224"/>
      <c r="G120" s="224"/>
      <c r="H120" s="224"/>
      <c r="I120" s="224"/>
      <c r="J120" s="224"/>
      <c r="K120" s="224"/>
      <c r="L120" s="224"/>
      <c r="M120" s="224"/>
      <c r="N120" s="224"/>
      <c r="O120" s="224"/>
      <c r="P120" s="224"/>
      <c r="Q120" s="224"/>
      <c r="R120" s="224"/>
      <c r="S120" s="224"/>
      <c r="T120" s="224"/>
      <c r="U120" s="224"/>
      <c r="V120" s="224"/>
      <c r="W120" s="224"/>
      <c r="X120" s="224"/>
      <c r="Y120" s="224"/>
      <c r="Z120" s="224"/>
      <c r="AA120" s="224"/>
      <c r="AB120" s="224"/>
      <c r="AC120" s="224"/>
      <c r="AD120" s="224"/>
      <c r="AE120" s="224"/>
      <c r="AF120" s="224"/>
      <c r="AG120" s="224"/>
      <c r="AH120" s="224"/>
      <c r="AI120" s="224"/>
      <c r="AJ120" s="224"/>
      <c r="AK120" s="224"/>
      <c r="AL120" s="224"/>
      <c r="AM120" s="224"/>
      <c r="AN120" s="224"/>
      <c r="AO120" s="224"/>
      <c r="AP120" s="224"/>
      <c r="AQ120" s="224"/>
      <c r="AR120" s="224"/>
      <c r="AS120" s="224"/>
      <c r="AT120" s="224"/>
      <c r="AU120" s="224"/>
      <c r="AV120" s="224"/>
      <c r="AW120" s="224"/>
      <c r="AX120" s="224"/>
      <c r="AY120" s="224"/>
      <c r="AZ120" s="224"/>
      <c r="BA120" s="224"/>
      <c r="BB120" s="224"/>
      <c r="BC120" s="224"/>
      <c r="BD120" s="224"/>
      <c r="BE120" s="224"/>
      <c r="BF120" s="224"/>
      <c r="BG120" s="224"/>
      <c r="BH120" s="224"/>
      <c r="BI120" s="224"/>
      <c r="BJ120" s="224"/>
      <c r="BK120" s="224"/>
      <c r="BL120" s="224"/>
      <c r="BM120" s="224"/>
      <c r="BN120" s="224"/>
      <c r="BO120" s="224"/>
      <c r="BP120" s="224"/>
      <c r="BQ120" s="224"/>
      <c r="BR120" s="224"/>
      <c r="BS120" s="224"/>
      <c r="BT120" s="224"/>
      <c r="BU120" s="221" t="s">
        <v>1225</v>
      </c>
    </row>
    <row r="121" spans="2:73" ht="27.6" x14ac:dyDescent="0.3">
      <c r="B121" s="129" t="s">
        <v>834</v>
      </c>
      <c r="C121" s="244">
        <v>118</v>
      </c>
      <c r="D121" s="131" t="s">
        <v>1018</v>
      </c>
      <c r="E121" s="224"/>
      <c r="F121" s="224"/>
      <c r="G121" s="224"/>
      <c r="H121" s="224"/>
      <c r="I121" s="224"/>
      <c r="J121" s="224"/>
      <c r="K121" s="224"/>
      <c r="L121" s="224"/>
      <c r="M121" s="224"/>
      <c r="N121" s="224"/>
      <c r="O121" s="224"/>
      <c r="P121" s="224"/>
      <c r="Q121" s="224"/>
      <c r="R121" s="224"/>
      <c r="S121" s="224"/>
      <c r="T121" s="224"/>
      <c r="U121" s="224"/>
      <c r="V121" s="224"/>
      <c r="W121" s="224"/>
      <c r="X121" s="224"/>
      <c r="Y121" s="224"/>
      <c r="Z121" s="224"/>
      <c r="AA121" s="224"/>
      <c r="AB121" s="224"/>
      <c r="AC121" s="224"/>
      <c r="AD121" s="224"/>
      <c r="AE121" s="224"/>
      <c r="AF121" s="224"/>
      <c r="AG121" s="224"/>
      <c r="AH121" s="224"/>
      <c r="AI121" s="224"/>
      <c r="AJ121" s="224"/>
      <c r="AK121" s="224"/>
      <c r="AL121" s="224"/>
      <c r="AM121" s="224"/>
      <c r="AN121" s="224"/>
      <c r="AO121" s="224"/>
      <c r="AP121" s="224"/>
      <c r="AQ121" s="224"/>
      <c r="AR121" s="224"/>
      <c r="AS121" s="224"/>
      <c r="AT121" s="224"/>
      <c r="AU121" s="224"/>
      <c r="AV121" s="224"/>
      <c r="AW121" s="224"/>
      <c r="AX121" s="224"/>
      <c r="AY121" s="224"/>
      <c r="AZ121" s="224"/>
      <c r="BA121" s="224"/>
      <c r="BB121" s="224"/>
      <c r="BC121" s="224"/>
      <c r="BD121" s="224"/>
      <c r="BE121" s="224"/>
      <c r="BF121" s="224"/>
      <c r="BG121" s="224"/>
      <c r="BH121" s="224"/>
      <c r="BI121" s="224"/>
      <c r="BJ121" s="224"/>
      <c r="BK121" s="224"/>
      <c r="BL121" s="224"/>
      <c r="BM121" s="224"/>
      <c r="BN121" s="224"/>
      <c r="BO121" s="224"/>
      <c r="BP121" s="224"/>
      <c r="BQ121" s="224"/>
      <c r="BR121" s="224"/>
      <c r="BS121" s="224"/>
      <c r="BT121" s="224"/>
      <c r="BU121" s="221" t="s">
        <v>1227</v>
      </c>
    </row>
    <row r="122" spans="2:73" x14ac:dyDescent="0.3">
      <c r="B122" s="267" t="s">
        <v>834</v>
      </c>
      <c r="C122" s="244">
        <v>119</v>
      </c>
      <c r="D122" s="245" t="s">
        <v>845</v>
      </c>
      <c r="E122" s="243"/>
      <c r="F122" s="243"/>
      <c r="G122" s="243"/>
      <c r="H122" s="243"/>
      <c r="I122" s="243"/>
      <c r="J122" s="243"/>
      <c r="K122" s="243"/>
      <c r="L122" s="243"/>
      <c r="M122" s="243"/>
      <c r="N122" s="243"/>
      <c r="O122" s="243"/>
      <c r="P122" s="243"/>
      <c r="Q122" s="243"/>
      <c r="R122" s="243"/>
      <c r="S122" s="243"/>
      <c r="T122" s="243"/>
      <c r="U122" s="243"/>
      <c r="V122" s="243"/>
      <c r="W122" s="243"/>
      <c r="X122" s="243"/>
      <c r="Y122" s="243"/>
      <c r="Z122" s="243"/>
      <c r="AA122" s="243"/>
      <c r="AB122" s="243"/>
      <c r="AC122" s="243"/>
      <c r="AD122" s="243"/>
      <c r="AE122" s="243"/>
      <c r="AF122" s="243"/>
      <c r="AG122" s="243"/>
      <c r="AH122" s="243"/>
      <c r="AI122" s="243"/>
      <c r="AJ122" s="243"/>
      <c r="AK122" s="243"/>
      <c r="AL122" s="243"/>
      <c r="AM122" s="243"/>
      <c r="AN122" s="243"/>
      <c r="AO122" s="243"/>
      <c r="AP122" s="243"/>
      <c r="AQ122" s="243"/>
      <c r="AR122" s="243"/>
      <c r="AS122" s="243"/>
      <c r="AT122" s="243"/>
      <c r="AU122" s="243"/>
      <c r="AV122" s="243"/>
      <c r="AW122" s="243"/>
      <c r="AX122" s="243"/>
      <c r="AY122" s="243"/>
      <c r="AZ122" s="243"/>
      <c r="BA122" s="243"/>
      <c r="BB122" s="243"/>
      <c r="BC122" s="243"/>
      <c r="BD122" s="243"/>
      <c r="BE122" s="243"/>
      <c r="BF122" s="243"/>
      <c r="BG122" s="243"/>
      <c r="BH122" s="243"/>
      <c r="BI122" s="243"/>
      <c r="BJ122" s="243"/>
      <c r="BK122" s="243"/>
      <c r="BL122" s="243"/>
      <c r="BM122" s="243"/>
      <c r="BN122" s="243"/>
      <c r="BO122" s="243"/>
      <c r="BP122" s="243"/>
      <c r="BQ122" s="243"/>
      <c r="BR122" s="243"/>
      <c r="BS122" s="243"/>
      <c r="BT122" s="243"/>
      <c r="BU122" s="246"/>
    </row>
    <row r="123" spans="2:73" ht="27.6" x14ac:dyDescent="0.3">
      <c r="B123" s="129" t="s">
        <v>834</v>
      </c>
      <c r="C123" s="244">
        <v>120</v>
      </c>
      <c r="D123" s="131" t="s">
        <v>1020</v>
      </c>
      <c r="E123" s="224"/>
      <c r="F123" s="224"/>
      <c r="G123" s="224"/>
      <c r="H123" s="224"/>
      <c r="I123" s="224"/>
      <c r="J123" s="224"/>
      <c r="K123" s="224"/>
      <c r="L123" s="224"/>
      <c r="M123" s="224"/>
      <c r="N123" s="224"/>
      <c r="O123" s="224"/>
      <c r="P123" s="224"/>
      <c r="Q123" s="224"/>
      <c r="R123" s="224"/>
      <c r="S123" s="224"/>
      <c r="T123" s="224"/>
      <c r="U123" s="224"/>
      <c r="V123" s="224"/>
      <c r="W123" s="224"/>
      <c r="X123" s="224"/>
      <c r="Y123" s="224"/>
      <c r="Z123" s="224"/>
      <c r="AA123" s="224"/>
      <c r="AB123" s="224"/>
      <c r="AC123" s="224"/>
      <c r="AD123" s="224"/>
      <c r="AE123" s="224"/>
      <c r="AF123" s="224"/>
      <c r="AG123" s="224"/>
      <c r="AH123" s="224"/>
      <c r="AI123" s="224"/>
      <c r="AJ123" s="224"/>
      <c r="AK123" s="224"/>
      <c r="AL123" s="224"/>
      <c r="AM123" s="224"/>
      <c r="AN123" s="224"/>
      <c r="AO123" s="224"/>
      <c r="AP123" s="224"/>
      <c r="AQ123" s="224"/>
      <c r="AR123" s="224"/>
      <c r="AS123" s="224"/>
      <c r="AT123" s="224"/>
      <c r="AU123" s="224"/>
      <c r="AV123" s="224"/>
      <c r="AW123" s="224"/>
      <c r="AX123" s="224"/>
      <c r="AY123" s="224"/>
      <c r="AZ123" s="224"/>
      <c r="BA123" s="224"/>
      <c r="BB123" s="224"/>
      <c r="BC123" s="224"/>
      <c r="BD123" s="224"/>
      <c r="BE123" s="224"/>
      <c r="BF123" s="224"/>
      <c r="BG123" s="224"/>
      <c r="BH123" s="224"/>
      <c r="BI123" s="224"/>
      <c r="BJ123" s="224"/>
      <c r="BK123" s="224"/>
      <c r="BL123" s="224"/>
      <c r="BM123" s="224"/>
      <c r="BN123" s="224"/>
      <c r="BO123" s="224"/>
      <c r="BP123" s="224"/>
      <c r="BQ123" s="224"/>
      <c r="BR123" s="224"/>
      <c r="BS123" s="224"/>
      <c r="BT123" s="224"/>
      <c r="BU123" s="221" t="s">
        <v>1228</v>
      </c>
    </row>
    <row r="124" spans="2:73" ht="55.2" x14ac:dyDescent="0.3">
      <c r="B124" s="129" t="s">
        <v>834</v>
      </c>
      <c r="C124" s="244">
        <v>121</v>
      </c>
      <c r="D124" s="131" t="s">
        <v>1022</v>
      </c>
      <c r="E124" s="224"/>
      <c r="F124" s="224"/>
      <c r="G124" s="224"/>
      <c r="H124" s="224"/>
      <c r="I124" s="224"/>
      <c r="J124" s="224"/>
      <c r="K124" s="224"/>
      <c r="L124" s="224"/>
      <c r="M124" s="224"/>
      <c r="N124" s="224"/>
      <c r="O124" s="224"/>
      <c r="P124" s="224"/>
      <c r="Q124" s="224"/>
      <c r="R124" s="224"/>
      <c r="S124" s="224"/>
      <c r="T124" s="224"/>
      <c r="U124" s="224"/>
      <c r="V124" s="224"/>
      <c r="W124" s="224"/>
      <c r="X124" s="224"/>
      <c r="Y124" s="224"/>
      <c r="Z124" s="224"/>
      <c r="AA124" s="224"/>
      <c r="AB124" s="224"/>
      <c r="AC124" s="224"/>
      <c r="AD124" s="224"/>
      <c r="AE124" s="224"/>
      <c r="AF124" s="224"/>
      <c r="AG124" s="224"/>
      <c r="AH124" s="224"/>
      <c r="AI124" s="224"/>
      <c r="AJ124" s="224"/>
      <c r="AK124" s="224"/>
      <c r="AL124" s="224"/>
      <c r="AM124" s="224"/>
      <c r="AN124" s="224"/>
      <c r="AO124" s="224"/>
      <c r="AP124" s="224"/>
      <c r="AQ124" s="224"/>
      <c r="AR124" s="224"/>
      <c r="AS124" s="224"/>
      <c r="AT124" s="224"/>
      <c r="AU124" s="224"/>
      <c r="AV124" s="224"/>
      <c r="AW124" s="224"/>
      <c r="AX124" s="224"/>
      <c r="AY124" s="224"/>
      <c r="AZ124" s="224"/>
      <c r="BA124" s="224"/>
      <c r="BB124" s="224"/>
      <c r="BC124" s="224"/>
      <c r="BD124" s="224"/>
      <c r="BE124" s="224"/>
      <c r="BF124" s="224"/>
      <c r="BG124" s="224"/>
      <c r="BH124" s="224"/>
      <c r="BI124" s="224"/>
      <c r="BJ124" s="224"/>
      <c r="BK124" s="224"/>
      <c r="BL124" s="224"/>
      <c r="BM124" s="224"/>
      <c r="BN124" s="224"/>
      <c r="BO124" s="224"/>
      <c r="BP124" s="224"/>
      <c r="BQ124" s="224"/>
      <c r="BR124" s="224"/>
      <c r="BS124" s="224"/>
      <c r="BT124" s="224"/>
      <c r="BU124" s="221" t="s">
        <v>1228</v>
      </c>
    </row>
    <row r="125" spans="2:73" ht="27.6" x14ac:dyDescent="0.3">
      <c r="B125" s="129" t="s">
        <v>834</v>
      </c>
      <c r="C125" s="244">
        <v>122</v>
      </c>
      <c r="D125" s="131" t="s">
        <v>1024</v>
      </c>
      <c r="E125" s="224"/>
      <c r="F125" s="224"/>
      <c r="G125" s="224"/>
      <c r="H125" s="224"/>
      <c r="I125" s="224"/>
      <c r="J125" s="224"/>
      <c r="K125" s="224"/>
      <c r="L125" s="224"/>
      <c r="M125" s="224"/>
      <c r="N125" s="224"/>
      <c r="O125" s="224"/>
      <c r="P125" s="224"/>
      <c r="Q125" s="224"/>
      <c r="R125" s="224"/>
      <c r="S125" s="224"/>
      <c r="T125" s="224"/>
      <c r="U125" s="224"/>
      <c r="V125" s="224"/>
      <c r="W125" s="224"/>
      <c r="X125" s="224"/>
      <c r="Y125" s="224"/>
      <c r="Z125" s="224"/>
      <c r="AA125" s="224"/>
      <c r="AB125" s="224"/>
      <c r="AC125" s="224"/>
      <c r="AD125" s="224"/>
      <c r="AE125" s="224"/>
      <c r="AF125" s="224"/>
      <c r="AG125" s="224"/>
      <c r="AH125" s="224"/>
      <c r="AI125" s="224"/>
      <c r="AJ125" s="224"/>
      <c r="AK125" s="224"/>
      <c r="AL125" s="224"/>
      <c r="AM125" s="224"/>
      <c r="AN125" s="224"/>
      <c r="AO125" s="224"/>
      <c r="AP125" s="224"/>
      <c r="AQ125" s="224"/>
      <c r="AR125" s="224"/>
      <c r="AS125" s="224"/>
      <c r="AT125" s="224"/>
      <c r="AU125" s="224"/>
      <c r="AV125" s="224"/>
      <c r="AW125" s="224"/>
      <c r="AX125" s="224"/>
      <c r="AY125" s="224"/>
      <c r="AZ125" s="224"/>
      <c r="BA125" s="224"/>
      <c r="BB125" s="224"/>
      <c r="BC125" s="224"/>
      <c r="BD125" s="224"/>
      <c r="BE125" s="224"/>
      <c r="BF125" s="224"/>
      <c r="BG125" s="224"/>
      <c r="BH125" s="224"/>
      <c r="BI125" s="224"/>
      <c r="BJ125" s="224"/>
      <c r="BK125" s="224"/>
      <c r="BL125" s="224"/>
      <c r="BM125" s="224"/>
      <c r="BN125" s="224"/>
      <c r="BO125" s="224"/>
      <c r="BP125" s="224"/>
      <c r="BQ125" s="224"/>
      <c r="BR125" s="224"/>
      <c r="BS125" s="224"/>
      <c r="BT125" s="224"/>
      <c r="BU125" s="221" t="s">
        <v>1226</v>
      </c>
    </row>
    <row r="126" spans="2:73" x14ac:dyDescent="0.3">
      <c r="B126" s="267" t="s">
        <v>834</v>
      </c>
      <c r="C126" s="244">
        <v>123</v>
      </c>
      <c r="D126" s="245" t="s">
        <v>845</v>
      </c>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c r="AI126" s="243"/>
      <c r="AJ126" s="243"/>
      <c r="AK126" s="243"/>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T126" s="243"/>
      <c r="BU126" s="246"/>
    </row>
    <row r="127" spans="2:73" ht="27.6" x14ac:dyDescent="0.3">
      <c r="B127" s="129" t="s">
        <v>834</v>
      </c>
      <c r="C127" s="244">
        <v>124</v>
      </c>
      <c r="D127" s="131" t="s">
        <v>1026</v>
      </c>
      <c r="E127" s="224"/>
      <c r="F127" s="224"/>
      <c r="G127" s="224"/>
      <c r="H127" s="224"/>
      <c r="I127" s="224"/>
      <c r="J127" s="224"/>
      <c r="K127" s="224"/>
      <c r="L127" s="224"/>
      <c r="M127" s="224"/>
      <c r="N127" s="224"/>
      <c r="O127" s="224"/>
      <c r="P127" s="224"/>
      <c r="Q127" s="224"/>
      <c r="R127" s="224"/>
      <c r="S127" s="224"/>
      <c r="T127" s="224"/>
      <c r="U127" s="224"/>
      <c r="V127" s="224"/>
      <c r="W127" s="224"/>
      <c r="X127" s="224"/>
      <c r="Y127" s="224"/>
      <c r="Z127" s="224"/>
      <c r="AA127" s="224"/>
      <c r="AB127" s="224"/>
      <c r="AC127" s="224"/>
      <c r="AD127" s="224"/>
      <c r="AE127" s="224"/>
      <c r="AF127" s="224"/>
      <c r="AG127" s="224"/>
      <c r="AH127" s="224"/>
      <c r="AI127" s="224"/>
      <c r="AJ127" s="224"/>
      <c r="AK127" s="224"/>
      <c r="AL127" s="224"/>
      <c r="AM127" s="224"/>
      <c r="AN127" s="224"/>
      <c r="AO127" s="224"/>
      <c r="AP127" s="224"/>
      <c r="AQ127" s="224"/>
      <c r="AR127" s="224"/>
      <c r="AS127" s="224"/>
      <c r="AT127" s="224"/>
      <c r="AU127" s="224"/>
      <c r="AV127" s="224"/>
      <c r="AW127" s="224"/>
      <c r="AX127" s="224"/>
      <c r="AY127" s="224"/>
      <c r="AZ127" s="224"/>
      <c r="BA127" s="224"/>
      <c r="BB127" s="224"/>
      <c r="BC127" s="224"/>
      <c r="BD127" s="224"/>
      <c r="BE127" s="224"/>
      <c r="BF127" s="224"/>
      <c r="BG127" s="224"/>
      <c r="BH127" s="224"/>
      <c r="BI127" s="224"/>
      <c r="BJ127" s="224"/>
      <c r="BK127" s="224"/>
      <c r="BL127" s="224"/>
      <c r="BM127" s="224"/>
      <c r="BN127" s="224"/>
      <c r="BO127" s="224"/>
      <c r="BP127" s="224"/>
      <c r="BQ127" s="224"/>
      <c r="BR127" s="224"/>
      <c r="BS127" s="224"/>
      <c r="BT127" s="224"/>
      <c r="BU127" s="221" t="s">
        <v>1213</v>
      </c>
    </row>
    <row r="128" spans="2:73" ht="27.6" x14ac:dyDescent="0.3">
      <c r="B128" s="129" t="s">
        <v>834</v>
      </c>
      <c r="C128" s="244">
        <v>125</v>
      </c>
      <c r="D128" s="131" t="s">
        <v>1028</v>
      </c>
      <c r="E128" s="224"/>
      <c r="F128" s="224"/>
      <c r="G128" s="224"/>
      <c r="H128" s="224"/>
      <c r="I128" s="224"/>
      <c r="J128" s="224"/>
      <c r="K128" s="224"/>
      <c r="L128" s="224"/>
      <c r="M128" s="224"/>
      <c r="N128" s="224"/>
      <c r="O128" s="224"/>
      <c r="P128" s="224"/>
      <c r="Q128" s="224"/>
      <c r="R128" s="224"/>
      <c r="S128" s="224"/>
      <c r="T128" s="224"/>
      <c r="U128" s="224"/>
      <c r="V128" s="224"/>
      <c r="W128" s="224"/>
      <c r="X128" s="224"/>
      <c r="Y128" s="224"/>
      <c r="Z128" s="224"/>
      <c r="AA128" s="224"/>
      <c r="AB128" s="224"/>
      <c r="AC128" s="224"/>
      <c r="AD128" s="224"/>
      <c r="AE128" s="224"/>
      <c r="AF128" s="224"/>
      <c r="AG128" s="224"/>
      <c r="AH128" s="224"/>
      <c r="AI128" s="224"/>
      <c r="AJ128" s="224"/>
      <c r="AK128" s="224"/>
      <c r="AL128" s="224"/>
      <c r="AM128" s="224"/>
      <c r="AN128" s="224"/>
      <c r="AO128" s="224"/>
      <c r="AP128" s="224"/>
      <c r="AQ128" s="224"/>
      <c r="AR128" s="224"/>
      <c r="AS128" s="224"/>
      <c r="AT128" s="224"/>
      <c r="AU128" s="224"/>
      <c r="AV128" s="224"/>
      <c r="AW128" s="224"/>
      <c r="AX128" s="224"/>
      <c r="AY128" s="224"/>
      <c r="AZ128" s="224"/>
      <c r="BA128" s="224"/>
      <c r="BB128" s="224"/>
      <c r="BC128" s="224"/>
      <c r="BD128" s="224"/>
      <c r="BE128" s="224"/>
      <c r="BF128" s="224"/>
      <c r="BG128" s="224"/>
      <c r="BH128" s="224"/>
      <c r="BI128" s="224"/>
      <c r="BJ128" s="224"/>
      <c r="BK128" s="224"/>
      <c r="BL128" s="224"/>
      <c r="BM128" s="224"/>
      <c r="BN128" s="224"/>
      <c r="BO128" s="224"/>
      <c r="BP128" s="224"/>
      <c r="BQ128" s="224"/>
      <c r="BR128" s="224"/>
      <c r="BS128" s="224"/>
      <c r="BT128" s="224"/>
      <c r="BU128" s="221" t="s">
        <v>1213</v>
      </c>
    </row>
    <row r="129" spans="2:73" ht="69" x14ac:dyDescent="0.3">
      <c r="B129" s="129" t="s">
        <v>834</v>
      </c>
      <c r="C129" s="244">
        <v>126</v>
      </c>
      <c r="D129" s="131" t="s">
        <v>1030</v>
      </c>
      <c r="E129" s="224"/>
      <c r="F129" s="224"/>
      <c r="G129" s="224"/>
      <c r="H129" s="224"/>
      <c r="I129" s="224"/>
      <c r="J129" s="224"/>
      <c r="K129" s="224"/>
      <c r="L129" s="224"/>
      <c r="M129" s="224"/>
      <c r="N129" s="224"/>
      <c r="O129" s="224"/>
      <c r="P129" s="224"/>
      <c r="Q129" s="224"/>
      <c r="R129" s="224"/>
      <c r="S129" s="224"/>
      <c r="T129" s="224"/>
      <c r="U129" s="224"/>
      <c r="V129" s="224"/>
      <c r="W129" s="224"/>
      <c r="X129" s="224"/>
      <c r="Y129" s="224"/>
      <c r="Z129" s="224"/>
      <c r="AA129" s="224"/>
      <c r="AB129" s="224"/>
      <c r="AC129" s="224"/>
      <c r="AD129" s="224"/>
      <c r="AE129" s="224"/>
      <c r="AF129" s="224"/>
      <c r="AG129" s="224"/>
      <c r="AH129" s="224"/>
      <c r="AI129" s="224"/>
      <c r="AJ129" s="224"/>
      <c r="AK129" s="224"/>
      <c r="AL129" s="224"/>
      <c r="AM129" s="224"/>
      <c r="AN129" s="224"/>
      <c r="AO129" s="224"/>
      <c r="AP129" s="224"/>
      <c r="AQ129" s="224"/>
      <c r="AR129" s="224"/>
      <c r="AS129" s="224"/>
      <c r="AT129" s="224"/>
      <c r="AU129" s="224"/>
      <c r="AV129" s="224"/>
      <c r="AW129" s="224"/>
      <c r="AX129" s="224"/>
      <c r="AY129" s="224"/>
      <c r="AZ129" s="224"/>
      <c r="BA129" s="224"/>
      <c r="BB129" s="224"/>
      <c r="BC129" s="224"/>
      <c r="BD129" s="224"/>
      <c r="BE129" s="224"/>
      <c r="BF129" s="224"/>
      <c r="BG129" s="224"/>
      <c r="BH129" s="224"/>
      <c r="BI129" s="224"/>
      <c r="BJ129" s="224"/>
      <c r="BK129" s="224"/>
      <c r="BL129" s="224"/>
      <c r="BM129" s="224"/>
      <c r="BN129" s="224"/>
      <c r="BO129" s="224"/>
      <c r="BP129" s="224"/>
      <c r="BQ129" s="224"/>
      <c r="BR129" s="224"/>
      <c r="BS129" s="224"/>
      <c r="BT129" s="224"/>
      <c r="BU129" s="221" t="s">
        <v>1213</v>
      </c>
    </row>
    <row r="130" spans="2:73" x14ac:dyDescent="0.3">
      <c r="B130" s="267" t="s">
        <v>834</v>
      </c>
      <c r="C130" s="244">
        <v>127</v>
      </c>
      <c r="D130" s="245" t="s">
        <v>845</v>
      </c>
      <c r="E130" s="243"/>
      <c r="F130" s="243"/>
      <c r="G130" s="243"/>
      <c r="H130" s="243"/>
      <c r="I130" s="243"/>
      <c r="J130" s="243"/>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c r="AI130" s="243"/>
      <c r="AJ130" s="243"/>
      <c r="AK130" s="243"/>
      <c r="AL130" s="243"/>
      <c r="AM130" s="243"/>
      <c r="AN130" s="243"/>
      <c r="AO130" s="243"/>
      <c r="AP130" s="243"/>
      <c r="AQ130" s="243"/>
      <c r="AR130" s="243"/>
      <c r="AS130" s="243"/>
      <c r="AT130" s="243"/>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T130" s="243"/>
      <c r="BU130" s="246"/>
    </row>
    <row r="131" spans="2:73" x14ac:dyDescent="0.3">
      <c r="B131" s="129" t="s">
        <v>834</v>
      </c>
      <c r="C131" s="244">
        <v>128</v>
      </c>
      <c r="D131" s="131" t="s">
        <v>1032</v>
      </c>
      <c r="E131" s="224"/>
      <c r="F131" s="224"/>
      <c r="G131" s="224"/>
      <c r="H131" s="224"/>
      <c r="I131" s="224"/>
      <c r="J131" s="224"/>
      <c r="K131" s="224"/>
      <c r="L131" s="224"/>
      <c r="M131" s="224"/>
      <c r="N131" s="224"/>
      <c r="O131" s="224"/>
      <c r="P131" s="224"/>
      <c r="Q131" s="224"/>
      <c r="R131" s="224"/>
      <c r="S131" s="224"/>
      <c r="T131" s="224"/>
      <c r="U131" s="224"/>
      <c r="V131" s="224"/>
      <c r="W131" s="224"/>
      <c r="X131" s="224"/>
      <c r="Y131" s="224"/>
      <c r="Z131" s="224"/>
      <c r="AA131" s="224"/>
      <c r="AB131" s="224"/>
      <c r="AC131" s="224"/>
      <c r="AD131" s="224"/>
      <c r="AE131" s="224"/>
      <c r="AF131" s="224"/>
      <c r="AG131" s="224"/>
      <c r="AH131" s="224"/>
      <c r="AI131" s="224"/>
      <c r="AJ131" s="224"/>
      <c r="AK131" s="224"/>
      <c r="AL131" s="224"/>
      <c r="AM131" s="224"/>
      <c r="AN131" s="224"/>
      <c r="AO131" s="224"/>
      <c r="AP131" s="224"/>
      <c r="AQ131" s="224"/>
      <c r="AR131" s="224"/>
      <c r="AS131" s="224"/>
      <c r="AT131" s="224"/>
      <c r="AU131" s="224"/>
      <c r="AV131" s="224"/>
      <c r="AW131" s="224"/>
      <c r="AX131" s="224"/>
      <c r="AY131" s="224"/>
      <c r="AZ131" s="224"/>
      <c r="BA131" s="224"/>
      <c r="BB131" s="224"/>
      <c r="BC131" s="224"/>
      <c r="BD131" s="224"/>
      <c r="BE131" s="224"/>
      <c r="BF131" s="224"/>
      <c r="BG131" s="224"/>
      <c r="BH131" s="224"/>
      <c r="BI131" s="224"/>
      <c r="BJ131" s="224"/>
      <c r="BK131" s="224"/>
      <c r="BL131" s="224"/>
      <c r="BM131" s="224"/>
      <c r="BN131" s="224"/>
      <c r="BO131" s="224"/>
      <c r="BP131" s="224"/>
      <c r="BQ131" s="224"/>
      <c r="BR131" s="224"/>
      <c r="BS131" s="224"/>
      <c r="BT131" s="224"/>
      <c r="BU131" s="221" t="s">
        <v>1221</v>
      </c>
    </row>
    <row r="132" spans="2:73" x14ac:dyDescent="0.3">
      <c r="B132" s="129" t="s">
        <v>834</v>
      </c>
      <c r="C132" s="244">
        <v>129</v>
      </c>
      <c r="D132" s="131" t="s">
        <v>1034</v>
      </c>
      <c r="E132" s="224"/>
      <c r="F132" s="224"/>
      <c r="G132" s="224"/>
      <c r="H132" s="224"/>
      <c r="I132" s="224"/>
      <c r="J132" s="224"/>
      <c r="K132" s="224"/>
      <c r="L132" s="224"/>
      <c r="M132" s="224"/>
      <c r="N132" s="224"/>
      <c r="O132" s="224"/>
      <c r="P132" s="224"/>
      <c r="Q132" s="224"/>
      <c r="R132" s="224"/>
      <c r="S132" s="224"/>
      <c r="T132" s="224"/>
      <c r="U132" s="224"/>
      <c r="V132" s="224"/>
      <c r="W132" s="224"/>
      <c r="X132" s="224"/>
      <c r="Y132" s="224"/>
      <c r="Z132" s="224"/>
      <c r="AA132" s="224"/>
      <c r="AB132" s="224"/>
      <c r="AC132" s="224"/>
      <c r="AD132" s="224"/>
      <c r="AE132" s="224"/>
      <c r="AF132" s="224"/>
      <c r="AG132" s="224"/>
      <c r="AH132" s="224"/>
      <c r="AI132" s="224"/>
      <c r="AJ132" s="224"/>
      <c r="AK132" s="224"/>
      <c r="AL132" s="224"/>
      <c r="AM132" s="224"/>
      <c r="AN132" s="224"/>
      <c r="AO132" s="224"/>
      <c r="AP132" s="224"/>
      <c r="AQ132" s="224"/>
      <c r="AR132" s="224"/>
      <c r="AS132" s="224"/>
      <c r="AT132" s="224"/>
      <c r="AU132" s="224"/>
      <c r="AV132" s="224"/>
      <c r="AW132" s="224"/>
      <c r="AX132" s="224"/>
      <c r="AY132" s="224"/>
      <c r="AZ132" s="224"/>
      <c r="BA132" s="224"/>
      <c r="BB132" s="224"/>
      <c r="BC132" s="224"/>
      <c r="BD132" s="224"/>
      <c r="BE132" s="224"/>
      <c r="BF132" s="224"/>
      <c r="BG132" s="224"/>
      <c r="BH132" s="224"/>
      <c r="BI132" s="224"/>
      <c r="BJ132" s="224"/>
      <c r="BK132" s="224"/>
      <c r="BL132" s="224"/>
      <c r="BM132" s="224"/>
      <c r="BN132" s="224"/>
      <c r="BO132" s="224"/>
      <c r="BP132" s="224"/>
      <c r="BQ132" s="224"/>
      <c r="BR132" s="224"/>
      <c r="BS132" s="224"/>
      <c r="BT132" s="224"/>
      <c r="BU132" s="221" t="s">
        <v>1229</v>
      </c>
    </row>
    <row r="133" spans="2:73" x14ac:dyDescent="0.3">
      <c r="B133" s="267" t="s">
        <v>834</v>
      </c>
      <c r="C133" s="244">
        <v>130</v>
      </c>
      <c r="D133" s="245" t="s">
        <v>845</v>
      </c>
      <c r="E133" s="243"/>
      <c r="F133" s="243"/>
      <c r="G133" s="243"/>
      <c r="H133" s="243"/>
      <c r="I133" s="243"/>
      <c r="J133" s="243"/>
      <c r="K133" s="243"/>
      <c r="L133" s="243"/>
      <c r="M133" s="243"/>
      <c r="N133" s="243"/>
      <c r="O133" s="243"/>
      <c r="P133" s="243"/>
      <c r="Q133" s="243"/>
      <c r="R133" s="243"/>
      <c r="S133" s="243"/>
      <c r="T133" s="243"/>
      <c r="U133" s="243"/>
      <c r="V133" s="243"/>
      <c r="W133" s="243"/>
      <c r="X133" s="243"/>
      <c r="Y133" s="243"/>
      <c r="Z133" s="243"/>
      <c r="AA133" s="243"/>
      <c r="AB133" s="243"/>
      <c r="AC133" s="243"/>
      <c r="AD133" s="243"/>
      <c r="AE133" s="243"/>
      <c r="AF133" s="243"/>
      <c r="AG133" s="243"/>
      <c r="AH133" s="243"/>
      <c r="AI133" s="243"/>
      <c r="AJ133" s="243"/>
      <c r="AK133" s="243"/>
      <c r="AL133" s="243"/>
      <c r="AM133" s="243"/>
      <c r="AN133" s="243"/>
      <c r="AO133" s="243"/>
      <c r="AP133" s="243"/>
      <c r="AQ133" s="243"/>
      <c r="AR133" s="243"/>
      <c r="AS133" s="243"/>
      <c r="AT133" s="243"/>
      <c r="AU133" s="243"/>
      <c r="AV133" s="243"/>
      <c r="AW133" s="243"/>
      <c r="AX133" s="243"/>
      <c r="AY133" s="243"/>
      <c r="AZ133" s="243"/>
      <c r="BA133" s="243"/>
      <c r="BB133" s="243"/>
      <c r="BC133" s="243"/>
      <c r="BD133" s="243"/>
      <c r="BE133" s="243"/>
      <c r="BF133" s="243"/>
      <c r="BG133" s="243"/>
      <c r="BH133" s="243"/>
      <c r="BI133" s="243"/>
      <c r="BJ133" s="243"/>
      <c r="BK133" s="243"/>
      <c r="BL133" s="243"/>
      <c r="BM133" s="243"/>
      <c r="BN133" s="243"/>
      <c r="BO133" s="243"/>
      <c r="BP133" s="243"/>
      <c r="BQ133" s="243"/>
      <c r="BR133" s="243"/>
      <c r="BS133" s="243"/>
      <c r="BT133" s="243"/>
      <c r="BU133" s="246"/>
    </row>
    <row r="134" spans="2:73" ht="41.4" x14ac:dyDescent="0.3">
      <c r="B134" s="129" t="s">
        <v>834</v>
      </c>
      <c r="C134" s="244">
        <v>131</v>
      </c>
      <c r="D134" s="131" t="s">
        <v>1036</v>
      </c>
      <c r="E134" s="224"/>
      <c r="F134" s="224"/>
      <c r="G134" s="224"/>
      <c r="H134" s="224"/>
      <c r="I134" s="224"/>
      <c r="J134" s="224"/>
      <c r="K134" s="224"/>
      <c r="L134" s="224"/>
      <c r="M134" s="224"/>
      <c r="N134" s="224"/>
      <c r="O134" s="224"/>
      <c r="P134" s="224"/>
      <c r="Q134" s="224"/>
      <c r="R134" s="224"/>
      <c r="S134" s="224"/>
      <c r="T134" s="224"/>
      <c r="U134" s="224"/>
      <c r="V134" s="224"/>
      <c r="W134" s="224"/>
      <c r="X134" s="224"/>
      <c r="Y134" s="224"/>
      <c r="Z134" s="224"/>
      <c r="AA134" s="224"/>
      <c r="AB134" s="224"/>
      <c r="AC134" s="224"/>
      <c r="AD134" s="224"/>
      <c r="AE134" s="224"/>
      <c r="AF134" s="224"/>
      <c r="AG134" s="224"/>
      <c r="AH134" s="224"/>
      <c r="AI134" s="224"/>
      <c r="AJ134" s="224"/>
      <c r="AK134" s="224"/>
      <c r="AL134" s="224"/>
      <c r="AM134" s="224"/>
      <c r="AN134" s="224"/>
      <c r="AO134" s="224"/>
      <c r="AP134" s="224"/>
      <c r="AQ134" s="224"/>
      <c r="AR134" s="224"/>
      <c r="AS134" s="224"/>
      <c r="AT134" s="224"/>
      <c r="AU134" s="224"/>
      <c r="AV134" s="224"/>
      <c r="AW134" s="224"/>
      <c r="AX134" s="224"/>
      <c r="AY134" s="224"/>
      <c r="AZ134" s="224"/>
      <c r="BA134" s="224"/>
      <c r="BB134" s="224"/>
      <c r="BC134" s="224"/>
      <c r="BD134" s="224"/>
      <c r="BE134" s="224"/>
      <c r="BF134" s="224"/>
      <c r="BG134" s="224"/>
      <c r="BH134" s="224"/>
      <c r="BI134" s="224"/>
      <c r="BJ134" s="224"/>
      <c r="BK134" s="224"/>
      <c r="BL134" s="224"/>
      <c r="BM134" s="224"/>
      <c r="BN134" s="224"/>
      <c r="BO134" s="224"/>
      <c r="BP134" s="224"/>
      <c r="BQ134" s="224"/>
      <c r="BR134" s="224"/>
      <c r="BS134" s="224"/>
      <c r="BT134" s="224"/>
      <c r="BU134" s="221" t="s">
        <v>1230</v>
      </c>
    </row>
    <row r="135" spans="2:73" ht="41.4" x14ac:dyDescent="0.3">
      <c r="B135" s="129" t="s">
        <v>834</v>
      </c>
      <c r="C135" s="244">
        <v>132</v>
      </c>
      <c r="D135" s="131" t="s">
        <v>895</v>
      </c>
      <c r="E135" s="224"/>
      <c r="F135" s="224"/>
      <c r="G135" s="224"/>
      <c r="H135" s="224"/>
      <c r="I135" s="224"/>
      <c r="J135" s="224"/>
      <c r="K135" s="224"/>
      <c r="L135" s="224"/>
      <c r="M135" s="224"/>
      <c r="N135" s="224"/>
      <c r="O135" s="224"/>
      <c r="P135" s="224"/>
      <c r="Q135" s="224"/>
      <c r="R135" s="224"/>
      <c r="S135" s="224"/>
      <c r="T135" s="224"/>
      <c r="U135" s="224"/>
      <c r="V135" s="224"/>
      <c r="W135" s="224"/>
      <c r="X135" s="224"/>
      <c r="Y135" s="224"/>
      <c r="Z135" s="224"/>
      <c r="AA135" s="224"/>
      <c r="AB135" s="224"/>
      <c r="AC135" s="224"/>
      <c r="AD135" s="224"/>
      <c r="AE135" s="224"/>
      <c r="AF135" s="224"/>
      <c r="AG135" s="224"/>
      <c r="AH135" s="224"/>
      <c r="AI135" s="224"/>
      <c r="AJ135" s="224"/>
      <c r="AK135" s="224"/>
      <c r="AL135" s="224"/>
      <c r="AM135" s="224"/>
      <c r="AN135" s="224"/>
      <c r="AO135" s="224"/>
      <c r="AP135" s="224"/>
      <c r="AQ135" s="224"/>
      <c r="AR135" s="224"/>
      <c r="AS135" s="224"/>
      <c r="AT135" s="224"/>
      <c r="AU135" s="224"/>
      <c r="AV135" s="224"/>
      <c r="AW135" s="224"/>
      <c r="AX135" s="224"/>
      <c r="AY135" s="224"/>
      <c r="AZ135" s="224"/>
      <c r="BA135" s="224"/>
      <c r="BB135" s="224"/>
      <c r="BC135" s="224"/>
      <c r="BD135" s="224"/>
      <c r="BE135" s="224"/>
      <c r="BF135" s="224"/>
      <c r="BG135" s="224"/>
      <c r="BH135" s="224"/>
      <c r="BI135" s="224"/>
      <c r="BJ135" s="224"/>
      <c r="BK135" s="224"/>
      <c r="BL135" s="224"/>
      <c r="BM135" s="224"/>
      <c r="BN135" s="224"/>
      <c r="BO135" s="224"/>
      <c r="BP135" s="224"/>
      <c r="BQ135" s="224"/>
      <c r="BR135" s="224"/>
      <c r="BS135" s="224"/>
      <c r="BT135" s="224"/>
      <c r="BU135" s="221" t="s">
        <v>1230</v>
      </c>
    </row>
    <row r="136" spans="2:73" ht="41.4" x14ac:dyDescent="0.3">
      <c r="B136" s="129" t="s">
        <v>834</v>
      </c>
      <c r="C136" s="244">
        <v>133</v>
      </c>
      <c r="D136" s="131" t="s">
        <v>1038</v>
      </c>
      <c r="E136" s="224"/>
      <c r="F136" s="224"/>
      <c r="G136" s="224"/>
      <c r="H136" s="224"/>
      <c r="I136" s="224"/>
      <c r="J136" s="224"/>
      <c r="K136" s="224"/>
      <c r="L136" s="224"/>
      <c r="M136" s="224"/>
      <c r="N136" s="224"/>
      <c r="O136" s="224"/>
      <c r="P136" s="224"/>
      <c r="Q136" s="224"/>
      <c r="R136" s="224"/>
      <c r="S136" s="224"/>
      <c r="T136" s="224"/>
      <c r="U136" s="224"/>
      <c r="V136" s="224"/>
      <c r="W136" s="224"/>
      <c r="X136" s="224"/>
      <c r="Y136" s="224"/>
      <c r="Z136" s="224"/>
      <c r="AA136" s="224"/>
      <c r="AB136" s="224"/>
      <c r="AC136" s="224"/>
      <c r="AD136" s="224"/>
      <c r="AE136" s="224"/>
      <c r="AF136" s="224"/>
      <c r="AG136" s="224"/>
      <c r="AH136" s="224"/>
      <c r="AI136" s="224"/>
      <c r="AJ136" s="224"/>
      <c r="AK136" s="224"/>
      <c r="AL136" s="224"/>
      <c r="AM136" s="224"/>
      <c r="AN136" s="224"/>
      <c r="AO136" s="224"/>
      <c r="AP136" s="224"/>
      <c r="AQ136" s="224"/>
      <c r="AR136" s="224"/>
      <c r="AS136" s="224"/>
      <c r="AT136" s="224"/>
      <c r="AU136" s="224"/>
      <c r="AV136" s="224"/>
      <c r="AW136" s="224"/>
      <c r="AX136" s="224"/>
      <c r="AY136" s="224"/>
      <c r="AZ136" s="224"/>
      <c r="BA136" s="224"/>
      <c r="BB136" s="224"/>
      <c r="BC136" s="224"/>
      <c r="BD136" s="224"/>
      <c r="BE136" s="224"/>
      <c r="BF136" s="224"/>
      <c r="BG136" s="224"/>
      <c r="BH136" s="224"/>
      <c r="BI136" s="224"/>
      <c r="BJ136" s="224"/>
      <c r="BK136" s="224"/>
      <c r="BL136" s="224"/>
      <c r="BM136" s="224"/>
      <c r="BN136" s="224"/>
      <c r="BO136" s="224"/>
      <c r="BP136" s="224"/>
      <c r="BQ136" s="224"/>
      <c r="BR136" s="224"/>
      <c r="BS136" s="224"/>
      <c r="BT136" s="224"/>
      <c r="BU136" s="221" t="s">
        <v>1231</v>
      </c>
    </row>
    <row r="137" spans="2:73" ht="41.4" x14ac:dyDescent="0.3">
      <c r="B137" s="129" t="s">
        <v>834</v>
      </c>
      <c r="C137" s="244">
        <v>134</v>
      </c>
      <c r="D137" s="131" t="s">
        <v>1040</v>
      </c>
      <c r="E137" s="224"/>
      <c r="F137" s="224"/>
      <c r="G137" s="224"/>
      <c r="H137" s="224"/>
      <c r="I137" s="224"/>
      <c r="J137" s="224"/>
      <c r="K137" s="224"/>
      <c r="L137" s="224"/>
      <c r="M137" s="224"/>
      <c r="N137" s="224"/>
      <c r="O137" s="224"/>
      <c r="P137" s="224"/>
      <c r="Q137" s="224"/>
      <c r="R137" s="224"/>
      <c r="S137" s="224"/>
      <c r="T137" s="224"/>
      <c r="U137" s="224"/>
      <c r="V137" s="224"/>
      <c r="W137" s="224"/>
      <c r="X137" s="224"/>
      <c r="Y137" s="224"/>
      <c r="Z137" s="224"/>
      <c r="AA137" s="224"/>
      <c r="AB137" s="224"/>
      <c r="AC137" s="224"/>
      <c r="AD137" s="224"/>
      <c r="AE137" s="224"/>
      <c r="AF137" s="224"/>
      <c r="AG137" s="224"/>
      <c r="AH137" s="224"/>
      <c r="AI137" s="224"/>
      <c r="AJ137" s="224"/>
      <c r="AK137" s="224"/>
      <c r="AL137" s="224"/>
      <c r="AM137" s="224"/>
      <c r="AN137" s="224"/>
      <c r="AO137" s="224"/>
      <c r="AP137" s="224"/>
      <c r="AQ137" s="224"/>
      <c r="AR137" s="224"/>
      <c r="AS137" s="224"/>
      <c r="AT137" s="224"/>
      <c r="AU137" s="224"/>
      <c r="AV137" s="224"/>
      <c r="AW137" s="224"/>
      <c r="AX137" s="224"/>
      <c r="AY137" s="224"/>
      <c r="AZ137" s="224"/>
      <c r="BA137" s="224"/>
      <c r="BB137" s="224"/>
      <c r="BC137" s="224"/>
      <c r="BD137" s="224"/>
      <c r="BE137" s="224"/>
      <c r="BF137" s="224"/>
      <c r="BG137" s="224"/>
      <c r="BH137" s="224"/>
      <c r="BI137" s="224"/>
      <c r="BJ137" s="224"/>
      <c r="BK137" s="224"/>
      <c r="BL137" s="224"/>
      <c r="BM137" s="224"/>
      <c r="BN137" s="224"/>
      <c r="BO137" s="224"/>
      <c r="BP137" s="224"/>
      <c r="BQ137" s="224"/>
      <c r="BR137" s="224"/>
      <c r="BS137" s="224"/>
      <c r="BT137" s="224"/>
      <c r="BU137" s="221" t="s">
        <v>1230</v>
      </c>
    </row>
    <row r="138" spans="2:73" x14ac:dyDescent="0.3">
      <c r="B138" s="267" t="s">
        <v>837</v>
      </c>
      <c r="C138" s="244">
        <v>135</v>
      </c>
      <c r="D138" s="245" t="s">
        <v>845</v>
      </c>
      <c r="E138" s="243"/>
      <c r="F138" s="243"/>
      <c r="G138" s="243"/>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3"/>
      <c r="AE138" s="243"/>
      <c r="AF138" s="243"/>
      <c r="AG138" s="243"/>
      <c r="AH138" s="243"/>
      <c r="AI138" s="243"/>
      <c r="AJ138" s="243"/>
      <c r="AK138" s="243"/>
      <c r="AL138" s="243"/>
      <c r="AM138" s="243"/>
      <c r="AN138" s="243"/>
      <c r="AO138" s="243"/>
      <c r="AP138" s="243"/>
      <c r="AQ138" s="243"/>
      <c r="AR138" s="243"/>
      <c r="AS138" s="243"/>
      <c r="AT138" s="243"/>
      <c r="AU138" s="243"/>
      <c r="AV138" s="243"/>
      <c r="AW138" s="243"/>
      <c r="AX138" s="243"/>
      <c r="AY138" s="243"/>
      <c r="AZ138" s="243"/>
      <c r="BA138" s="243"/>
      <c r="BB138" s="243"/>
      <c r="BC138" s="243"/>
      <c r="BD138" s="243"/>
      <c r="BE138" s="243"/>
      <c r="BF138" s="243"/>
      <c r="BG138" s="243"/>
      <c r="BH138" s="243"/>
      <c r="BI138" s="243"/>
      <c r="BJ138" s="243"/>
      <c r="BK138" s="243"/>
      <c r="BL138" s="243"/>
      <c r="BM138" s="243"/>
      <c r="BN138" s="243"/>
      <c r="BO138" s="243"/>
      <c r="BP138" s="243"/>
      <c r="BQ138" s="243"/>
      <c r="BR138" s="243"/>
      <c r="BS138" s="243"/>
      <c r="BT138" s="243"/>
      <c r="BU138" s="246"/>
    </row>
    <row r="139" spans="2:73" ht="27.6" x14ac:dyDescent="0.3">
      <c r="B139" s="129" t="s">
        <v>837</v>
      </c>
      <c r="C139" s="244">
        <v>136</v>
      </c>
      <c r="D139" s="131" t="s">
        <v>1179</v>
      </c>
      <c r="E139" s="224"/>
      <c r="F139" s="224"/>
      <c r="G139" s="224"/>
      <c r="H139" s="224"/>
      <c r="I139" s="224"/>
      <c r="J139" s="224"/>
      <c r="K139" s="224"/>
      <c r="L139" s="224"/>
      <c r="M139" s="224"/>
      <c r="N139" s="224"/>
      <c r="O139" s="224"/>
      <c r="P139" s="224"/>
      <c r="Q139" s="224"/>
      <c r="R139" s="224"/>
      <c r="S139" s="224"/>
      <c r="T139" s="224"/>
      <c r="U139" s="224"/>
      <c r="V139" s="224"/>
      <c r="W139" s="224"/>
      <c r="X139" s="224"/>
      <c r="Y139" s="224"/>
      <c r="Z139" s="224"/>
      <c r="AA139" s="224"/>
      <c r="AB139" s="224"/>
      <c r="AC139" s="224"/>
      <c r="AD139" s="224"/>
      <c r="AE139" s="224"/>
      <c r="AF139" s="224"/>
      <c r="AG139" s="224"/>
      <c r="AH139" s="224"/>
      <c r="AI139" s="224"/>
      <c r="AJ139" s="224"/>
      <c r="AK139" s="224"/>
      <c r="AL139" s="224"/>
      <c r="AM139" s="224"/>
      <c r="AN139" s="224"/>
      <c r="AO139" s="224"/>
      <c r="AP139" s="224"/>
      <c r="AQ139" s="224"/>
      <c r="AR139" s="224"/>
      <c r="AS139" s="224"/>
      <c r="AT139" s="224"/>
      <c r="AU139" s="224"/>
      <c r="AV139" s="224"/>
      <c r="AW139" s="224"/>
      <c r="AX139" s="224"/>
      <c r="AY139" s="224"/>
      <c r="AZ139" s="224"/>
      <c r="BA139" s="224"/>
      <c r="BB139" s="224"/>
      <c r="BC139" s="224"/>
      <c r="BD139" s="224"/>
      <c r="BE139" s="224"/>
      <c r="BF139" s="224"/>
      <c r="BG139" s="224"/>
      <c r="BH139" s="224"/>
      <c r="BI139" s="224"/>
      <c r="BJ139" s="224"/>
      <c r="BK139" s="224"/>
      <c r="BL139" s="224"/>
      <c r="BM139" s="224"/>
      <c r="BN139" s="224"/>
      <c r="BO139" s="224"/>
      <c r="BP139" s="224"/>
      <c r="BQ139" s="224"/>
      <c r="BR139" s="224"/>
      <c r="BS139" s="224"/>
      <c r="BT139" s="224"/>
      <c r="BU139" s="221" t="s">
        <v>1232</v>
      </c>
    </row>
    <row r="140" spans="2:73" ht="27.6" x14ac:dyDescent="0.3">
      <c r="B140" s="129" t="s">
        <v>837</v>
      </c>
      <c r="C140" s="244">
        <v>137</v>
      </c>
      <c r="D140" s="131" t="s">
        <v>1180</v>
      </c>
      <c r="E140" s="224"/>
      <c r="F140" s="224"/>
      <c r="G140" s="224"/>
      <c r="H140" s="224"/>
      <c r="I140" s="224"/>
      <c r="J140" s="224"/>
      <c r="K140" s="224"/>
      <c r="L140" s="224"/>
      <c r="M140" s="224"/>
      <c r="N140" s="224"/>
      <c r="O140" s="224"/>
      <c r="P140" s="224"/>
      <c r="Q140" s="224"/>
      <c r="R140" s="224"/>
      <c r="S140" s="224"/>
      <c r="T140" s="224"/>
      <c r="U140" s="224"/>
      <c r="V140" s="224"/>
      <c r="W140" s="224"/>
      <c r="X140" s="224"/>
      <c r="Y140" s="224"/>
      <c r="Z140" s="224"/>
      <c r="AA140" s="224"/>
      <c r="AB140" s="224"/>
      <c r="AC140" s="224"/>
      <c r="AD140" s="224"/>
      <c r="AE140" s="224"/>
      <c r="AF140" s="224"/>
      <c r="AG140" s="224"/>
      <c r="AH140" s="224"/>
      <c r="AI140" s="224"/>
      <c r="AJ140" s="224"/>
      <c r="AK140" s="224"/>
      <c r="AL140" s="224"/>
      <c r="AM140" s="224"/>
      <c r="AN140" s="224"/>
      <c r="AO140" s="224"/>
      <c r="AP140" s="224"/>
      <c r="AQ140" s="224"/>
      <c r="AR140" s="224"/>
      <c r="AS140" s="224"/>
      <c r="AT140" s="224"/>
      <c r="AU140" s="224"/>
      <c r="AV140" s="224"/>
      <c r="AW140" s="224"/>
      <c r="AX140" s="224"/>
      <c r="AY140" s="224"/>
      <c r="AZ140" s="224"/>
      <c r="BA140" s="224"/>
      <c r="BB140" s="224"/>
      <c r="BC140" s="224"/>
      <c r="BD140" s="224"/>
      <c r="BE140" s="224"/>
      <c r="BF140" s="224"/>
      <c r="BG140" s="224"/>
      <c r="BH140" s="224"/>
      <c r="BI140" s="224"/>
      <c r="BJ140" s="224"/>
      <c r="BK140" s="224"/>
      <c r="BL140" s="224"/>
      <c r="BM140" s="224"/>
      <c r="BN140" s="224"/>
      <c r="BO140" s="224"/>
      <c r="BP140" s="224"/>
      <c r="BQ140" s="224"/>
      <c r="BR140" s="224"/>
      <c r="BS140" s="224"/>
      <c r="BT140" s="224"/>
      <c r="BU140" s="221" t="s">
        <v>1232</v>
      </c>
    </row>
    <row r="141" spans="2:73" ht="27.6" x14ac:dyDescent="0.3">
      <c r="B141" s="129" t="s">
        <v>837</v>
      </c>
      <c r="C141" s="244">
        <v>138</v>
      </c>
      <c r="D141" s="131" t="s">
        <v>1181</v>
      </c>
      <c r="E141" s="224"/>
      <c r="F141" s="224"/>
      <c r="G141" s="224"/>
      <c r="H141" s="224"/>
      <c r="I141" s="224"/>
      <c r="J141" s="224"/>
      <c r="K141" s="224"/>
      <c r="L141" s="224"/>
      <c r="M141" s="224"/>
      <c r="N141" s="224"/>
      <c r="O141" s="224"/>
      <c r="P141" s="224"/>
      <c r="Q141" s="224"/>
      <c r="R141" s="224"/>
      <c r="S141" s="224"/>
      <c r="T141" s="224"/>
      <c r="U141" s="224"/>
      <c r="V141" s="224"/>
      <c r="W141" s="224"/>
      <c r="X141" s="224"/>
      <c r="Y141" s="224"/>
      <c r="Z141" s="224"/>
      <c r="AA141" s="224"/>
      <c r="AB141" s="224"/>
      <c r="AC141" s="224"/>
      <c r="AD141" s="224"/>
      <c r="AE141" s="224"/>
      <c r="AF141" s="224"/>
      <c r="AG141" s="224"/>
      <c r="AH141" s="224"/>
      <c r="AI141" s="224"/>
      <c r="AJ141" s="224"/>
      <c r="AK141" s="224"/>
      <c r="AL141" s="224"/>
      <c r="AM141" s="224"/>
      <c r="AN141" s="224"/>
      <c r="AO141" s="224"/>
      <c r="AP141" s="224"/>
      <c r="AQ141" s="224"/>
      <c r="AR141" s="224"/>
      <c r="AS141" s="224"/>
      <c r="AT141" s="224"/>
      <c r="AU141" s="224"/>
      <c r="AV141" s="224"/>
      <c r="AW141" s="224"/>
      <c r="AX141" s="224"/>
      <c r="AY141" s="224"/>
      <c r="AZ141" s="224"/>
      <c r="BA141" s="224"/>
      <c r="BB141" s="224"/>
      <c r="BC141" s="224"/>
      <c r="BD141" s="224"/>
      <c r="BE141" s="224"/>
      <c r="BF141" s="224"/>
      <c r="BG141" s="224"/>
      <c r="BH141" s="224"/>
      <c r="BI141" s="224"/>
      <c r="BJ141" s="224"/>
      <c r="BK141" s="224"/>
      <c r="BL141" s="224"/>
      <c r="BM141" s="224"/>
      <c r="BN141" s="224"/>
      <c r="BO141" s="224"/>
      <c r="BP141" s="224"/>
      <c r="BQ141" s="224"/>
      <c r="BR141" s="224"/>
      <c r="BS141" s="224"/>
      <c r="BT141" s="224"/>
      <c r="BU141" s="221" t="s">
        <v>1232</v>
      </c>
    </row>
    <row r="142" spans="2:73" ht="27.6" x14ac:dyDescent="0.3">
      <c r="B142" s="129" t="s">
        <v>837</v>
      </c>
      <c r="C142" s="244">
        <v>139</v>
      </c>
      <c r="D142" s="131" t="s">
        <v>1182</v>
      </c>
      <c r="E142" s="224"/>
      <c r="F142" s="224"/>
      <c r="G142" s="224"/>
      <c r="H142" s="224"/>
      <c r="I142" s="224"/>
      <c r="J142" s="224"/>
      <c r="K142" s="224"/>
      <c r="L142" s="224"/>
      <c r="M142" s="224"/>
      <c r="N142" s="224"/>
      <c r="O142" s="224"/>
      <c r="P142" s="224"/>
      <c r="Q142" s="224"/>
      <c r="R142" s="224"/>
      <c r="S142" s="224"/>
      <c r="T142" s="224"/>
      <c r="U142" s="224"/>
      <c r="V142" s="224"/>
      <c r="W142" s="224"/>
      <c r="X142" s="224"/>
      <c r="Y142" s="224"/>
      <c r="Z142" s="224"/>
      <c r="AA142" s="224"/>
      <c r="AB142" s="224"/>
      <c r="AC142" s="224"/>
      <c r="AD142" s="224"/>
      <c r="AE142" s="224"/>
      <c r="AF142" s="224"/>
      <c r="AG142" s="224"/>
      <c r="AH142" s="224"/>
      <c r="AI142" s="224"/>
      <c r="AJ142" s="224"/>
      <c r="AK142" s="224"/>
      <c r="AL142" s="224"/>
      <c r="AM142" s="224"/>
      <c r="AN142" s="224"/>
      <c r="AO142" s="224"/>
      <c r="AP142" s="224"/>
      <c r="AQ142" s="224"/>
      <c r="AR142" s="224"/>
      <c r="AS142" s="224"/>
      <c r="AT142" s="224"/>
      <c r="AU142" s="224"/>
      <c r="AV142" s="224"/>
      <c r="AW142" s="224"/>
      <c r="AX142" s="224"/>
      <c r="AY142" s="224"/>
      <c r="AZ142" s="224"/>
      <c r="BA142" s="224"/>
      <c r="BB142" s="224"/>
      <c r="BC142" s="224"/>
      <c r="BD142" s="224"/>
      <c r="BE142" s="224"/>
      <c r="BF142" s="224"/>
      <c r="BG142" s="224"/>
      <c r="BH142" s="224"/>
      <c r="BI142" s="224"/>
      <c r="BJ142" s="224"/>
      <c r="BK142" s="224"/>
      <c r="BL142" s="224"/>
      <c r="BM142" s="224"/>
      <c r="BN142" s="224"/>
      <c r="BO142" s="224"/>
      <c r="BP142" s="224"/>
      <c r="BQ142" s="224"/>
      <c r="BR142" s="224"/>
      <c r="BS142" s="224"/>
      <c r="BT142" s="224"/>
      <c r="BU142" s="221" t="s">
        <v>1232</v>
      </c>
    </row>
    <row r="143" spans="2:73" ht="27.6" x14ac:dyDescent="0.3">
      <c r="B143" s="129" t="s">
        <v>837</v>
      </c>
      <c r="C143" s="244">
        <v>140</v>
      </c>
      <c r="D143" s="131" t="s">
        <v>1184</v>
      </c>
      <c r="E143" s="224"/>
      <c r="F143" s="224"/>
      <c r="G143" s="224"/>
      <c r="H143" s="224"/>
      <c r="I143" s="224"/>
      <c r="J143" s="224"/>
      <c r="K143" s="224"/>
      <c r="L143" s="224"/>
      <c r="M143" s="224"/>
      <c r="N143" s="224"/>
      <c r="O143" s="224"/>
      <c r="P143" s="224"/>
      <c r="Q143" s="224"/>
      <c r="R143" s="224"/>
      <c r="S143" s="224"/>
      <c r="T143" s="224"/>
      <c r="U143" s="224"/>
      <c r="V143" s="224"/>
      <c r="W143" s="224"/>
      <c r="X143" s="224"/>
      <c r="Y143" s="224"/>
      <c r="Z143" s="224"/>
      <c r="AA143" s="224"/>
      <c r="AB143" s="224"/>
      <c r="AC143" s="224"/>
      <c r="AD143" s="224"/>
      <c r="AE143" s="224"/>
      <c r="AF143" s="224"/>
      <c r="AG143" s="224"/>
      <c r="AH143" s="224"/>
      <c r="AI143" s="224"/>
      <c r="AJ143" s="224"/>
      <c r="AK143" s="224"/>
      <c r="AL143" s="224"/>
      <c r="AM143" s="224"/>
      <c r="AN143" s="224"/>
      <c r="AO143" s="224"/>
      <c r="AP143" s="224"/>
      <c r="AQ143" s="224"/>
      <c r="AR143" s="224"/>
      <c r="AS143" s="224"/>
      <c r="AT143" s="224"/>
      <c r="AU143" s="224"/>
      <c r="AV143" s="224"/>
      <c r="AW143" s="224"/>
      <c r="AX143" s="224"/>
      <c r="AY143" s="224"/>
      <c r="AZ143" s="224"/>
      <c r="BA143" s="224"/>
      <c r="BB143" s="224"/>
      <c r="BC143" s="224"/>
      <c r="BD143" s="224"/>
      <c r="BE143" s="224"/>
      <c r="BF143" s="224"/>
      <c r="BG143" s="224"/>
      <c r="BH143" s="224"/>
      <c r="BI143" s="224"/>
      <c r="BJ143" s="224"/>
      <c r="BK143" s="224"/>
      <c r="BL143" s="224"/>
      <c r="BM143" s="224"/>
      <c r="BN143" s="224"/>
      <c r="BO143" s="224"/>
      <c r="BP143" s="224"/>
      <c r="BQ143" s="224"/>
      <c r="BR143" s="224"/>
      <c r="BS143" s="224"/>
      <c r="BT143" s="224"/>
      <c r="BU143" s="221" t="s">
        <v>1232</v>
      </c>
    </row>
    <row r="144" spans="2:73" ht="41.4" x14ac:dyDescent="0.3">
      <c r="B144" s="129" t="s">
        <v>837</v>
      </c>
      <c r="C144" s="244">
        <v>141</v>
      </c>
      <c r="D144" s="131" t="s">
        <v>1185</v>
      </c>
      <c r="E144" s="224"/>
      <c r="F144" s="224"/>
      <c r="G144" s="224"/>
      <c r="H144" s="224"/>
      <c r="I144" s="224"/>
      <c r="J144" s="224"/>
      <c r="K144" s="224"/>
      <c r="L144" s="224"/>
      <c r="M144" s="224"/>
      <c r="N144" s="224"/>
      <c r="O144" s="224"/>
      <c r="P144" s="224"/>
      <c r="Q144" s="224"/>
      <c r="R144" s="224"/>
      <c r="S144" s="224"/>
      <c r="T144" s="224"/>
      <c r="U144" s="224"/>
      <c r="V144" s="224"/>
      <c r="W144" s="224"/>
      <c r="X144" s="224"/>
      <c r="Y144" s="224"/>
      <c r="Z144" s="224"/>
      <c r="AA144" s="224"/>
      <c r="AB144" s="224"/>
      <c r="AC144" s="224"/>
      <c r="AD144" s="224"/>
      <c r="AE144" s="224"/>
      <c r="AF144" s="224"/>
      <c r="AG144" s="224"/>
      <c r="AH144" s="224"/>
      <c r="AI144" s="224"/>
      <c r="AJ144" s="224"/>
      <c r="AK144" s="224"/>
      <c r="AL144" s="224"/>
      <c r="AM144" s="224"/>
      <c r="AN144" s="224"/>
      <c r="AO144" s="224"/>
      <c r="AP144" s="224"/>
      <c r="AQ144" s="224"/>
      <c r="AR144" s="224"/>
      <c r="AS144" s="224"/>
      <c r="AT144" s="224"/>
      <c r="AU144" s="224"/>
      <c r="AV144" s="224"/>
      <c r="AW144" s="224"/>
      <c r="AX144" s="224"/>
      <c r="AY144" s="224"/>
      <c r="AZ144" s="224"/>
      <c r="BA144" s="224"/>
      <c r="BB144" s="224"/>
      <c r="BC144" s="224"/>
      <c r="BD144" s="224"/>
      <c r="BE144" s="224"/>
      <c r="BF144" s="224"/>
      <c r="BG144" s="224"/>
      <c r="BH144" s="224"/>
      <c r="BI144" s="224"/>
      <c r="BJ144" s="224"/>
      <c r="BK144" s="224"/>
      <c r="BL144" s="224"/>
      <c r="BM144" s="224"/>
      <c r="BN144" s="224"/>
      <c r="BO144" s="224"/>
      <c r="BP144" s="224"/>
      <c r="BQ144" s="224"/>
      <c r="BR144" s="224"/>
      <c r="BS144" s="224"/>
      <c r="BT144" s="224"/>
      <c r="BU144" s="221" t="s">
        <v>1232</v>
      </c>
    </row>
    <row r="145" spans="2:73" ht="41.4" x14ac:dyDescent="0.3">
      <c r="B145" s="129" t="s">
        <v>837</v>
      </c>
      <c r="C145" s="244">
        <v>142</v>
      </c>
      <c r="D145" s="131" t="s">
        <v>1186</v>
      </c>
      <c r="E145" s="224"/>
      <c r="F145" s="224"/>
      <c r="G145" s="224"/>
      <c r="H145" s="224"/>
      <c r="I145" s="224"/>
      <c r="J145" s="224"/>
      <c r="K145" s="224"/>
      <c r="L145" s="224"/>
      <c r="M145" s="224"/>
      <c r="N145" s="224"/>
      <c r="O145" s="224"/>
      <c r="P145" s="224"/>
      <c r="Q145" s="224"/>
      <c r="R145" s="224"/>
      <c r="S145" s="224"/>
      <c r="T145" s="224"/>
      <c r="U145" s="224"/>
      <c r="V145" s="224"/>
      <c r="W145" s="224"/>
      <c r="X145" s="224"/>
      <c r="Y145" s="224"/>
      <c r="Z145" s="224"/>
      <c r="AA145" s="224"/>
      <c r="AB145" s="224"/>
      <c r="AC145" s="224"/>
      <c r="AD145" s="224"/>
      <c r="AE145" s="224"/>
      <c r="AF145" s="224"/>
      <c r="AG145" s="224"/>
      <c r="AH145" s="224"/>
      <c r="AI145" s="224"/>
      <c r="AJ145" s="224"/>
      <c r="AK145" s="224"/>
      <c r="AL145" s="224"/>
      <c r="AM145" s="224"/>
      <c r="AN145" s="224"/>
      <c r="AO145" s="224"/>
      <c r="AP145" s="224"/>
      <c r="AQ145" s="224"/>
      <c r="AR145" s="224"/>
      <c r="AS145" s="224"/>
      <c r="AT145" s="224"/>
      <c r="AU145" s="224"/>
      <c r="AV145" s="224"/>
      <c r="AW145" s="224"/>
      <c r="AX145" s="224"/>
      <c r="AY145" s="224"/>
      <c r="AZ145" s="224"/>
      <c r="BA145" s="224"/>
      <c r="BB145" s="224"/>
      <c r="BC145" s="224"/>
      <c r="BD145" s="224"/>
      <c r="BE145" s="224"/>
      <c r="BF145" s="224"/>
      <c r="BG145" s="224"/>
      <c r="BH145" s="224"/>
      <c r="BI145" s="224"/>
      <c r="BJ145" s="224"/>
      <c r="BK145" s="224"/>
      <c r="BL145" s="224"/>
      <c r="BM145" s="224"/>
      <c r="BN145" s="224"/>
      <c r="BO145" s="224"/>
      <c r="BP145" s="224"/>
      <c r="BQ145" s="224"/>
      <c r="BR145" s="224"/>
      <c r="BS145" s="224"/>
      <c r="BT145" s="224"/>
      <c r="BU145" s="221" t="s">
        <v>1232</v>
      </c>
    </row>
    <row r="146" spans="2:73" ht="27.6" x14ac:dyDescent="0.3">
      <c r="B146" s="129" t="s">
        <v>837</v>
      </c>
      <c r="C146" s="244">
        <v>143</v>
      </c>
      <c r="D146" s="131" t="s">
        <v>1187</v>
      </c>
      <c r="E146" s="224"/>
      <c r="F146" s="224"/>
      <c r="G146" s="224"/>
      <c r="H146" s="224"/>
      <c r="I146" s="224"/>
      <c r="J146" s="224"/>
      <c r="K146" s="224"/>
      <c r="L146" s="224"/>
      <c r="M146" s="224"/>
      <c r="N146" s="224"/>
      <c r="O146" s="224"/>
      <c r="P146" s="224"/>
      <c r="Q146" s="224"/>
      <c r="R146" s="224"/>
      <c r="S146" s="224"/>
      <c r="T146" s="224"/>
      <c r="U146" s="224"/>
      <c r="V146" s="224"/>
      <c r="W146" s="224"/>
      <c r="X146" s="224"/>
      <c r="Y146" s="224"/>
      <c r="Z146" s="224"/>
      <c r="AA146" s="224"/>
      <c r="AB146" s="224"/>
      <c r="AC146" s="224"/>
      <c r="AD146" s="224"/>
      <c r="AE146" s="224"/>
      <c r="AF146" s="224"/>
      <c r="AG146" s="224"/>
      <c r="AH146" s="224"/>
      <c r="AI146" s="224"/>
      <c r="AJ146" s="224"/>
      <c r="AK146" s="224"/>
      <c r="AL146" s="224"/>
      <c r="AM146" s="224"/>
      <c r="AN146" s="224"/>
      <c r="AO146" s="224"/>
      <c r="AP146" s="224"/>
      <c r="AQ146" s="224"/>
      <c r="AR146" s="224"/>
      <c r="AS146" s="224"/>
      <c r="AT146" s="224"/>
      <c r="AU146" s="224"/>
      <c r="AV146" s="224"/>
      <c r="AW146" s="224"/>
      <c r="AX146" s="224"/>
      <c r="AY146" s="224"/>
      <c r="AZ146" s="224"/>
      <c r="BA146" s="224"/>
      <c r="BB146" s="224"/>
      <c r="BC146" s="224"/>
      <c r="BD146" s="224"/>
      <c r="BE146" s="224"/>
      <c r="BF146" s="224"/>
      <c r="BG146" s="224"/>
      <c r="BH146" s="224"/>
      <c r="BI146" s="224"/>
      <c r="BJ146" s="224"/>
      <c r="BK146" s="224"/>
      <c r="BL146" s="224"/>
      <c r="BM146" s="224"/>
      <c r="BN146" s="224"/>
      <c r="BO146" s="224"/>
      <c r="BP146" s="224"/>
      <c r="BQ146" s="224"/>
      <c r="BR146" s="224"/>
      <c r="BS146" s="224"/>
      <c r="BT146" s="224"/>
      <c r="BU146" s="221" t="s">
        <v>1232</v>
      </c>
    </row>
    <row r="147" spans="2:73" ht="27.6" x14ac:dyDescent="0.3">
      <c r="B147" s="129" t="s">
        <v>837</v>
      </c>
      <c r="C147" s="244">
        <v>144</v>
      </c>
      <c r="D147" s="131" t="s">
        <v>1188</v>
      </c>
      <c r="E147" s="224"/>
      <c r="F147" s="224"/>
      <c r="G147" s="224"/>
      <c r="H147" s="224"/>
      <c r="I147" s="224"/>
      <c r="J147" s="224"/>
      <c r="K147" s="224"/>
      <c r="L147" s="224"/>
      <c r="M147" s="224"/>
      <c r="N147" s="224"/>
      <c r="O147" s="224"/>
      <c r="P147" s="224"/>
      <c r="Q147" s="224"/>
      <c r="R147" s="224"/>
      <c r="S147" s="224"/>
      <c r="T147" s="224"/>
      <c r="U147" s="224"/>
      <c r="V147" s="224"/>
      <c r="W147" s="224"/>
      <c r="X147" s="224"/>
      <c r="Y147" s="224"/>
      <c r="Z147" s="224"/>
      <c r="AA147" s="224"/>
      <c r="AB147" s="224"/>
      <c r="AC147" s="224"/>
      <c r="AD147" s="224"/>
      <c r="AE147" s="224"/>
      <c r="AF147" s="224"/>
      <c r="AG147" s="224"/>
      <c r="AH147" s="224"/>
      <c r="AI147" s="224"/>
      <c r="AJ147" s="224"/>
      <c r="AK147" s="224"/>
      <c r="AL147" s="224"/>
      <c r="AM147" s="224"/>
      <c r="AN147" s="224"/>
      <c r="AO147" s="224"/>
      <c r="AP147" s="224"/>
      <c r="AQ147" s="224"/>
      <c r="AR147" s="224"/>
      <c r="AS147" s="224"/>
      <c r="AT147" s="224"/>
      <c r="AU147" s="224"/>
      <c r="AV147" s="224"/>
      <c r="AW147" s="224"/>
      <c r="AX147" s="224"/>
      <c r="AY147" s="224"/>
      <c r="AZ147" s="224"/>
      <c r="BA147" s="224"/>
      <c r="BB147" s="224"/>
      <c r="BC147" s="224"/>
      <c r="BD147" s="224"/>
      <c r="BE147" s="224"/>
      <c r="BF147" s="224"/>
      <c r="BG147" s="224"/>
      <c r="BH147" s="224"/>
      <c r="BI147" s="224"/>
      <c r="BJ147" s="224"/>
      <c r="BK147" s="224"/>
      <c r="BL147" s="224"/>
      <c r="BM147" s="224"/>
      <c r="BN147" s="224"/>
      <c r="BO147" s="224"/>
      <c r="BP147" s="224"/>
      <c r="BQ147" s="224"/>
      <c r="BR147" s="224"/>
      <c r="BS147" s="224"/>
      <c r="BT147" s="224"/>
      <c r="BU147" s="221" t="s">
        <v>1232</v>
      </c>
    </row>
    <row r="148" spans="2:73" ht="41.4" x14ac:dyDescent="0.3">
      <c r="B148" s="129" t="s">
        <v>837</v>
      </c>
      <c r="C148" s="244">
        <v>145</v>
      </c>
      <c r="D148" s="131" t="s">
        <v>1189</v>
      </c>
      <c r="E148" s="224"/>
      <c r="F148" s="224"/>
      <c r="G148" s="224"/>
      <c r="H148" s="224"/>
      <c r="I148" s="224"/>
      <c r="J148" s="224"/>
      <c r="K148" s="224"/>
      <c r="L148" s="224"/>
      <c r="M148" s="224"/>
      <c r="N148" s="224"/>
      <c r="O148" s="224"/>
      <c r="P148" s="224"/>
      <c r="Q148" s="224"/>
      <c r="R148" s="224"/>
      <c r="S148" s="224"/>
      <c r="T148" s="224"/>
      <c r="U148" s="224"/>
      <c r="V148" s="224"/>
      <c r="W148" s="224"/>
      <c r="X148" s="224"/>
      <c r="Y148" s="224"/>
      <c r="Z148" s="224"/>
      <c r="AA148" s="224"/>
      <c r="AB148" s="224"/>
      <c r="AC148" s="224"/>
      <c r="AD148" s="224"/>
      <c r="AE148" s="224"/>
      <c r="AF148" s="224"/>
      <c r="AG148" s="224"/>
      <c r="AH148" s="224"/>
      <c r="AI148" s="224"/>
      <c r="AJ148" s="224"/>
      <c r="AK148" s="224"/>
      <c r="AL148" s="224"/>
      <c r="AM148" s="224"/>
      <c r="AN148" s="224"/>
      <c r="AO148" s="224"/>
      <c r="AP148" s="224"/>
      <c r="AQ148" s="224"/>
      <c r="AR148" s="224"/>
      <c r="AS148" s="224"/>
      <c r="AT148" s="224"/>
      <c r="AU148" s="224"/>
      <c r="AV148" s="224"/>
      <c r="AW148" s="224"/>
      <c r="AX148" s="224"/>
      <c r="AY148" s="224"/>
      <c r="AZ148" s="224"/>
      <c r="BA148" s="224"/>
      <c r="BB148" s="224"/>
      <c r="BC148" s="224"/>
      <c r="BD148" s="224"/>
      <c r="BE148" s="224"/>
      <c r="BF148" s="224"/>
      <c r="BG148" s="224"/>
      <c r="BH148" s="224"/>
      <c r="BI148" s="224"/>
      <c r="BJ148" s="224"/>
      <c r="BK148" s="224"/>
      <c r="BL148" s="224"/>
      <c r="BM148" s="224"/>
      <c r="BN148" s="224"/>
      <c r="BO148" s="224"/>
      <c r="BP148" s="224"/>
      <c r="BQ148" s="224"/>
      <c r="BR148" s="224"/>
      <c r="BS148" s="224"/>
      <c r="BT148" s="224"/>
      <c r="BU148" s="221" t="s">
        <v>1232</v>
      </c>
    </row>
    <row r="149" spans="2:73" ht="41.4" x14ac:dyDescent="0.3">
      <c r="B149" s="129" t="s">
        <v>837</v>
      </c>
      <c r="C149" s="244">
        <v>146</v>
      </c>
      <c r="D149" s="131" t="s">
        <v>1190</v>
      </c>
      <c r="E149" s="224"/>
      <c r="F149" s="224"/>
      <c r="G149" s="224"/>
      <c r="H149" s="224"/>
      <c r="I149" s="224"/>
      <c r="J149" s="224"/>
      <c r="K149" s="224"/>
      <c r="L149" s="224"/>
      <c r="M149" s="224"/>
      <c r="N149" s="224"/>
      <c r="O149" s="224"/>
      <c r="P149" s="224"/>
      <c r="Q149" s="224"/>
      <c r="R149" s="224"/>
      <c r="S149" s="224"/>
      <c r="T149" s="224"/>
      <c r="U149" s="224"/>
      <c r="V149" s="224"/>
      <c r="W149" s="224"/>
      <c r="X149" s="224"/>
      <c r="Y149" s="224"/>
      <c r="Z149" s="224"/>
      <c r="AA149" s="224"/>
      <c r="AB149" s="224"/>
      <c r="AC149" s="224"/>
      <c r="AD149" s="224"/>
      <c r="AE149" s="224"/>
      <c r="AF149" s="224"/>
      <c r="AG149" s="224"/>
      <c r="AH149" s="224"/>
      <c r="AI149" s="224"/>
      <c r="AJ149" s="224"/>
      <c r="AK149" s="224"/>
      <c r="AL149" s="224"/>
      <c r="AM149" s="224"/>
      <c r="AN149" s="224"/>
      <c r="AO149" s="224"/>
      <c r="AP149" s="224"/>
      <c r="AQ149" s="224"/>
      <c r="AR149" s="224"/>
      <c r="AS149" s="224"/>
      <c r="AT149" s="224"/>
      <c r="AU149" s="224"/>
      <c r="AV149" s="224"/>
      <c r="AW149" s="224"/>
      <c r="AX149" s="224"/>
      <c r="AY149" s="224"/>
      <c r="AZ149" s="224"/>
      <c r="BA149" s="224"/>
      <c r="BB149" s="224"/>
      <c r="BC149" s="224"/>
      <c r="BD149" s="224"/>
      <c r="BE149" s="224"/>
      <c r="BF149" s="224"/>
      <c r="BG149" s="224"/>
      <c r="BH149" s="224"/>
      <c r="BI149" s="224"/>
      <c r="BJ149" s="224"/>
      <c r="BK149" s="224"/>
      <c r="BL149" s="224"/>
      <c r="BM149" s="224"/>
      <c r="BN149" s="224"/>
      <c r="BO149" s="224"/>
      <c r="BP149" s="224"/>
      <c r="BQ149" s="224"/>
      <c r="BR149" s="224"/>
      <c r="BS149" s="224"/>
      <c r="BT149" s="224"/>
      <c r="BU149" s="221" t="s">
        <v>1232</v>
      </c>
    </row>
    <row r="150" spans="2:73" ht="27.6" x14ac:dyDescent="0.3">
      <c r="B150" s="129" t="s">
        <v>837</v>
      </c>
      <c r="C150" s="244">
        <v>147</v>
      </c>
      <c r="D150" s="131" t="s">
        <v>1191</v>
      </c>
      <c r="E150" s="224"/>
      <c r="F150" s="224"/>
      <c r="G150" s="224"/>
      <c r="H150" s="224"/>
      <c r="I150" s="224"/>
      <c r="J150" s="224"/>
      <c r="K150" s="224"/>
      <c r="L150" s="224"/>
      <c r="M150" s="224"/>
      <c r="N150" s="224"/>
      <c r="O150" s="224"/>
      <c r="P150" s="224"/>
      <c r="Q150" s="224"/>
      <c r="R150" s="224"/>
      <c r="S150" s="224"/>
      <c r="T150" s="224"/>
      <c r="U150" s="224"/>
      <c r="V150" s="224"/>
      <c r="W150" s="224"/>
      <c r="X150" s="224"/>
      <c r="Y150" s="224"/>
      <c r="Z150" s="224"/>
      <c r="AA150" s="224"/>
      <c r="AB150" s="224"/>
      <c r="AC150" s="224"/>
      <c r="AD150" s="224"/>
      <c r="AE150" s="224"/>
      <c r="AF150" s="224"/>
      <c r="AG150" s="224"/>
      <c r="AH150" s="224"/>
      <c r="AI150" s="224"/>
      <c r="AJ150" s="224"/>
      <c r="AK150" s="224"/>
      <c r="AL150" s="224"/>
      <c r="AM150" s="224"/>
      <c r="AN150" s="224"/>
      <c r="AO150" s="224"/>
      <c r="AP150" s="224"/>
      <c r="AQ150" s="224"/>
      <c r="AR150" s="224"/>
      <c r="AS150" s="224"/>
      <c r="AT150" s="224"/>
      <c r="AU150" s="224"/>
      <c r="AV150" s="224"/>
      <c r="AW150" s="224"/>
      <c r="AX150" s="224"/>
      <c r="AY150" s="224"/>
      <c r="AZ150" s="224"/>
      <c r="BA150" s="224"/>
      <c r="BB150" s="224"/>
      <c r="BC150" s="224"/>
      <c r="BD150" s="224"/>
      <c r="BE150" s="224"/>
      <c r="BF150" s="224"/>
      <c r="BG150" s="224"/>
      <c r="BH150" s="224"/>
      <c r="BI150" s="224"/>
      <c r="BJ150" s="224"/>
      <c r="BK150" s="224"/>
      <c r="BL150" s="224"/>
      <c r="BM150" s="224"/>
      <c r="BN150" s="224"/>
      <c r="BO150" s="224"/>
      <c r="BP150" s="224"/>
      <c r="BQ150" s="224"/>
      <c r="BR150" s="224"/>
      <c r="BS150" s="224"/>
      <c r="BT150" s="224"/>
      <c r="BU150" s="221" t="s">
        <v>1232</v>
      </c>
    </row>
    <row r="151" spans="2:73" ht="41.4" x14ac:dyDescent="0.3">
      <c r="B151" s="129" t="s">
        <v>837</v>
      </c>
      <c r="C151" s="244">
        <v>148</v>
      </c>
      <c r="D151" s="131" t="s">
        <v>1192</v>
      </c>
      <c r="E151" s="224"/>
      <c r="F151" s="224"/>
      <c r="G151" s="224"/>
      <c r="H151" s="224"/>
      <c r="I151" s="224"/>
      <c r="J151" s="224"/>
      <c r="K151" s="224"/>
      <c r="L151" s="224"/>
      <c r="M151" s="224"/>
      <c r="N151" s="224"/>
      <c r="O151" s="224"/>
      <c r="P151" s="224"/>
      <c r="Q151" s="224"/>
      <c r="R151" s="224"/>
      <c r="S151" s="224"/>
      <c r="T151" s="224"/>
      <c r="U151" s="224"/>
      <c r="V151" s="224"/>
      <c r="W151" s="224"/>
      <c r="X151" s="224"/>
      <c r="Y151" s="224"/>
      <c r="Z151" s="224"/>
      <c r="AA151" s="224"/>
      <c r="AB151" s="224"/>
      <c r="AC151" s="224"/>
      <c r="AD151" s="224"/>
      <c r="AE151" s="224"/>
      <c r="AF151" s="224"/>
      <c r="AG151" s="224"/>
      <c r="AH151" s="224"/>
      <c r="AI151" s="224"/>
      <c r="AJ151" s="224"/>
      <c r="AK151" s="224"/>
      <c r="AL151" s="224"/>
      <c r="AM151" s="224"/>
      <c r="AN151" s="224"/>
      <c r="AO151" s="224"/>
      <c r="AP151" s="224"/>
      <c r="AQ151" s="224"/>
      <c r="AR151" s="224"/>
      <c r="AS151" s="224"/>
      <c r="AT151" s="224"/>
      <c r="AU151" s="224"/>
      <c r="AV151" s="224"/>
      <c r="AW151" s="224"/>
      <c r="AX151" s="224"/>
      <c r="AY151" s="224"/>
      <c r="AZ151" s="224"/>
      <c r="BA151" s="224"/>
      <c r="BB151" s="224"/>
      <c r="BC151" s="224"/>
      <c r="BD151" s="224"/>
      <c r="BE151" s="224"/>
      <c r="BF151" s="224"/>
      <c r="BG151" s="224"/>
      <c r="BH151" s="224"/>
      <c r="BI151" s="224"/>
      <c r="BJ151" s="224"/>
      <c r="BK151" s="224"/>
      <c r="BL151" s="224"/>
      <c r="BM151" s="224"/>
      <c r="BN151" s="224"/>
      <c r="BO151" s="224"/>
      <c r="BP151" s="224"/>
      <c r="BQ151" s="224"/>
      <c r="BR151" s="224"/>
      <c r="BS151" s="224"/>
      <c r="BT151" s="224"/>
      <c r="BU151" s="221" t="s">
        <v>1232</v>
      </c>
    </row>
    <row r="152" spans="2:73" ht="41.4" x14ac:dyDescent="0.3">
      <c r="B152" s="129" t="s">
        <v>837</v>
      </c>
      <c r="C152" s="244">
        <v>149</v>
      </c>
      <c r="D152" s="131" t="s">
        <v>1193</v>
      </c>
      <c r="E152" s="224"/>
      <c r="F152" s="224"/>
      <c r="G152" s="224"/>
      <c r="H152" s="224"/>
      <c r="I152" s="224"/>
      <c r="J152" s="224"/>
      <c r="K152" s="224"/>
      <c r="L152" s="224"/>
      <c r="M152" s="224"/>
      <c r="N152" s="224"/>
      <c r="O152" s="224"/>
      <c r="P152" s="224"/>
      <c r="Q152" s="224"/>
      <c r="R152" s="224"/>
      <c r="S152" s="224"/>
      <c r="T152" s="224"/>
      <c r="U152" s="224"/>
      <c r="V152" s="224"/>
      <c r="W152" s="224"/>
      <c r="X152" s="224"/>
      <c r="Y152" s="224"/>
      <c r="Z152" s="224"/>
      <c r="AA152" s="224"/>
      <c r="AB152" s="224"/>
      <c r="AC152" s="224"/>
      <c r="AD152" s="224"/>
      <c r="AE152" s="224"/>
      <c r="AF152" s="224"/>
      <c r="AG152" s="224"/>
      <c r="AH152" s="224"/>
      <c r="AI152" s="224"/>
      <c r="AJ152" s="224"/>
      <c r="AK152" s="224"/>
      <c r="AL152" s="224"/>
      <c r="AM152" s="224"/>
      <c r="AN152" s="224"/>
      <c r="AO152" s="224"/>
      <c r="AP152" s="224"/>
      <c r="AQ152" s="224"/>
      <c r="AR152" s="224"/>
      <c r="AS152" s="224"/>
      <c r="AT152" s="224"/>
      <c r="AU152" s="224"/>
      <c r="AV152" s="224"/>
      <c r="AW152" s="224"/>
      <c r="AX152" s="224"/>
      <c r="AY152" s="224"/>
      <c r="AZ152" s="224"/>
      <c r="BA152" s="224"/>
      <c r="BB152" s="224"/>
      <c r="BC152" s="224"/>
      <c r="BD152" s="224"/>
      <c r="BE152" s="224"/>
      <c r="BF152" s="224"/>
      <c r="BG152" s="224"/>
      <c r="BH152" s="224"/>
      <c r="BI152" s="224"/>
      <c r="BJ152" s="224"/>
      <c r="BK152" s="224"/>
      <c r="BL152" s="224"/>
      <c r="BM152" s="224"/>
      <c r="BN152" s="224"/>
      <c r="BO152" s="224"/>
      <c r="BP152" s="224"/>
      <c r="BQ152" s="224"/>
      <c r="BR152" s="224"/>
      <c r="BS152" s="224"/>
      <c r="BT152" s="224"/>
      <c r="BU152" s="221" t="s">
        <v>1232</v>
      </c>
    </row>
    <row r="153" spans="2:73" ht="41.4" x14ac:dyDescent="0.3">
      <c r="B153" s="129" t="s">
        <v>837</v>
      </c>
      <c r="C153" s="244">
        <v>150</v>
      </c>
      <c r="D153" s="131" t="s">
        <v>1194</v>
      </c>
      <c r="E153" s="224"/>
      <c r="F153" s="224"/>
      <c r="G153" s="224"/>
      <c r="H153" s="224"/>
      <c r="I153" s="224"/>
      <c r="J153" s="224"/>
      <c r="K153" s="224"/>
      <c r="L153" s="224"/>
      <c r="M153" s="224"/>
      <c r="N153" s="224"/>
      <c r="O153" s="224"/>
      <c r="P153" s="224"/>
      <c r="Q153" s="224"/>
      <c r="R153" s="224"/>
      <c r="S153" s="224"/>
      <c r="T153" s="224"/>
      <c r="U153" s="224"/>
      <c r="V153" s="224"/>
      <c r="W153" s="224"/>
      <c r="X153" s="224"/>
      <c r="Y153" s="224"/>
      <c r="Z153" s="224"/>
      <c r="AA153" s="224"/>
      <c r="AB153" s="224"/>
      <c r="AC153" s="224"/>
      <c r="AD153" s="224"/>
      <c r="AE153" s="224"/>
      <c r="AF153" s="224"/>
      <c r="AG153" s="224"/>
      <c r="AH153" s="224"/>
      <c r="AI153" s="224"/>
      <c r="AJ153" s="224"/>
      <c r="AK153" s="224"/>
      <c r="AL153" s="224"/>
      <c r="AM153" s="224"/>
      <c r="AN153" s="224"/>
      <c r="AO153" s="224"/>
      <c r="AP153" s="224"/>
      <c r="AQ153" s="224"/>
      <c r="AR153" s="224"/>
      <c r="AS153" s="224"/>
      <c r="AT153" s="224"/>
      <c r="AU153" s="224"/>
      <c r="AV153" s="224"/>
      <c r="AW153" s="224"/>
      <c r="AX153" s="224"/>
      <c r="AY153" s="224"/>
      <c r="AZ153" s="224"/>
      <c r="BA153" s="224"/>
      <c r="BB153" s="224"/>
      <c r="BC153" s="224"/>
      <c r="BD153" s="224"/>
      <c r="BE153" s="224"/>
      <c r="BF153" s="224"/>
      <c r="BG153" s="224"/>
      <c r="BH153" s="224"/>
      <c r="BI153" s="224"/>
      <c r="BJ153" s="224"/>
      <c r="BK153" s="224"/>
      <c r="BL153" s="224"/>
      <c r="BM153" s="224"/>
      <c r="BN153" s="224"/>
      <c r="BO153" s="224"/>
      <c r="BP153" s="224"/>
      <c r="BQ153" s="224"/>
      <c r="BR153" s="224"/>
      <c r="BS153" s="224"/>
      <c r="BT153" s="224"/>
      <c r="BU153" s="221" t="s">
        <v>1232</v>
      </c>
    </row>
    <row r="154" spans="2:73" x14ac:dyDescent="0.3">
      <c r="B154" s="267" t="s">
        <v>1153</v>
      </c>
      <c r="C154" s="244">
        <v>151</v>
      </c>
      <c r="D154" s="245" t="s">
        <v>845</v>
      </c>
      <c r="E154" s="243"/>
      <c r="F154" s="243"/>
      <c r="G154" s="243"/>
      <c r="H154" s="243"/>
      <c r="I154" s="243"/>
      <c r="J154" s="243"/>
      <c r="K154" s="243"/>
      <c r="L154" s="243"/>
      <c r="M154" s="243"/>
      <c r="N154" s="243"/>
      <c r="O154" s="243"/>
      <c r="P154" s="243"/>
      <c r="Q154" s="243"/>
      <c r="R154" s="243"/>
      <c r="S154" s="243"/>
      <c r="T154" s="243"/>
      <c r="U154" s="243"/>
      <c r="V154" s="243"/>
      <c r="W154" s="243"/>
      <c r="X154" s="243"/>
      <c r="Y154" s="243"/>
      <c r="Z154" s="243"/>
      <c r="AA154" s="243"/>
      <c r="AB154" s="243"/>
      <c r="AC154" s="243"/>
      <c r="AD154" s="243"/>
      <c r="AE154" s="243"/>
      <c r="AF154" s="243"/>
      <c r="AG154" s="243"/>
      <c r="AH154" s="243"/>
      <c r="AI154" s="243"/>
      <c r="AJ154" s="243"/>
      <c r="AK154" s="243"/>
      <c r="AL154" s="243"/>
      <c r="AM154" s="243"/>
      <c r="AN154" s="243"/>
      <c r="AO154" s="243"/>
      <c r="AP154" s="243"/>
      <c r="AQ154" s="243"/>
      <c r="AR154" s="243"/>
      <c r="AS154" s="243"/>
      <c r="AT154" s="243"/>
      <c r="AU154" s="243"/>
      <c r="AV154" s="243"/>
      <c r="AW154" s="243"/>
      <c r="AX154" s="243"/>
      <c r="AY154" s="243"/>
      <c r="AZ154" s="243"/>
      <c r="BA154" s="243"/>
      <c r="BB154" s="243"/>
      <c r="BC154" s="243"/>
      <c r="BD154" s="243"/>
      <c r="BE154" s="243"/>
      <c r="BF154" s="243"/>
      <c r="BG154" s="243"/>
      <c r="BH154" s="243"/>
      <c r="BI154" s="243"/>
      <c r="BJ154" s="243"/>
      <c r="BK154" s="243"/>
      <c r="BL154" s="243"/>
      <c r="BM154" s="243"/>
      <c r="BN154" s="243"/>
      <c r="BO154" s="243"/>
      <c r="BP154" s="243"/>
      <c r="BQ154" s="243"/>
      <c r="BR154" s="243"/>
      <c r="BS154" s="243"/>
      <c r="BT154" s="243"/>
      <c r="BU154" s="246"/>
    </row>
    <row r="155" spans="2:73" ht="27.6" x14ac:dyDescent="0.3">
      <c r="B155" s="129" t="s">
        <v>1153</v>
      </c>
      <c r="C155" s="244">
        <v>152</v>
      </c>
      <c r="D155" s="131" t="s">
        <v>1086</v>
      </c>
      <c r="E155" s="224"/>
      <c r="F155" s="224"/>
      <c r="G155" s="224"/>
      <c r="H155" s="224"/>
      <c r="I155" s="224"/>
      <c r="J155" s="224"/>
      <c r="K155" s="224"/>
      <c r="L155" s="224"/>
      <c r="M155" s="224"/>
      <c r="N155" s="224"/>
      <c r="O155" s="224"/>
      <c r="P155" s="224"/>
      <c r="Q155" s="224"/>
      <c r="R155" s="224"/>
      <c r="S155" s="224"/>
      <c r="T155" s="224"/>
      <c r="U155" s="224"/>
      <c r="V155" s="224"/>
      <c r="W155" s="224"/>
      <c r="X155" s="224"/>
      <c r="Y155" s="224"/>
      <c r="Z155" s="224"/>
      <c r="AA155" s="224"/>
      <c r="AB155" s="224"/>
      <c r="AC155" s="224"/>
      <c r="AD155" s="224"/>
      <c r="AE155" s="224"/>
      <c r="AF155" s="224"/>
      <c r="AG155" s="224"/>
      <c r="AH155" s="224"/>
      <c r="AI155" s="224"/>
      <c r="AJ155" s="224"/>
      <c r="AK155" s="224"/>
      <c r="AL155" s="224"/>
      <c r="AM155" s="224"/>
      <c r="AN155" s="224"/>
      <c r="AO155" s="224"/>
      <c r="AP155" s="224"/>
      <c r="AQ155" s="224"/>
      <c r="AR155" s="224"/>
      <c r="AS155" s="224"/>
      <c r="AT155" s="224"/>
      <c r="AU155" s="224"/>
      <c r="AV155" s="224"/>
      <c r="AW155" s="224"/>
      <c r="AX155" s="224"/>
      <c r="AY155" s="224"/>
      <c r="AZ155" s="224"/>
      <c r="BA155" s="224"/>
      <c r="BB155" s="224"/>
      <c r="BC155" s="224"/>
      <c r="BD155" s="224"/>
      <c r="BE155" s="224"/>
      <c r="BF155" s="224"/>
      <c r="BG155" s="224"/>
      <c r="BH155" s="224"/>
      <c r="BI155" s="224"/>
      <c r="BJ155" s="224"/>
      <c r="BK155" s="224"/>
      <c r="BL155" s="224"/>
      <c r="BM155" s="224"/>
      <c r="BN155" s="224"/>
      <c r="BO155" s="224"/>
      <c r="BP155" s="224"/>
      <c r="BQ155" s="224"/>
      <c r="BR155" s="224"/>
      <c r="BS155" s="224"/>
      <c r="BT155" s="224"/>
      <c r="BU155" s="221" t="s">
        <v>1233</v>
      </c>
    </row>
    <row r="156" spans="2:73" x14ac:dyDescent="0.3">
      <c r="B156" s="129" t="s">
        <v>1153</v>
      </c>
      <c r="C156" s="244">
        <v>153</v>
      </c>
      <c r="D156" s="131" t="s">
        <v>1142</v>
      </c>
      <c r="E156" s="224"/>
      <c r="F156" s="224"/>
      <c r="G156" s="224"/>
      <c r="H156" s="224"/>
      <c r="I156" s="224"/>
      <c r="J156" s="224"/>
      <c r="K156" s="224"/>
      <c r="L156" s="224"/>
      <c r="M156" s="224"/>
      <c r="N156" s="224"/>
      <c r="O156" s="224"/>
      <c r="P156" s="224"/>
      <c r="Q156" s="224"/>
      <c r="R156" s="224"/>
      <c r="S156" s="224"/>
      <c r="T156" s="224"/>
      <c r="U156" s="224"/>
      <c r="V156" s="224"/>
      <c r="W156" s="224"/>
      <c r="X156" s="224"/>
      <c r="Y156" s="224"/>
      <c r="Z156" s="224"/>
      <c r="AA156" s="224"/>
      <c r="AB156" s="224"/>
      <c r="AC156" s="224"/>
      <c r="AD156" s="224"/>
      <c r="AE156" s="224"/>
      <c r="AF156" s="224"/>
      <c r="AG156" s="224"/>
      <c r="AH156" s="224"/>
      <c r="AI156" s="224"/>
      <c r="AJ156" s="224"/>
      <c r="AK156" s="224"/>
      <c r="AL156" s="224"/>
      <c r="AM156" s="224"/>
      <c r="AN156" s="224"/>
      <c r="AO156" s="224"/>
      <c r="AP156" s="224"/>
      <c r="AQ156" s="224"/>
      <c r="AR156" s="224"/>
      <c r="AS156" s="224"/>
      <c r="AT156" s="224"/>
      <c r="AU156" s="224"/>
      <c r="AV156" s="224"/>
      <c r="AW156" s="224"/>
      <c r="AX156" s="224"/>
      <c r="AY156" s="224"/>
      <c r="AZ156" s="224"/>
      <c r="BA156" s="224"/>
      <c r="BB156" s="224"/>
      <c r="BC156" s="224"/>
      <c r="BD156" s="224"/>
      <c r="BE156" s="224"/>
      <c r="BF156" s="224"/>
      <c r="BG156" s="224"/>
      <c r="BH156" s="224"/>
      <c r="BI156" s="224"/>
      <c r="BJ156" s="224"/>
      <c r="BK156" s="224"/>
      <c r="BL156" s="224"/>
      <c r="BM156" s="224"/>
      <c r="BN156" s="224"/>
      <c r="BO156" s="224"/>
      <c r="BP156" s="224"/>
      <c r="BQ156" s="224"/>
      <c r="BR156" s="224"/>
      <c r="BS156" s="224"/>
      <c r="BT156" s="224"/>
      <c r="BU156" s="221" t="s">
        <v>1234</v>
      </c>
    </row>
    <row r="157" spans="2:73" ht="27.6" x14ac:dyDescent="0.3">
      <c r="B157" s="129" t="s">
        <v>1153</v>
      </c>
      <c r="C157" s="244">
        <v>154</v>
      </c>
      <c r="D157" s="131" t="s">
        <v>1137</v>
      </c>
      <c r="E157" s="224"/>
      <c r="F157" s="224"/>
      <c r="G157" s="224"/>
      <c r="H157" s="224"/>
      <c r="I157" s="224"/>
      <c r="J157" s="224"/>
      <c r="K157" s="224"/>
      <c r="L157" s="224"/>
      <c r="M157" s="224"/>
      <c r="N157" s="224"/>
      <c r="O157" s="224"/>
      <c r="P157" s="224"/>
      <c r="Q157" s="224"/>
      <c r="R157" s="224"/>
      <c r="S157" s="224"/>
      <c r="T157" s="224"/>
      <c r="U157" s="224"/>
      <c r="V157" s="224"/>
      <c r="W157" s="224"/>
      <c r="X157" s="224"/>
      <c r="Y157" s="224"/>
      <c r="Z157" s="224"/>
      <c r="AA157" s="224"/>
      <c r="AB157" s="224"/>
      <c r="AC157" s="224"/>
      <c r="AD157" s="224"/>
      <c r="AE157" s="224"/>
      <c r="AF157" s="224"/>
      <c r="AG157" s="224"/>
      <c r="AH157" s="224"/>
      <c r="AI157" s="224"/>
      <c r="AJ157" s="224"/>
      <c r="AK157" s="224"/>
      <c r="AL157" s="224"/>
      <c r="AM157" s="224"/>
      <c r="AN157" s="224"/>
      <c r="AO157" s="224"/>
      <c r="AP157" s="224"/>
      <c r="AQ157" s="224"/>
      <c r="AR157" s="224"/>
      <c r="AS157" s="224"/>
      <c r="AT157" s="224"/>
      <c r="AU157" s="224"/>
      <c r="AV157" s="224"/>
      <c r="AW157" s="224"/>
      <c r="AX157" s="224"/>
      <c r="AY157" s="224"/>
      <c r="AZ157" s="224"/>
      <c r="BA157" s="224"/>
      <c r="BB157" s="224"/>
      <c r="BC157" s="224"/>
      <c r="BD157" s="224"/>
      <c r="BE157" s="224"/>
      <c r="BF157" s="224"/>
      <c r="BG157" s="224"/>
      <c r="BH157" s="224"/>
      <c r="BI157" s="224"/>
      <c r="BJ157" s="224"/>
      <c r="BK157" s="224"/>
      <c r="BL157" s="224"/>
      <c r="BM157" s="224"/>
      <c r="BN157" s="224"/>
      <c r="BO157" s="224"/>
      <c r="BP157" s="224"/>
      <c r="BQ157" s="224"/>
      <c r="BR157" s="224"/>
      <c r="BS157" s="224"/>
      <c r="BT157" s="224"/>
      <c r="BU157" s="221" t="s">
        <v>1233</v>
      </c>
    </row>
    <row r="158" spans="2:73" x14ac:dyDescent="0.3">
      <c r="B158" s="129" t="s">
        <v>1153</v>
      </c>
      <c r="C158" s="244">
        <v>155</v>
      </c>
      <c r="D158" s="131" t="s">
        <v>1147</v>
      </c>
      <c r="E158" s="224"/>
      <c r="F158" s="224"/>
      <c r="G158" s="224"/>
      <c r="H158" s="224"/>
      <c r="I158" s="224"/>
      <c r="J158" s="224"/>
      <c r="K158" s="224"/>
      <c r="L158" s="224"/>
      <c r="M158" s="224"/>
      <c r="N158" s="224"/>
      <c r="O158" s="224"/>
      <c r="P158" s="224"/>
      <c r="Q158" s="224"/>
      <c r="R158" s="224"/>
      <c r="S158" s="224"/>
      <c r="T158" s="224"/>
      <c r="U158" s="224"/>
      <c r="V158" s="224"/>
      <c r="W158" s="224"/>
      <c r="X158" s="224"/>
      <c r="Y158" s="224"/>
      <c r="Z158" s="224"/>
      <c r="AA158" s="224"/>
      <c r="AB158" s="224"/>
      <c r="AC158" s="224"/>
      <c r="AD158" s="224"/>
      <c r="AE158" s="224"/>
      <c r="AF158" s="224"/>
      <c r="AG158" s="224"/>
      <c r="AH158" s="224"/>
      <c r="AI158" s="224"/>
      <c r="AJ158" s="224"/>
      <c r="AK158" s="224"/>
      <c r="AL158" s="224"/>
      <c r="AM158" s="224"/>
      <c r="AN158" s="224"/>
      <c r="AO158" s="224"/>
      <c r="AP158" s="224"/>
      <c r="AQ158" s="224"/>
      <c r="AR158" s="224"/>
      <c r="AS158" s="224"/>
      <c r="AT158" s="224"/>
      <c r="AU158" s="224"/>
      <c r="AV158" s="224"/>
      <c r="AW158" s="224"/>
      <c r="AX158" s="224"/>
      <c r="AY158" s="224"/>
      <c r="AZ158" s="224"/>
      <c r="BA158" s="224"/>
      <c r="BB158" s="224"/>
      <c r="BC158" s="224"/>
      <c r="BD158" s="224"/>
      <c r="BE158" s="224"/>
      <c r="BF158" s="224"/>
      <c r="BG158" s="224"/>
      <c r="BH158" s="224"/>
      <c r="BI158" s="224"/>
      <c r="BJ158" s="224"/>
      <c r="BK158" s="224"/>
      <c r="BL158" s="224"/>
      <c r="BM158" s="224"/>
      <c r="BN158" s="224"/>
      <c r="BO158" s="224"/>
      <c r="BP158" s="224"/>
      <c r="BQ158" s="224"/>
      <c r="BR158" s="224"/>
      <c r="BS158" s="224"/>
      <c r="BT158" s="224"/>
      <c r="BU158" s="221" t="s">
        <v>1233</v>
      </c>
    </row>
    <row r="159" spans="2:73" x14ac:dyDescent="0.3">
      <c r="B159" s="129" t="s">
        <v>1153</v>
      </c>
      <c r="C159" s="244">
        <v>156</v>
      </c>
      <c r="D159" s="131" t="s">
        <v>1143</v>
      </c>
      <c r="E159" s="224"/>
      <c r="F159" s="224"/>
      <c r="G159" s="224"/>
      <c r="H159" s="224"/>
      <c r="I159" s="224"/>
      <c r="J159" s="224"/>
      <c r="K159" s="224"/>
      <c r="L159" s="224"/>
      <c r="M159" s="224"/>
      <c r="N159" s="224"/>
      <c r="O159" s="224"/>
      <c r="P159" s="224"/>
      <c r="Q159" s="224"/>
      <c r="R159" s="224"/>
      <c r="S159" s="224"/>
      <c r="T159" s="224"/>
      <c r="U159" s="224"/>
      <c r="V159" s="224"/>
      <c r="W159" s="224"/>
      <c r="X159" s="224"/>
      <c r="Y159" s="224"/>
      <c r="Z159" s="224"/>
      <c r="AA159" s="224"/>
      <c r="AB159" s="224"/>
      <c r="AC159" s="224"/>
      <c r="AD159" s="224"/>
      <c r="AE159" s="224"/>
      <c r="AF159" s="224"/>
      <c r="AG159" s="224"/>
      <c r="AH159" s="224"/>
      <c r="AI159" s="224"/>
      <c r="AJ159" s="224"/>
      <c r="AK159" s="224"/>
      <c r="AL159" s="224"/>
      <c r="AM159" s="224"/>
      <c r="AN159" s="224"/>
      <c r="AO159" s="224"/>
      <c r="AP159" s="224"/>
      <c r="AQ159" s="224"/>
      <c r="AR159" s="224"/>
      <c r="AS159" s="224"/>
      <c r="AT159" s="224"/>
      <c r="AU159" s="224"/>
      <c r="AV159" s="224"/>
      <c r="AW159" s="224"/>
      <c r="AX159" s="224"/>
      <c r="AY159" s="224"/>
      <c r="AZ159" s="224"/>
      <c r="BA159" s="224"/>
      <c r="BB159" s="224"/>
      <c r="BC159" s="224"/>
      <c r="BD159" s="224"/>
      <c r="BE159" s="224"/>
      <c r="BF159" s="224"/>
      <c r="BG159" s="224"/>
      <c r="BH159" s="224"/>
      <c r="BI159" s="224"/>
      <c r="BJ159" s="224"/>
      <c r="BK159" s="224"/>
      <c r="BL159" s="224"/>
      <c r="BM159" s="224"/>
      <c r="BN159" s="224"/>
      <c r="BO159" s="224"/>
      <c r="BP159" s="224"/>
      <c r="BQ159" s="224"/>
      <c r="BR159" s="224"/>
      <c r="BS159" s="224"/>
      <c r="BT159" s="224"/>
      <c r="BU159" s="221" t="s">
        <v>1235</v>
      </c>
    </row>
    <row r="160" spans="2:73" ht="27.6" x14ac:dyDescent="0.3">
      <c r="B160" s="129" t="s">
        <v>1153</v>
      </c>
      <c r="C160" s="244">
        <v>157</v>
      </c>
      <c r="D160" s="131" t="s">
        <v>1110</v>
      </c>
      <c r="E160" s="224"/>
      <c r="F160" s="224"/>
      <c r="G160" s="224"/>
      <c r="H160" s="224"/>
      <c r="I160" s="224"/>
      <c r="J160" s="224"/>
      <c r="K160" s="224"/>
      <c r="L160" s="224"/>
      <c r="M160" s="224"/>
      <c r="N160" s="224"/>
      <c r="O160" s="224"/>
      <c r="P160" s="224"/>
      <c r="Q160" s="224"/>
      <c r="R160" s="224"/>
      <c r="S160" s="224"/>
      <c r="T160" s="224"/>
      <c r="U160" s="224"/>
      <c r="V160" s="224"/>
      <c r="W160" s="224"/>
      <c r="X160" s="224"/>
      <c r="Y160" s="224"/>
      <c r="Z160" s="224"/>
      <c r="AA160" s="224"/>
      <c r="AB160" s="224"/>
      <c r="AC160" s="224"/>
      <c r="AD160" s="224"/>
      <c r="AE160" s="224"/>
      <c r="AF160" s="224"/>
      <c r="AG160" s="224"/>
      <c r="AH160" s="224"/>
      <c r="AI160" s="224"/>
      <c r="AJ160" s="224"/>
      <c r="AK160" s="224"/>
      <c r="AL160" s="224"/>
      <c r="AM160" s="224"/>
      <c r="AN160" s="224"/>
      <c r="AO160" s="224"/>
      <c r="AP160" s="224"/>
      <c r="AQ160" s="224"/>
      <c r="AR160" s="224"/>
      <c r="AS160" s="224"/>
      <c r="AT160" s="224"/>
      <c r="AU160" s="224"/>
      <c r="AV160" s="224"/>
      <c r="AW160" s="224"/>
      <c r="AX160" s="224"/>
      <c r="AY160" s="224"/>
      <c r="AZ160" s="224"/>
      <c r="BA160" s="224"/>
      <c r="BB160" s="224"/>
      <c r="BC160" s="224"/>
      <c r="BD160" s="224"/>
      <c r="BE160" s="224"/>
      <c r="BF160" s="224"/>
      <c r="BG160" s="224"/>
      <c r="BH160" s="224"/>
      <c r="BI160" s="224"/>
      <c r="BJ160" s="224"/>
      <c r="BK160" s="224"/>
      <c r="BL160" s="224"/>
      <c r="BM160" s="224"/>
      <c r="BN160" s="224"/>
      <c r="BO160" s="224"/>
      <c r="BP160" s="224"/>
      <c r="BQ160" s="224"/>
      <c r="BR160" s="224"/>
      <c r="BS160" s="224"/>
      <c r="BT160" s="224"/>
      <c r="BU160" s="221" t="s">
        <v>1236</v>
      </c>
    </row>
    <row r="161" spans="2:73" x14ac:dyDescent="0.3">
      <c r="B161" s="267" t="s">
        <v>1153</v>
      </c>
      <c r="C161" s="244">
        <v>158</v>
      </c>
      <c r="D161" s="245" t="s">
        <v>845</v>
      </c>
      <c r="E161" s="243"/>
      <c r="F161" s="243"/>
      <c r="G161" s="243"/>
      <c r="H161" s="243"/>
      <c r="I161" s="243"/>
      <c r="J161" s="243"/>
      <c r="K161" s="243"/>
      <c r="L161" s="243"/>
      <c r="M161" s="243"/>
      <c r="N161" s="243"/>
      <c r="O161" s="243"/>
      <c r="P161" s="243"/>
      <c r="Q161" s="243"/>
      <c r="R161" s="243"/>
      <c r="S161" s="243"/>
      <c r="T161" s="243"/>
      <c r="U161" s="243"/>
      <c r="V161" s="243"/>
      <c r="W161" s="243"/>
      <c r="X161" s="243"/>
      <c r="Y161" s="243"/>
      <c r="Z161" s="243"/>
      <c r="AA161" s="243"/>
      <c r="AB161" s="243"/>
      <c r="AC161" s="243"/>
      <c r="AD161" s="243"/>
      <c r="AE161" s="243"/>
      <c r="AF161" s="243"/>
      <c r="AG161" s="243"/>
      <c r="AH161" s="243"/>
      <c r="AI161" s="243"/>
      <c r="AJ161" s="243"/>
      <c r="AK161" s="243"/>
      <c r="AL161" s="243"/>
      <c r="AM161" s="243"/>
      <c r="AN161" s="243"/>
      <c r="AO161" s="243"/>
      <c r="AP161" s="243"/>
      <c r="AQ161" s="243"/>
      <c r="AR161" s="243"/>
      <c r="AS161" s="243"/>
      <c r="AT161" s="243"/>
      <c r="AU161" s="243"/>
      <c r="AV161" s="243"/>
      <c r="AW161" s="243"/>
      <c r="AX161" s="243"/>
      <c r="AY161" s="243"/>
      <c r="AZ161" s="243"/>
      <c r="BA161" s="243"/>
      <c r="BB161" s="243"/>
      <c r="BC161" s="243"/>
      <c r="BD161" s="243"/>
      <c r="BE161" s="243"/>
      <c r="BF161" s="243"/>
      <c r="BG161" s="243"/>
      <c r="BH161" s="243"/>
      <c r="BI161" s="243"/>
      <c r="BJ161" s="243"/>
      <c r="BK161" s="243"/>
      <c r="BL161" s="243"/>
      <c r="BM161" s="243"/>
      <c r="BN161" s="243"/>
      <c r="BO161" s="243"/>
      <c r="BP161" s="243"/>
      <c r="BQ161" s="243"/>
      <c r="BR161" s="243"/>
      <c r="BS161" s="243"/>
      <c r="BT161" s="243"/>
      <c r="BU161" s="246"/>
    </row>
    <row r="162" spans="2:73" x14ac:dyDescent="0.3">
      <c r="B162" s="129" t="s">
        <v>1153</v>
      </c>
      <c r="C162" s="244">
        <v>159</v>
      </c>
      <c r="D162" s="131" t="s">
        <v>1090</v>
      </c>
      <c r="E162" s="224"/>
      <c r="F162" s="224"/>
      <c r="G162" s="224"/>
      <c r="H162" s="224"/>
      <c r="I162" s="224"/>
      <c r="J162" s="224"/>
      <c r="K162" s="224"/>
      <c r="L162" s="224"/>
      <c r="M162" s="224"/>
      <c r="N162" s="224"/>
      <c r="O162" s="224"/>
      <c r="P162" s="224"/>
      <c r="Q162" s="224"/>
      <c r="R162" s="224"/>
      <c r="S162" s="224"/>
      <c r="T162" s="224"/>
      <c r="U162" s="224"/>
      <c r="V162" s="224"/>
      <c r="W162" s="224"/>
      <c r="X162" s="224"/>
      <c r="Y162" s="224"/>
      <c r="Z162" s="224"/>
      <c r="AA162" s="224"/>
      <c r="AB162" s="224"/>
      <c r="AC162" s="224"/>
      <c r="AD162" s="224"/>
      <c r="AE162" s="224"/>
      <c r="AF162" s="224"/>
      <c r="AG162" s="224"/>
      <c r="AH162" s="224"/>
      <c r="AI162" s="224"/>
      <c r="AJ162" s="224"/>
      <c r="AK162" s="224"/>
      <c r="AL162" s="224"/>
      <c r="AM162" s="224"/>
      <c r="AN162" s="224"/>
      <c r="AO162" s="224"/>
      <c r="AP162" s="224"/>
      <c r="AQ162" s="224"/>
      <c r="AR162" s="224"/>
      <c r="AS162" s="224"/>
      <c r="AT162" s="224"/>
      <c r="AU162" s="224"/>
      <c r="AV162" s="224"/>
      <c r="AW162" s="224"/>
      <c r="AX162" s="224"/>
      <c r="AY162" s="224"/>
      <c r="AZ162" s="224"/>
      <c r="BA162" s="224"/>
      <c r="BB162" s="224"/>
      <c r="BC162" s="224"/>
      <c r="BD162" s="224"/>
      <c r="BE162" s="224"/>
      <c r="BF162" s="224"/>
      <c r="BG162" s="224"/>
      <c r="BH162" s="224"/>
      <c r="BI162" s="224"/>
      <c r="BJ162" s="224"/>
      <c r="BK162" s="224"/>
      <c r="BL162" s="224"/>
      <c r="BM162" s="224"/>
      <c r="BN162" s="224"/>
      <c r="BO162" s="224"/>
      <c r="BP162" s="224"/>
      <c r="BQ162" s="224"/>
      <c r="BR162" s="224"/>
      <c r="BS162" s="224"/>
      <c r="BT162" s="224"/>
      <c r="BU162" s="221" t="s">
        <v>1237</v>
      </c>
    </row>
    <row r="163" spans="2:73" ht="27.6" x14ac:dyDescent="0.3">
      <c r="B163" s="129" t="s">
        <v>1153</v>
      </c>
      <c r="C163" s="244">
        <v>160</v>
      </c>
      <c r="D163" s="131" t="s">
        <v>1092</v>
      </c>
      <c r="E163" s="224"/>
      <c r="F163" s="224"/>
      <c r="G163" s="224"/>
      <c r="H163" s="224"/>
      <c r="I163" s="224"/>
      <c r="J163" s="224"/>
      <c r="K163" s="224"/>
      <c r="L163" s="224"/>
      <c r="M163" s="224"/>
      <c r="N163" s="224"/>
      <c r="O163" s="224"/>
      <c r="P163" s="224"/>
      <c r="Q163" s="224"/>
      <c r="R163" s="224"/>
      <c r="S163" s="224"/>
      <c r="T163" s="224"/>
      <c r="U163" s="224"/>
      <c r="V163" s="224"/>
      <c r="W163" s="224"/>
      <c r="X163" s="224"/>
      <c r="Y163" s="224"/>
      <c r="Z163" s="224"/>
      <c r="AA163" s="224"/>
      <c r="AB163" s="224"/>
      <c r="AC163" s="224"/>
      <c r="AD163" s="224"/>
      <c r="AE163" s="224"/>
      <c r="AF163" s="224"/>
      <c r="AG163" s="224"/>
      <c r="AH163" s="224"/>
      <c r="AI163" s="224"/>
      <c r="AJ163" s="224"/>
      <c r="AK163" s="224"/>
      <c r="AL163" s="224"/>
      <c r="AM163" s="224"/>
      <c r="AN163" s="224"/>
      <c r="AO163" s="224"/>
      <c r="AP163" s="224"/>
      <c r="AQ163" s="224"/>
      <c r="AR163" s="224"/>
      <c r="AS163" s="224"/>
      <c r="AT163" s="224"/>
      <c r="AU163" s="224"/>
      <c r="AV163" s="224"/>
      <c r="AW163" s="224"/>
      <c r="AX163" s="224"/>
      <c r="AY163" s="224"/>
      <c r="AZ163" s="224"/>
      <c r="BA163" s="224"/>
      <c r="BB163" s="224"/>
      <c r="BC163" s="224"/>
      <c r="BD163" s="224"/>
      <c r="BE163" s="224"/>
      <c r="BF163" s="224"/>
      <c r="BG163" s="224"/>
      <c r="BH163" s="224"/>
      <c r="BI163" s="224"/>
      <c r="BJ163" s="224"/>
      <c r="BK163" s="224"/>
      <c r="BL163" s="224"/>
      <c r="BM163" s="224"/>
      <c r="BN163" s="224"/>
      <c r="BO163" s="224"/>
      <c r="BP163" s="224"/>
      <c r="BQ163" s="224"/>
      <c r="BR163" s="224"/>
      <c r="BS163" s="224"/>
      <c r="BT163" s="224"/>
      <c r="BU163" s="221" t="s">
        <v>1238</v>
      </c>
    </row>
    <row r="164" spans="2:73" ht="41.4" x14ac:dyDescent="0.3">
      <c r="B164" s="129" t="s">
        <v>1153</v>
      </c>
      <c r="C164" s="244">
        <v>161</v>
      </c>
      <c r="D164" s="131" t="s">
        <v>1093</v>
      </c>
      <c r="E164" s="224"/>
      <c r="F164" s="224"/>
      <c r="G164" s="224"/>
      <c r="H164" s="224"/>
      <c r="I164" s="224"/>
      <c r="J164" s="224"/>
      <c r="K164" s="224"/>
      <c r="L164" s="224"/>
      <c r="M164" s="224"/>
      <c r="N164" s="224"/>
      <c r="O164" s="224"/>
      <c r="P164" s="224"/>
      <c r="Q164" s="224"/>
      <c r="R164" s="224"/>
      <c r="S164" s="224"/>
      <c r="T164" s="224"/>
      <c r="U164" s="224"/>
      <c r="V164" s="224"/>
      <c r="W164" s="224"/>
      <c r="X164" s="224"/>
      <c r="Y164" s="224"/>
      <c r="Z164" s="224"/>
      <c r="AA164" s="224"/>
      <c r="AB164" s="224"/>
      <c r="AC164" s="224"/>
      <c r="AD164" s="224"/>
      <c r="AE164" s="224"/>
      <c r="AF164" s="224"/>
      <c r="AG164" s="224"/>
      <c r="AH164" s="224"/>
      <c r="AI164" s="224"/>
      <c r="AJ164" s="224"/>
      <c r="AK164" s="224"/>
      <c r="AL164" s="224"/>
      <c r="AM164" s="224"/>
      <c r="AN164" s="224"/>
      <c r="AO164" s="224"/>
      <c r="AP164" s="224"/>
      <c r="AQ164" s="224"/>
      <c r="AR164" s="224"/>
      <c r="AS164" s="224"/>
      <c r="AT164" s="224"/>
      <c r="AU164" s="224"/>
      <c r="AV164" s="224"/>
      <c r="AW164" s="224"/>
      <c r="AX164" s="224"/>
      <c r="AY164" s="224"/>
      <c r="AZ164" s="224"/>
      <c r="BA164" s="224"/>
      <c r="BB164" s="224"/>
      <c r="BC164" s="224"/>
      <c r="BD164" s="224"/>
      <c r="BE164" s="224"/>
      <c r="BF164" s="224"/>
      <c r="BG164" s="224"/>
      <c r="BH164" s="224"/>
      <c r="BI164" s="224"/>
      <c r="BJ164" s="224"/>
      <c r="BK164" s="224"/>
      <c r="BL164" s="224"/>
      <c r="BM164" s="224"/>
      <c r="BN164" s="224"/>
      <c r="BO164" s="224"/>
      <c r="BP164" s="224"/>
      <c r="BQ164" s="224"/>
      <c r="BR164" s="224"/>
      <c r="BS164" s="224"/>
      <c r="BT164" s="224"/>
      <c r="BU164" s="221" t="s">
        <v>1240</v>
      </c>
    </row>
    <row r="165" spans="2:73" x14ac:dyDescent="0.3">
      <c r="B165" s="129" t="s">
        <v>1153</v>
      </c>
      <c r="C165" s="244">
        <v>162</v>
      </c>
      <c r="D165" s="131" t="s">
        <v>1094</v>
      </c>
      <c r="E165" s="224"/>
      <c r="F165" s="224"/>
      <c r="G165" s="224"/>
      <c r="H165" s="224"/>
      <c r="I165" s="224"/>
      <c r="J165" s="224"/>
      <c r="K165" s="224"/>
      <c r="L165" s="224"/>
      <c r="M165" s="224"/>
      <c r="N165" s="224"/>
      <c r="O165" s="224"/>
      <c r="P165" s="224"/>
      <c r="Q165" s="224"/>
      <c r="R165" s="224"/>
      <c r="S165" s="224"/>
      <c r="T165" s="224"/>
      <c r="U165" s="224"/>
      <c r="V165" s="224"/>
      <c r="W165" s="224"/>
      <c r="X165" s="224"/>
      <c r="Y165" s="224"/>
      <c r="Z165" s="224"/>
      <c r="AA165" s="224"/>
      <c r="AB165" s="224"/>
      <c r="AC165" s="224"/>
      <c r="AD165" s="224"/>
      <c r="AE165" s="224"/>
      <c r="AF165" s="224"/>
      <c r="AG165" s="224"/>
      <c r="AH165" s="224"/>
      <c r="AI165" s="224"/>
      <c r="AJ165" s="224"/>
      <c r="AK165" s="224"/>
      <c r="AL165" s="224"/>
      <c r="AM165" s="224"/>
      <c r="AN165" s="224"/>
      <c r="AO165" s="224"/>
      <c r="AP165" s="224"/>
      <c r="AQ165" s="224"/>
      <c r="AR165" s="224"/>
      <c r="AS165" s="224"/>
      <c r="AT165" s="224"/>
      <c r="AU165" s="224"/>
      <c r="AV165" s="224"/>
      <c r="AW165" s="224"/>
      <c r="AX165" s="224"/>
      <c r="AY165" s="224"/>
      <c r="AZ165" s="224"/>
      <c r="BA165" s="224"/>
      <c r="BB165" s="224"/>
      <c r="BC165" s="224"/>
      <c r="BD165" s="224"/>
      <c r="BE165" s="224"/>
      <c r="BF165" s="224"/>
      <c r="BG165" s="224"/>
      <c r="BH165" s="224"/>
      <c r="BI165" s="224"/>
      <c r="BJ165" s="224"/>
      <c r="BK165" s="224"/>
      <c r="BL165" s="224"/>
      <c r="BM165" s="224"/>
      <c r="BN165" s="224"/>
      <c r="BO165" s="224"/>
      <c r="BP165" s="224"/>
      <c r="BQ165" s="224"/>
      <c r="BR165" s="224"/>
      <c r="BS165" s="224"/>
      <c r="BT165" s="224"/>
      <c r="BU165" s="221" t="s">
        <v>1238</v>
      </c>
    </row>
    <row r="166" spans="2:73" x14ac:dyDescent="0.3">
      <c r="B166" s="267" t="s">
        <v>1153</v>
      </c>
      <c r="C166" s="244">
        <v>163</v>
      </c>
      <c r="D166" s="245" t="s">
        <v>845</v>
      </c>
      <c r="E166" s="224"/>
      <c r="F166" s="224"/>
      <c r="G166" s="224"/>
      <c r="H166" s="224"/>
      <c r="I166" s="224"/>
      <c r="J166" s="224"/>
      <c r="K166" s="224"/>
      <c r="L166" s="224"/>
      <c r="M166" s="224"/>
      <c r="N166" s="224"/>
      <c r="O166" s="224"/>
      <c r="P166" s="224"/>
      <c r="Q166" s="224"/>
      <c r="R166" s="224"/>
      <c r="S166" s="224"/>
      <c r="T166" s="224"/>
      <c r="U166" s="224"/>
      <c r="V166" s="224"/>
      <c r="W166" s="224"/>
      <c r="X166" s="224"/>
      <c r="Y166" s="224"/>
      <c r="Z166" s="224"/>
      <c r="AA166" s="224"/>
      <c r="AB166" s="224"/>
      <c r="AC166" s="224"/>
      <c r="AD166" s="224"/>
      <c r="AE166" s="224"/>
      <c r="AF166" s="224"/>
      <c r="AG166" s="224"/>
      <c r="AH166" s="224"/>
      <c r="AI166" s="224"/>
      <c r="AJ166" s="224"/>
      <c r="AK166" s="224"/>
      <c r="AL166" s="224"/>
      <c r="AM166" s="224"/>
      <c r="AN166" s="224"/>
      <c r="AO166" s="224"/>
      <c r="AP166" s="224"/>
      <c r="AQ166" s="224"/>
      <c r="AR166" s="224"/>
      <c r="AS166" s="224"/>
      <c r="AT166" s="224"/>
      <c r="AU166" s="224"/>
      <c r="AV166" s="224"/>
      <c r="AW166" s="224"/>
      <c r="AX166" s="224"/>
      <c r="AY166" s="224"/>
      <c r="AZ166" s="224"/>
      <c r="BA166" s="224"/>
      <c r="BB166" s="224"/>
      <c r="BC166" s="224"/>
      <c r="BD166" s="224"/>
      <c r="BE166" s="224"/>
      <c r="BF166" s="224"/>
      <c r="BG166" s="224"/>
      <c r="BH166" s="224"/>
      <c r="BI166" s="224"/>
      <c r="BJ166" s="224"/>
      <c r="BK166" s="224"/>
      <c r="BL166" s="224"/>
      <c r="BM166" s="224"/>
      <c r="BN166" s="224"/>
      <c r="BO166" s="224"/>
      <c r="BP166" s="224"/>
      <c r="BQ166" s="224"/>
      <c r="BR166" s="224"/>
      <c r="BS166" s="224"/>
      <c r="BT166" s="224"/>
      <c r="BU166" s="246"/>
    </row>
    <row r="167" spans="2:73" ht="27.6" x14ac:dyDescent="0.3">
      <c r="B167" s="129" t="s">
        <v>1153</v>
      </c>
      <c r="C167" s="244">
        <v>164</v>
      </c>
      <c r="D167" s="131" t="s">
        <v>1081</v>
      </c>
      <c r="E167" s="224"/>
      <c r="F167" s="224"/>
      <c r="G167" s="224"/>
      <c r="H167" s="224"/>
      <c r="I167" s="224"/>
      <c r="J167" s="224"/>
      <c r="K167" s="224"/>
      <c r="L167" s="224"/>
      <c r="M167" s="224"/>
      <c r="N167" s="224"/>
      <c r="O167" s="224"/>
      <c r="P167" s="224"/>
      <c r="Q167" s="224"/>
      <c r="R167" s="224"/>
      <c r="S167" s="224"/>
      <c r="T167" s="224"/>
      <c r="U167" s="224"/>
      <c r="V167" s="224"/>
      <c r="W167" s="224"/>
      <c r="X167" s="224"/>
      <c r="Y167" s="224"/>
      <c r="Z167" s="224"/>
      <c r="AA167" s="224"/>
      <c r="AB167" s="224"/>
      <c r="AC167" s="224"/>
      <c r="AD167" s="224"/>
      <c r="AE167" s="224"/>
      <c r="AF167" s="224"/>
      <c r="AG167" s="224"/>
      <c r="AH167" s="224"/>
      <c r="AI167" s="224"/>
      <c r="AJ167" s="224"/>
      <c r="AK167" s="224"/>
      <c r="AL167" s="224"/>
      <c r="AM167" s="224"/>
      <c r="AN167" s="224"/>
      <c r="AO167" s="224"/>
      <c r="AP167" s="224"/>
      <c r="AQ167" s="224"/>
      <c r="AR167" s="224"/>
      <c r="AS167" s="224"/>
      <c r="AT167" s="224"/>
      <c r="AU167" s="224"/>
      <c r="AV167" s="224"/>
      <c r="AW167" s="224"/>
      <c r="AX167" s="224"/>
      <c r="AY167" s="224"/>
      <c r="AZ167" s="224"/>
      <c r="BA167" s="224"/>
      <c r="BB167" s="224"/>
      <c r="BC167" s="224"/>
      <c r="BD167" s="224"/>
      <c r="BE167" s="224"/>
      <c r="BF167" s="224"/>
      <c r="BG167" s="224"/>
      <c r="BH167" s="224"/>
      <c r="BI167" s="224"/>
      <c r="BJ167" s="224"/>
      <c r="BK167" s="224"/>
      <c r="BL167" s="224"/>
      <c r="BM167" s="224"/>
      <c r="BN167" s="224"/>
      <c r="BO167" s="224"/>
      <c r="BP167" s="224"/>
      <c r="BQ167" s="224"/>
      <c r="BR167" s="224"/>
      <c r="BS167" s="224"/>
      <c r="BT167" s="224"/>
      <c r="BU167" s="221" t="s">
        <v>1248</v>
      </c>
    </row>
    <row r="168" spans="2:73" ht="27.6" x14ac:dyDescent="0.3">
      <c r="B168" s="129" t="s">
        <v>1153</v>
      </c>
      <c r="C168" s="244">
        <v>165</v>
      </c>
      <c r="D168" s="131" t="s">
        <v>1082</v>
      </c>
      <c r="E168" s="224"/>
      <c r="F168" s="224"/>
      <c r="G168" s="224"/>
      <c r="H168" s="224"/>
      <c r="I168" s="224"/>
      <c r="J168" s="224"/>
      <c r="K168" s="224"/>
      <c r="L168" s="224"/>
      <c r="M168" s="224"/>
      <c r="N168" s="224"/>
      <c r="O168" s="224"/>
      <c r="P168" s="224"/>
      <c r="Q168" s="224"/>
      <c r="R168" s="224"/>
      <c r="S168" s="224"/>
      <c r="T168" s="224"/>
      <c r="U168" s="224"/>
      <c r="V168" s="224"/>
      <c r="W168" s="224"/>
      <c r="X168" s="224"/>
      <c r="Y168" s="224"/>
      <c r="Z168" s="224"/>
      <c r="AA168" s="224"/>
      <c r="AB168" s="224"/>
      <c r="AC168" s="224"/>
      <c r="AD168" s="224"/>
      <c r="AE168" s="224"/>
      <c r="AF168" s="224"/>
      <c r="AG168" s="224"/>
      <c r="AH168" s="224"/>
      <c r="AI168" s="224"/>
      <c r="AJ168" s="224"/>
      <c r="AK168" s="224"/>
      <c r="AL168" s="224"/>
      <c r="AM168" s="224"/>
      <c r="AN168" s="224"/>
      <c r="AO168" s="224"/>
      <c r="AP168" s="224"/>
      <c r="AQ168" s="224"/>
      <c r="AR168" s="224"/>
      <c r="AS168" s="224"/>
      <c r="AT168" s="224"/>
      <c r="AU168" s="224"/>
      <c r="AV168" s="224"/>
      <c r="AW168" s="224"/>
      <c r="AX168" s="224"/>
      <c r="AY168" s="224"/>
      <c r="AZ168" s="224"/>
      <c r="BA168" s="224"/>
      <c r="BB168" s="224"/>
      <c r="BC168" s="224"/>
      <c r="BD168" s="224"/>
      <c r="BE168" s="224"/>
      <c r="BF168" s="224"/>
      <c r="BG168" s="224"/>
      <c r="BH168" s="224"/>
      <c r="BI168" s="224"/>
      <c r="BJ168" s="224"/>
      <c r="BK168" s="224"/>
      <c r="BL168" s="224"/>
      <c r="BM168" s="224"/>
      <c r="BN168" s="224"/>
      <c r="BO168" s="224"/>
      <c r="BP168" s="224"/>
      <c r="BQ168" s="224"/>
      <c r="BR168" s="224"/>
      <c r="BS168" s="224"/>
      <c r="BT168" s="224"/>
      <c r="BU168" s="221" t="s">
        <v>1248</v>
      </c>
    </row>
    <row r="169" spans="2:73" ht="27.6" x14ac:dyDescent="0.3">
      <c r="B169" s="129" t="s">
        <v>1153</v>
      </c>
      <c r="C169" s="244">
        <v>166</v>
      </c>
      <c r="D169" s="131" t="s">
        <v>1084</v>
      </c>
      <c r="E169" s="224"/>
      <c r="F169" s="224"/>
      <c r="G169" s="224"/>
      <c r="H169" s="224"/>
      <c r="I169" s="224"/>
      <c r="J169" s="224"/>
      <c r="K169" s="224"/>
      <c r="L169" s="224"/>
      <c r="M169" s="224"/>
      <c r="N169" s="224"/>
      <c r="O169" s="224"/>
      <c r="P169" s="224"/>
      <c r="Q169" s="224"/>
      <c r="R169" s="224"/>
      <c r="S169" s="224"/>
      <c r="T169" s="224"/>
      <c r="U169" s="224"/>
      <c r="V169" s="224"/>
      <c r="W169" s="224"/>
      <c r="X169" s="224"/>
      <c r="Y169" s="224"/>
      <c r="Z169" s="224"/>
      <c r="AA169" s="224"/>
      <c r="AB169" s="224"/>
      <c r="AC169" s="224"/>
      <c r="AD169" s="224"/>
      <c r="AE169" s="224"/>
      <c r="AF169" s="224"/>
      <c r="AG169" s="224"/>
      <c r="AH169" s="224"/>
      <c r="AI169" s="224"/>
      <c r="AJ169" s="224"/>
      <c r="AK169" s="224"/>
      <c r="AL169" s="224"/>
      <c r="AM169" s="224"/>
      <c r="AN169" s="224"/>
      <c r="AO169" s="224"/>
      <c r="AP169" s="224"/>
      <c r="AQ169" s="224"/>
      <c r="AR169" s="224"/>
      <c r="AS169" s="224"/>
      <c r="AT169" s="224"/>
      <c r="AU169" s="224"/>
      <c r="AV169" s="224"/>
      <c r="AW169" s="224"/>
      <c r="AX169" s="224"/>
      <c r="AY169" s="224"/>
      <c r="AZ169" s="224"/>
      <c r="BA169" s="224"/>
      <c r="BB169" s="224"/>
      <c r="BC169" s="224"/>
      <c r="BD169" s="224"/>
      <c r="BE169" s="224"/>
      <c r="BF169" s="224"/>
      <c r="BG169" s="224"/>
      <c r="BH169" s="224"/>
      <c r="BI169" s="224"/>
      <c r="BJ169" s="224"/>
      <c r="BK169" s="224"/>
      <c r="BL169" s="224"/>
      <c r="BM169" s="224"/>
      <c r="BN169" s="224"/>
      <c r="BO169" s="224"/>
      <c r="BP169" s="224"/>
      <c r="BQ169" s="224"/>
      <c r="BR169" s="224"/>
      <c r="BS169" s="224"/>
      <c r="BT169" s="224"/>
      <c r="BU169" s="221" t="s">
        <v>1249</v>
      </c>
    </row>
    <row r="170" spans="2:73" x14ac:dyDescent="0.3">
      <c r="B170" s="267" t="s">
        <v>1153</v>
      </c>
      <c r="C170" s="244">
        <v>167</v>
      </c>
      <c r="D170" s="245" t="s">
        <v>845</v>
      </c>
      <c r="E170" s="224"/>
      <c r="F170" s="224"/>
      <c r="G170" s="224"/>
      <c r="H170" s="224"/>
      <c r="I170" s="224"/>
      <c r="J170" s="224"/>
      <c r="K170" s="224"/>
      <c r="L170" s="224"/>
      <c r="M170" s="224"/>
      <c r="N170" s="224"/>
      <c r="O170" s="224"/>
      <c r="P170" s="224"/>
      <c r="Q170" s="224"/>
      <c r="R170" s="224"/>
      <c r="S170" s="224"/>
      <c r="T170" s="224"/>
      <c r="U170" s="224"/>
      <c r="V170" s="224"/>
      <c r="W170" s="224"/>
      <c r="X170" s="224"/>
      <c r="Y170" s="224"/>
      <c r="Z170" s="224"/>
      <c r="AA170" s="224"/>
      <c r="AB170" s="224"/>
      <c r="AC170" s="224"/>
      <c r="AD170" s="224"/>
      <c r="AE170" s="224"/>
      <c r="AF170" s="224"/>
      <c r="AG170" s="224"/>
      <c r="AH170" s="224"/>
      <c r="AI170" s="224"/>
      <c r="AJ170" s="224"/>
      <c r="AK170" s="224"/>
      <c r="AL170" s="224"/>
      <c r="AM170" s="224"/>
      <c r="AN170" s="224"/>
      <c r="AO170" s="224"/>
      <c r="AP170" s="224"/>
      <c r="AQ170" s="224"/>
      <c r="AR170" s="224"/>
      <c r="AS170" s="224"/>
      <c r="AT170" s="224"/>
      <c r="AU170" s="224"/>
      <c r="AV170" s="224"/>
      <c r="AW170" s="224"/>
      <c r="AX170" s="224"/>
      <c r="AY170" s="224"/>
      <c r="AZ170" s="224"/>
      <c r="BA170" s="224"/>
      <c r="BB170" s="224"/>
      <c r="BC170" s="224"/>
      <c r="BD170" s="224"/>
      <c r="BE170" s="224"/>
      <c r="BF170" s="224"/>
      <c r="BG170" s="224"/>
      <c r="BH170" s="224"/>
      <c r="BI170" s="224"/>
      <c r="BJ170" s="224"/>
      <c r="BK170" s="224"/>
      <c r="BL170" s="224"/>
      <c r="BM170" s="224"/>
      <c r="BN170" s="224"/>
      <c r="BO170" s="224"/>
      <c r="BP170" s="224"/>
      <c r="BQ170" s="224"/>
      <c r="BR170" s="224"/>
      <c r="BS170" s="224"/>
      <c r="BT170" s="224"/>
      <c r="BU170" s="246"/>
    </row>
    <row r="171" spans="2:73" ht="27.6" x14ac:dyDescent="0.3">
      <c r="B171" s="129" t="s">
        <v>1153</v>
      </c>
      <c r="C171" s="244">
        <v>168</v>
      </c>
      <c r="D171" s="131" t="s">
        <v>1160</v>
      </c>
      <c r="E171" s="224"/>
      <c r="F171" s="224"/>
      <c r="G171" s="224"/>
      <c r="H171" s="224"/>
      <c r="I171" s="224"/>
      <c r="J171" s="224"/>
      <c r="K171" s="224"/>
      <c r="L171" s="224"/>
      <c r="M171" s="224"/>
      <c r="N171" s="224"/>
      <c r="O171" s="224"/>
      <c r="P171" s="224"/>
      <c r="Q171" s="224"/>
      <c r="R171" s="224"/>
      <c r="S171" s="224"/>
      <c r="T171" s="224"/>
      <c r="U171" s="224"/>
      <c r="V171" s="224"/>
      <c r="W171" s="224"/>
      <c r="X171" s="224"/>
      <c r="Y171" s="224"/>
      <c r="Z171" s="224"/>
      <c r="AA171" s="224"/>
      <c r="AB171" s="224"/>
      <c r="AC171" s="224"/>
      <c r="AD171" s="224"/>
      <c r="AE171" s="224"/>
      <c r="AF171" s="224"/>
      <c r="AG171" s="224"/>
      <c r="AH171" s="224"/>
      <c r="AI171" s="224"/>
      <c r="AJ171" s="224"/>
      <c r="AK171" s="224"/>
      <c r="AL171" s="224"/>
      <c r="AM171" s="224"/>
      <c r="AN171" s="224"/>
      <c r="AO171" s="224"/>
      <c r="AP171" s="224"/>
      <c r="AQ171" s="224"/>
      <c r="AR171" s="224"/>
      <c r="AS171" s="224"/>
      <c r="AT171" s="224"/>
      <c r="AU171" s="224"/>
      <c r="AV171" s="224"/>
      <c r="AW171" s="224"/>
      <c r="AX171" s="224"/>
      <c r="AY171" s="224"/>
      <c r="AZ171" s="224"/>
      <c r="BA171" s="224"/>
      <c r="BB171" s="224"/>
      <c r="BC171" s="224"/>
      <c r="BD171" s="224"/>
      <c r="BE171" s="224"/>
      <c r="BF171" s="224"/>
      <c r="BG171" s="224"/>
      <c r="BH171" s="224"/>
      <c r="BI171" s="224"/>
      <c r="BJ171" s="224"/>
      <c r="BK171" s="224"/>
      <c r="BL171" s="224"/>
      <c r="BM171" s="224"/>
      <c r="BN171" s="224"/>
      <c r="BO171" s="224"/>
      <c r="BP171" s="224"/>
      <c r="BQ171" s="224"/>
      <c r="BR171" s="224"/>
      <c r="BS171" s="224"/>
      <c r="BT171" s="224"/>
      <c r="BU171" s="221" t="s">
        <v>1239</v>
      </c>
    </row>
    <row r="172" spans="2:73" ht="27.6" x14ac:dyDescent="0.3">
      <c r="B172" s="129" t="s">
        <v>1153</v>
      </c>
      <c r="C172" s="244">
        <v>169</v>
      </c>
      <c r="D172" s="131" t="s">
        <v>1161</v>
      </c>
      <c r="E172" s="224"/>
      <c r="F172" s="224"/>
      <c r="G172" s="224"/>
      <c r="H172" s="224"/>
      <c r="I172" s="224"/>
      <c r="J172" s="224"/>
      <c r="K172" s="224"/>
      <c r="L172" s="224"/>
      <c r="M172" s="224"/>
      <c r="N172" s="224"/>
      <c r="O172" s="224"/>
      <c r="P172" s="224"/>
      <c r="Q172" s="224"/>
      <c r="R172" s="224"/>
      <c r="S172" s="224"/>
      <c r="T172" s="224"/>
      <c r="U172" s="224"/>
      <c r="V172" s="224"/>
      <c r="W172" s="224"/>
      <c r="X172" s="224"/>
      <c r="Y172" s="224"/>
      <c r="Z172" s="224"/>
      <c r="AA172" s="224"/>
      <c r="AB172" s="224"/>
      <c r="AC172" s="224"/>
      <c r="AD172" s="224"/>
      <c r="AE172" s="224"/>
      <c r="AF172" s="224"/>
      <c r="AG172" s="224"/>
      <c r="AH172" s="224"/>
      <c r="AI172" s="224"/>
      <c r="AJ172" s="224"/>
      <c r="AK172" s="224"/>
      <c r="AL172" s="224"/>
      <c r="AM172" s="224"/>
      <c r="AN172" s="224"/>
      <c r="AO172" s="224"/>
      <c r="AP172" s="224"/>
      <c r="AQ172" s="224"/>
      <c r="AR172" s="224"/>
      <c r="AS172" s="224"/>
      <c r="AT172" s="224"/>
      <c r="AU172" s="224"/>
      <c r="AV172" s="224"/>
      <c r="AW172" s="224"/>
      <c r="AX172" s="224"/>
      <c r="AY172" s="224"/>
      <c r="AZ172" s="224"/>
      <c r="BA172" s="224"/>
      <c r="BB172" s="224"/>
      <c r="BC172" s="224"/>
      <c r="BD172" s="224"/>
      <c r="BE172" s="224"/>
      <c r="BF172" s="224"/>
      <c r="BG172" s="224"/>
      <c r="BH172" s="224"/>
      <c r="BI172" s="224"/>
      <c r="BJ172" s="224"/>
      <c r="BK172" s="224"/>
      <c r="BL172" s="224"/>
      <c r="BM172" s="224"/>
      <c r="BN172" s="224"/>
      <c r="BO172" s="224"/>
      <c r="BP172" s="224"/>
      <c r="BQ172" s="224"/>
      <c r="BR172" s="224"/>
      <c r="BS172" s="224"/>
      <c r="BT172" s="224"/>
      <c r="BU172" s="221" t="s">
        <v>1241</v>
      </c>
    </row>
    <row r="173" spans="2:73" x14ac:dyDescent="0.3">
      <c r="B173" s="129" t="s">
        <v>1153</v>
      </c>
      <c r="C173" s="244">
        <v>170</v>
      </c>
      <c r="D173" s="131" t="s">
        <v>1162</v>
      </c>
      <c r="E173" s="224"/>
      <c r="F173" s="224"/>
      <c r="G173" s="224"/>
      <c r="H173" s="224"/>
      <c r="I173" s="224"/>
      <c r="J173" s="224"/>
      <c r="K173" s="224"/>
      <c r="L173" s="224"/>
      <c r="M173" s="224"/>
      <c r="N173" s="224"/>
      <c r="O173" s="224"/>
      <c r="P173" s="224"/>
      <c r="Q173" s="224"/>
      <c r="R173" s="224"/>
      <c r="S173" s="224"/>
      <c r="T173" s="224"/>
      <c r="U173" s="224"/>
      <c r="V173" s="224"/>
      <c r="W173" s="224"/>
      <c r="X173" s="224"/>
      <c r="Y173" s="224"/>
      <c r="Z173" s="224"/>
      <c r="AA173" s="224"/>
      <c r="AB173" s="224"/>
      <c r="AC173" s="224"/>
      <c r="AD173" s="224"/>
      <c r="AE173" s="224"/>
      <c r="AF173" s="224"/>
      <c r="AG173" s="224"/>
      <c r="AH173" s="224"/>
      <c r="AI173" s="224"/>
      <c r="AJ173" s="224"/>
      <c r="AK173" s="224"/>
      <c r="AL173" s="224"/>
      <c r="AM173" s="224"/>
      <c r="AN173" s="224"/>
      <c r="AO173" s="224"/>
      <c r="AP173" s="224"/>
      <c r="AQ173" s="224"/>
      <c r="AR173" s="224"/>
      <c r="AS173" s="224"/>
      <c r="AT173" s="224"/>
      <c r="AU173" s="224"/>
      <c r="AV173" s="224"/>
      <c r="AW173" s="224"/>
      <c r="AX173" s="224"/>
      <c r="AY173" s="224"/>
      <c r="AZ173" s="224"/>
      <c r="BA173" s="224"/>
      <c r="BB173" s="224"/>
      <c r="BC173" s="224"/>
      <c r="BD173" s="224"/>
      <c r="BE173" s="224"/>
      <c r="BF173" s="224"/>
      <c r="BG173" s="224"/>
      <c r="BH173" s="224"/>
      <c r="BI173" s="224"/>
      <c r="BJ173" s="224"/>
      <c r="BK173" s="224"/>
      <c r="BL173" s="224"/>
      <c r="BM173" s="224"/>
      <c r="BN173" s="224"/>
      <c r="BO173" s="224"/>
      <c r="BP173" s="224"/>
      <c r="BQ173" s="224"/>
      <c r="BR173" s="224"/>
      <c r="BS173" s="224"/>
      <c r="BT173" s="224"/>
      <c r="BU173" s="221" t="s">
        <v>1242</v>
      </c>
    </row>
    <row r="174" spans="2:73" ht="27.6" x14ac:dyDescent="0.3">
      <c r="B174" s="129" t="s">
        <v>1153</v>
      </c>
      <c r="C174" s="244">
        <v>171</v>
      </c>
      <c r="D174" s="131" t="s">
        <v>1163</v>
      </c>
      <c r="E174" s="224"/>
      <c r="F174" s="224"/>
      <c r="G174" s="224"/>
      <c r="H174" s="224"/>
      <c r="I174" s="224"/>
      <c r="J174" s="224"/>
      <c r="K174" s="224"/>
      <c r="L174" s="224"/>
      <c r="M174" s="224"/>
      <c r="N174" s="224"/>
      <c r="O174" s="224"/>
      <c r="P174" s="224"/>
      <c r="Q174" s="224"/>
      <c r="R174" s="224"/>
      <c r="S174" s="224"/>
      <c r="T174" s="224"/>
      <c r="U174" s="224"/>
      <c r="V174" s="224"/>
      <c r="W174" s="224"/>
      <c r="X174" s="224"/>
      <c r="Y174" s="224"/>
      <c r="Z174" s="224"/>
      <c r="AA174" s="224"/>
      <c r="AB174" s="224"/>
      <c r="AC174" s="224"/>
      <c r="AD174" s="224"/>
      <c r="AE174" s="224"/>
      <c r="AF174" s="224"/>
      <c r="AG174" s="224"/>
      <c r="AH174" s="224"/>
      <c r="AI174" s="224"/>
      <c r="AJ174" s="224"/>
      <c r="AK174" s="224"/>
      <c r="AL174" s="224"/>
      <c r="AM174" s="224"/>
      <c r="AN174" s="224"/>
      <c r="AO174" s="224"/>
      <c r="AP174" s="224"/>
      <c r="AQ174" s="224"/>
      <c r="AR174" s="224"/>
      <c r="AS174" s="224"/>
      <c r="AT174" s="224"/>
      <c r="AU174" s="224"/>
      <c r="AV174" s="224"/>
      <c r="AW174" s="224"/>
      <c r="AX174" s="224"/>
      <c r="AY174" s="224"/>
      <c r="AZ174" s="224"/>
      <c r="BA174" s="224"/>
      <c r="BB174" s="224"/>
      <c r="BC174" s="224"/>
      <c r="BD174" s="224"/>
      <c r="BE174" s="224"/>
      <c r="BF174" s="224"/>
      <c r="BG174" s="224"/>
      <c r="BH174" s="224"/>
      <c r="BI174" s="224"/>
      <c r="BJ174" s="224"/>
      <c r="BK174" s="224"/>
      <c r="BL174" s="224"/>
      <c r="BM174" s="224"/>
      <c r="BN174" s="224"/>
      <c r="BO174" s="224"/>
      <c r="BP174" s="224"/>
      <c r="BQ174" s="224"/>
      <c r="BR174" s="224"/>
      <c r="BS174" s="224"/>
      <c r="BT174" s="224"/>
      <c r="BU174" s="221" t="s">
        <v>1242</v>
      </c>
    </row>
    <row r="175" spans="2:73" x14ac:dyDescent="0.3">
      <c r="B175" s="129" t="s">
        <v>1153</v>
      </c>
      <c r="C175" s="244">
        <v>172</v>
      </c>
      <c r="D175" s="131" t="s">
        <v>1164</v>
      </c>
      <c r="E175" s="224"/>
      <c r="F175" s="224"/>
      <c r="G175" s="224"/>
      <c r="H175" s="224"/>
      <c r="I175" s="224"/>
      <c r="J175" s="224"/>
      <c r="K175" s="224"/>
      <c r="L175" s="224"/>
      <c r="M175" s="224"/>
      <c r="N175" s="224"/>
      <c r="O175" s="224"/>
      <c r="P175" s="224"/>
      <c r="Q175" s="224"/>
      <c r="R175" s="224"/>
      <c r="S175" s="224"/>
      <c r="T175" s="224"/>
      <c r="U175" s="224"/>
      <c r="V175" s="224"/>
      <c r="W175" s="224"/>
      <c r="X175" s="224"/>
      <c r="Y175" s="224"/>
      <c r="Z175" s="224"/>
      <c r="AA175" s="224"/>
      <c r="AB175" s="224"/>
      <c r="AC175" s="224"/>
      <c r="AD175" s="224"/>
      <c r="AE175" s="224"/>
      <c r="AF175" s="224"/>
      <c r="AG175" s="224"/>
      <c r="AH175" s="224"/>
      <c r="AI175" s="224"/>
      <c r="AJ175" s="224"/>
      <c r="AK175" s="224"/>
      <c r="AL175" s="224"/>
      <c r="AM175" s="224"/>
      <c r="AN175" s="224"/>
      <c r="AO175" s="224"/>
      <c r="AP175" s="224"/>
      <c r="AQ175" s="224"/>
      <c r="AR175" s="224"/>
      <c r="AS175" s="224"/>
      <c r="AT175" s="224"/>
      <c r="AU175" s="224"/>
      <c r="AV175" s="224"/>
      <c r="AW175" s="224"/>
      <c r="AX175" s="224"/>
      <c r="AY175" s="224"/>
      <c r="AZ175" s="224"/>
      <c r="BA175" s="224"/>
      <c r="BB175" s="224"/>
      <c r="BC175" s="224"/>
      <c r="BD175" s="224"/>
      <c r="BE175" s="224"/>
      <c r="BF175" s="224"/>
      <c r="BG175" s="224"/>
      <c r="BH175" s="224"/>
      <c r="BI175" s="224"/>
      <c r="BJ175" s="224"/>
      <c r="BK175" s="224"/>
      <c r="BL175" s="224"/>
      <c r="BM175" s="224"/>
      <c r="BN175" s="224"/>
      <c r="BO175" s="224"/>
      <c r="BP175" s="224"/>
      <c r="BQ175" s="224"/>
      <c r="BR175" s="224"/>
      <c r="BS175" s="224"/>
      <c r="BT175" s="224"/>
      <c r="BU175" s="221" t="s">
        <v>1243</v>
      </c>
    </row>
    <row r="176" spans="2:73" ht="27.6" x14ac:dyDescent="0.3">
      <c r="B176" s="129" t="s">
        <v>1153</v>
      </c>
      <c r="C176" s="244">
        <v>173</v>
      </c>
      <c r="D176" s="131" t="s">
        <v>1165</v>
      </c>
      <c r="E176" s="224"/>
      <c r="F176" s="224"/>
      <c r="G176" s="224"/>
      <c r="H176" s="224"/>
      <c r="I176" s="224"/>
      <c r="J176" s="224"/>
      <c r="K176" s="224"/>
      <c r="L176" s="224"/>
      <c r="M176" s="224"/>
      <c r="N176" s="224"/>
      <c r="O176" s="224"/>
      <c r="P176" s="224"/>
      <c r="Q176" s="224"/>
      <c r="R176" s="224"/>
      <c r="S176" s="224"/>
      <c r="T176" s="224"/>
      <c r="U176" s="224"/>
      <c r="V176" s="224"/>
      <c r="W176" s="224"/>
      <c r="X176" s="224"/>
      <c r="Y176" s="224"/>
      <c r="Z176" s="224"/>
      <c r="AA176" s="224"/>
      <c r="AB176" s="224"/>
      <c r="AC176" s="224"/>
      <c r="AD176" s="224"/>
      <c r="AE176" s="224"/>
      <c r="AF176" s="224"/>
      <c r="AG176" s="224"/>
      <c r="AH176" s="224"/>
      <c r="AI176" s="224"/>
      <c r="AJ176" s="224"/>
      <c r="AK176" s="224"/>
      <c r="AL176" s="224"/>
      <c r="AM176" s="224"/>
      <c r="AN176" s="224"/>
      <c r="AO176" s="224"/>
      <c r="AP176" s="224"/>
      <c r="AQ176" s="224"/>
      <c r="AR176" s="224"/>
      <c r="AS176" s="224"/>
      <c r="AT176" s="224"/>
      <c r="AU176" s="224"/>
      <c r="AV176" s="224"/>
      <c r="AW176" s="224"/>
      <c r="AX176" s="224"/>
      <c r="AY176" s="224"/>
      <c r="AZ176" s="224"/>
      <c r="BA176" s="224"/>
      <c r="BB176" s="224"/>
      <c r="BC176" s="224"/>
      <c r="BD176" s="224"/>
      <c r="BE176" s="224"/>
      <c r="BF176" s="224"/>
      <c r="BG176" s="224"/>
      <c r="BH176" s="224"/>
      <c r="BI176" s="224"/>
      <c r="BJ176" s="224"/>
      <c r="BK176" s="224"/>
      <c r="BL176" s="224"/>
      <c r="BM176" s="224"/>
      <c r="BN176" s="224"/>
      <c r="BO176" s="224"/>
      <c r="BP176" s="224"/>
      <c r="BQ176" s="224"/>
      <c r="BR176" s="224"/>
      <c r="BS176" s="224"/>
      <c r="BT176" s="224"/>
      <c r="BU176" s="221" t="s">
        <v>1243</v>
      </c>
    </row>
    <row r="177" spans="2:73" x14ac:dyDescent="0.3">
      <c r="B177" s="267" t="s">
        <v>1156</v>
      </c>
      <c r="C177" s="244">
        <v>174</v>
      </c>
      <c r="D177" s="245" t="s">
        <v>845</v>
      </c>
      <c r="E177" s="243"/>
      <c r="F177" s="243"/>
      <c r="G177" s="243"/>
      <c r="H177" s="243"/>
      <c r="I177" s="243"/>
      <c r="J177" s="243"/>
      <c r="K177" s="243"/>
      <c r="L177" s="243"/>
      <c r="M177" s="243"/>
      <c r="N177" s="243"/>
      <c r="O177" s="243"/>
      <c r="P177" s="243"/>
      <c r="Q177" s="243"/>
      <c r="R177" s="243"/>
      <c r="S177" s="243"/>
      <c r="T177" s="243"/>
      <c r="U177" s="243"/>
      <c r="V177" s="243"/>
      <c r="W177" s="243"/>
      <c r="X177" s="243"/>
      <c r="Y177" s="243"/>
      <c r="Z177" s="243"/>
      <c r="AA177" s="243"/>
      <c r="AB177" s="243"/>
      <c r="AC177" s="243"/>
      <c r="AD177" s="243"/>
      <c r="AE177" s="243"/>
      <c r="AF177" s="243"/>
      <c r="AG177" s="243"/>
      <c r="AH177" s="243"/>
      <c r="AI177" s="243"/>
      <c r="AJ177" s="243"/>
      <c r="AK177" s="243"/>
      <c r="AL177" s="243"/>
      <c r="AM177" s="243"/>
      <c r="AN177" s="243"/>
      <c r="AO177" s="243"/>
      <c r="AP177" s="243"/>
      <c r="AQ177" s="243"/>
      <c r="AR177" s="243"/>
      <c r="AS177" s="243"/>
      <c r="AT177" s="243"/>
      <c r="AU177" s="243"/>
      <c r="AV177" s="243"/>
      <c r="AW177" s="243"/>
      <c r="AX177" s="243"/>
      <c r="AY177" s="243"/>
      <c r="AZ177" s="243"/>
      <c r="BA177" s="243"/>
      <c r="BB177" s="243"/>
      <c r="BC177" s="243"/>
      <c r="BD177" s="243"/>
      <c r="BE177" s="243"/>
      <c r="BF177" s="243"/>
      <c r="BG177" s="243"/>
      <c r="BH177" s="243"/>
      <c r="BI177" s="243"/>
      <c r="BJ177" s="243"/>
      <c r="BK177" s="243"/>
      <c r="BL177" s="243"/>
      <c r="BM177" s="243"/>
      <c r="BN177" s="243"/>
      <c r="BO177" s="243"/>
      <c r="BP177" s="243"/>
      <c r="BQ177" s="243"/>
      <c r="BR177" s="243"/>
      <c r="BS177" s="243"/>
      <c r="BT177" s="243"/>
      <c r="BU177" s="246"/>
    </row>
    <row r="178" spans="2:73" ht="69" x14ac:dyDescent="0.3">
      <c r="B178" s="129" t="s">
        <v>1156</v>
      </c>
      <c r="C178" s="244">
        <v>175</v>
      </c>
      <c r="D178" s="131" t="s">
        <v>1096</v>
      </c>
      <c r="E178" s="224"/>
      <c r="F178" s="224"/>
      <c r="G178" s="224"/>
      <c r="H178" s="224"/>
      <c r="I178" s="224"/>
      <c r="J178" s="224"/>
      <c r="K178" s="224"/>
      <c r="L178" s="224"/>
      <c r="M178" s="224"/>
      <c r="N178" s="224"/>
      <c r="O178" s="224"/>
      <c r="P178" s="224"/>
      <c r="Q178" s="224"/>
      <c r="R178" s="224"/>
      <c r="S178" s="224"/>
      <c r="T178" s="224"/>
      <c r="U178" s="224"/>
      <c r="V178" s="224"/>
      <c r="W178" s="224"/>
      <c r="X178" s="224"/>
      <c r="Y178" s="224"/>
      <c r="Z178" s="224"/>
      <c r="AA178" s="224"/>
      <c r="AB178" s="224"/>
      <c r="AC178" s="224"/>
      <c r="AD178" s="224"/>
      <c r="AE178" s="224"/>
      <c r="AF178" s="224"/>
      <c r="AG178" s="224"/>
      <c r="AH178" s="224"/>
      <c r="AI178" s="224"/>
      <c r="AJ178" s="224"/>
      <c r="AK178" s="224"/>
      <c r="AL178" s="224"/>
      <c r="AM178" s="224"/>
      <c r="AN178" s="224"/>
      <c r="AO178" s="224"/>
      <c r="AP178" s="224"/>
      <c r="AQ178" s="224"/>
      <c r="AR178" s="224"/>
      <c r="AS178" s="224"/>
      <c r="AT178" s="224"/>
      <c r="AU178" s="224"/>
      <c r="AV178" s="224"/>
      <c r="AW178" s="224"/>
      <c r="AX178" s="224"/>
      <c r="AY178" s="224"/>
      <c r="AZ178" s="224"/>
      <c r="BA178" s="224"/>
      <c r="BB178" s="224"/>
      <c r="BC178" s="224"/>
      <c r="BD178" s="224"/>
      <c r="BE178" s="224"/>
      <c r="BF178" s="224"/>
      <c r="BG178" s="224"/>
      <c r="BH178" s="224"/>
      <c r="BI178" s="224"/>
      <c r="BJ178" s="224"/>
      <c r="BK178" s="224"/>
      <c r="BL178" s="224"/>
      <c r="BM178" s="224"/>
      <c r="BN178" s="224"/>
      <c r="BO178" s="224"/>
      <c r="BP178" s="224"/>
      <c r="BQ178" s="224"/>
      <c r="BR178" s="224"/>
      <c r="BS178" s="224"/>
      <c r="BT178" s="224"/>
      <c r="BU178" s="221" t="s">
        <v>1242</v>
      </c>
    </row>
    <row r="179" spans="2:73" ht="27.6" x14ac:dyDescent="0.3">
      <c r="B179" s="129" t="s">
        <v>1156</v>
      </c>
      <c r="C179" s="244">
        <v>176</v>
      </c>
      <c r="D179" s="131" t="s">
        <v>1098</v>
      </c>
      <c r="E179" s="224"/>
      <c r="F179" s="224"/>
      <c r="G179" s="224"/>
      <c r="H179" s="224"/>
      <c r="I179" s="224"/>
      <c r="J179" s="224"/>
      <c r="K179" s="224"/>
      <c r="L179" s="224"/>
      <c r="M179" s="224"/>
      <c r="N179" s="224"/>
      <c r="O179" s="224"/>
      <c r="P179" s="224"/>
      <c r="Q179" s="224"/>
      <c r="R179" s="224"/>
      <c r="S179" s="224"/>
      <c r="T179" s="224"/>
      <c r="U179" s="224"/>
      <c r="V179" s="224"/>
      <c r="W179" s="224"/>
      <c r="X179" s="224"/>
      <c r="Y179" s="224"/>
      <c r="Z179" s="224"/>
      <c r="AA179" s="224"/>
      <c r="AB179" s="224"/>
      <c r="AC179" s="224"/>
      <c r="AD179" s="224"/>
      <c r="AE179" s="224"/>
      <c r="AF179" s="224"/>
      <c r="AG179" s="224"/>
      <c r="AH179" s="224"/>
      <c r="AI179" s="224"/>
      <c r="AJ179" s="224"/>
      <c r="AK179" s="224"/>
      <c r="AL179" s="224"/>
      <c r="AM179" s="224"/>
      <c r="AN179" s="224"/>
      <c r="AO179" s="224"/>
      <c r="AP179" s="224"/>
      <c r="AQ179" s="224"/>
      <c r="AR179" s="224"/>
      <c r="AS179" s="224"/>
      <c r="AT179" s="224"/>
      <c r="AU179" s="224"/>
      <c r="AV179" s="224"/>
      <c r="AW179" s="224"/>
      <c r="AX179" s="224"/>
      <c r="AY179" s="224"/>
      <c r="AZ179" s="224"/>
      <c r="BA179" s="224"/>
      <c r="BB179" s="224"/>
      <c r="BC179" s="224"/>
      <c r="BD179" s="224"/>
      <c r="BE179" s="224"/>
      <c r="BF179" s="224"/>
      <c r="BG179" s="224"/>
      <c r="BH179" s="224"/>
      <c r="BI179" s="224"/>
      <c r="BJ179" s="224"/>
      <c r="BK179" s="224"/>
      <c r="BL179" s="224"/>
      <c r="BM179" s="224"/>
      <c r="BN179" s="224"/>
      <c r="BO179" s="224"/>
      <c r="BP179" s="224"/>
      <c r="BQ179" s="224"/>
      <c r="BR179" s="224"/>
      <c r="BS179" s="224"/>
      <c r="BT179" s="224"/>
      <c r="BU179" s="221" t="s">
        <v>1245</v>
      </c>
    </row>
    <row r="180" spans="2:73" x14ac:dyDescent="0.3">
      <c r="B180" s="129" t="s">
        <v>1156</v>
      </c>
      <c r="C180" s="244">
        <v>177</v>
      </c>
      <c r="D180" s="131" t="s">
        <v>1105</v>
      </c>
      <c r="E180" s="224"/>
      <c r="F180" s="224"/>
      <c r="G180" s="224"/>
      <c r="H180" s="224"/>
      <c r="I180" s="224"/>
      <c r="J180" s="224"/>
      <c r="K180" s="224"/>
      <c r="L180" s="224"/>
      <c r="M180" s="224"/>
      <c r="N180" s="224"/>
      <c r="O180" s="224"/>
      <c r="P180" s="224"/>
      <c r="Q180" s="224"/>
      <c r="R180" s="224"/>
      <c r="S180" s="224"/>
      <c r="T180" s="224"/>
      <c r="U180" s="224"/>
      <c r="V180" s="224"/>
      <c r="W180" s="224"/>
      <c r="X180" s="224"/>
      <c r="Y180" s="224"/>
      <c r="Z180" s="224"/>
      <c r="AA180" s="224"/>
      <c r="AB180" s="224"/>
      <c r="AC180" s="224"/>
      <c r="AD180" s="224"/>
      <c r="AE180" s="224"/>
      <c r="AF180" s="224"/>
      <c r="AG180" s="224"/>
      <c r="AH180" s="224"/>
      <c r="AI180" s="224"/>
      <c r="AJ180" s="224"/>
      <c r="AK180" s="224"/>
      <c r="AL180" s="224"/>
      <c r="AM180" s="224"/>
      <c r="AN180" s="224"/>
      <c r="AO180" s="224"/>
      <c r="AP180" s="224"/>
      <c r="AQ180" s="224"/>
      <c r="AR180" s="224"/>
      <c r="AS180" s="224"/>
      <c r="AT180" s="224"/>
      <c r="AU180" s="224"/>
      <c r="AV180" s="224"/>
      <c r="AW180" s="224"/>
      <c r="AX180" s="224"/>
      <c r="AY180" s="224"/>
      <c r="AZ180" s="224"/>
      <c r="BA180" s="224"/>
      <c r="BB180" s="224"/>
      <c r="BC180" s="224"/>
      <c r="BD180" s="224"/>
      <c r="BE180" s="224"/>
      <c r="BF180" s="224"/>
      <c r="BG180" s="224"/>
      <c r="BH180" s="224"/>
      <c r="BI180" s="224"/>
      <c r="BJ180" s="224"/>
      <c r="BK180" s="224"/>
      <c r="BL180" s="224"/>
      <c r="BM180" s="224"/>
      <c r="BN180" s="224"/>
      <c r="BO180" s="224"/>
      <c r="BP180" s="224"/>
      <c r="BQ180" s="224"/>
      <c r="BR180" s="224"/>
      <c r="BS180" s="224"/>
      <c r="BT180" s="224"/>
      <c r="BU180" s="221" t="s">
        <v>1244</v>
      </c>
    </row>
    <row r="181" spans="2:73" ht="27.6" x14ac:dyDescent="0.3">
      <c r="B181" s="129" t="s">
        <v>1156</v>
      </c>
      <c r="C181" s="244">
        <v>178</v>
      </c>
      <c r="D181" s="131" t="s">
        <v>1272</v>
      </c>
      <c r="E181" s="224"/>
      <c r="F181" s="224"/>
      <c r="G181" s="224"/>
      <c r="H181" s="224"/>
      <c r="I181" s="224"/>
      <c r="J181" s="224"/>
      <c r="K181" s="224"/>
      <c r="L181" s="224"/>
      <c r="M181" s="224"/>
      <c r="N181" s="224"/>
      <c r="O181" s="224"/>
      <c r="P181" s="224"/>
      <c r="Q181" s="224"/>
      <c r="R181" s="224"/>
      <c r="S181" s="224"/>
      <c r="T181" s="224"/>
      <c r="U181" s="224"/>
      <c r="V181" s="224"/>
      <c r="W181" s="224"/>
      <c r="X181" s="224"/>
      <c r="Y181" s="224"/>
      <c r="Z181" s="224"/>
      <c r="AA181" s="224"/>
      <c r="AB181" s="224"/>
      <c r="AC181" s="224"/>
      <c r="AD181" s="224"/>
      <c r="AE181" s="224"/>
      <c r="AF181" s="224"/>
      <c r="AG181" s="224"/>
      <c r="AH181" s="224"/>
      <c r="AI181" s="224"/>
      <c r="AJ181" s="224"/>
      <c r="AK181" s="224"/>
      <c r="AL181" s="224"/>
      <c r="AM181" s="224"/>
      <c r="AN181" s="224"/>
      <c r="AO181" s="224"/>
      <c r="AP181" s="224"/>
      <c r="AQ181" s="224"/>
      <c r="AR181" s="224"/>
      <c r="AS181" s="224"/>
      <c r="AT181" s="224"/>
      <c r="AU181" s="224"/>
      <c r="AV181" s="224"/>
      <c r="AW181" s="224"/>
      <c r="AX181" s="224"/>
      <c r="AY181" s="224"/>
      <c r="AZ181" s="224"/>
      <c r="BA181" s="224"/>
      <c r="BB181" s="224"/>
      <c r="BC181" s="224"/>
      <c r="BD181" s="224"/>
      <c r="BE181" s="224"/>
      <c r="BF181" s="224"/>
      <c r="BG181" s="224"/>
      <c r="BH181" s="224"/>
      <c r="BI181" s="224"/>
      <c r="BJ181" s="224"/>
      <c r="BK181" s="224"/>
      <c r="BL181" s="224"/>
      <c r="BM181" s="224"/>
      <c r="BN181" s="224"/>
      <c r="BO181" s="224"/>
      <c r="BP181" s="224"/>
      <c r="BQ181" s="224"/>
      <c r="BR181" s="224"/>
      <c r="BS181" s="224"/>
      <c r="BT181" s="224"/>
      <c r="BU181" s="221" t="s">
        <v>1274</v>
      </c>
    </row>
    <row r="182" spans="2:73" ht="41.4" x14ac:dyDescent="0.3">
      <c r="B182" s="129" t="s">
        <v>1156</v>
      </c>
      <c r="C182" s="244">
        <v>179</v>
      </c>
      <c r="D182" s="131" t="s">
        <v>1130</v>
      </c>
      <c r="E182" s="224"/>
      <c r="F182" s="224"/>
      <c r="G182" s="224"/>
      <c r="H182" s="224"/>
      <c r="I182" s="224"/>
      <c r="J182" s="224"/>
      <c r="K182" s="224"/>
      <c r="L182" s="224"/>
      <c r="M182" s="224"/>
      <c r="N182" s="224"/>
      <c r="O182" s="224"/>
      <c r="P182" s="224"/>
      <c r="Q182" s="224"/>
      <c r="R182" s="224"/>
      <c r="S182" s="224"/>
      <c r="T182" s="224"/>
      <c r="U182" s="224"/>
      <c r="V182" s="224"/>
      <c r="W182" s="224"/>
      <c r="X182" s="224"/>
      <c r="Y182" s="224"/>
      <c r="Z182" s="224"/>
      <c r="AA182" s="224"/>
      <c r="AB182" s="224"/>
      <c r="AC182" s="224"/>
      <c r="AD182" s="224"/>
      <c r="AE182" s="224"/>
      <c r="AF182" s="224"/>
      <c r="AG182" s="224"/>
      <c r="AH182" s="224"/>
      <c r="AI182" s="224"/>
      <c r="AJ182" s="224"/>
      <c r="AK182" s="224"/>
      <c r="AL182" s="224"/>
      <c r="AM182" s="224"/>
      <c r="AN182" s="224"/>
      <c r="AO182" s="224"/>
      <c r="AP182" s="224"/>
      <c r="AQ182" s="224"/>
      <c r="AR182" s="224"/>
      <c r="AS182" s="224"/>
      <c r="AT182" s="224"/>
      <c r="AU182" s="224"/>
      <c r="AV182" s="224"/>
      <c r="AW182" s="224"/>
      <c r="AX182" s="224"/>
      <c r="AY182" s="224"/>
      <c r="AZ182" s="224"/>
      <c r="BA182" s="224"/>
      <c r="BB182" s="224"/>
      <c r="BC182" s="224"/>
      <c r="BD182" s="224"/>
      <c r="BE182" s="224"/>
      <c r="BF182" s="224"/>
      <c r="BG182" s="224"/>
      <c r="BH182" s="224"/>
      <c r="BI182" s="224"/>
      <c r="BJ182" s="224"/>
      <c r="BK182" s="224"/>
      <c r="BL182" s="224"/>
      <c r="BM182" s="224"/>
      <c r="BN182" s="224"/>
      <c r="BO182" s="224"/>
      <c r="BP182" s="224"/>
      <c r="BQ182" s="224"/>
      <c r="BR182" s="224"/>
      <c r="BS182" s="224"/>
      <c r="BT182" s="224"/>
      <c r="BU182" s="221" t="s">
        <v>1246</v>
      </c>
    </row>
    <row r="183" spans="2:73" x14ac:dyDescent="0.3">
      <c r="B183" s="129" t="s">
        <v>1156</v>
      </c>
      <c r="C183" s="244">
        <v>180</v>
      </c>
      <c r="D183" s="131" t="s">
        <v>1104</v>
      </c>
      <c r="E183" s="224"/>
      <c r="F183" s="224"/>
      <c r="G183" s="224"/>
      <c r="H183" s="224"/>
      <c r="I183" s="224"/>
      <c r="J183" s="224"/>
      <c r="K183" s="224"/>
      <c r="L183" s="224"/>
      <c r="M183" s="224"/>
      <c r="N183" s="224"/>
      <c r="O183" s="224"/>
      <c r="P183" s="224"/>
      <c r="Q183" s="224"/>
      <c r="R183" s="224"/>
      <c r="S183" s="224"/>
      <c r="T183" s="224"/>
      <c r="U183" s="224"/>
      <c r="V183" s="224"/>
      <c r="W183" s="224"/>
      <c r="X183" s="224"/>
      <c r="Y183" s="224"/>
      <c r="Z183" s="224"/>
      <c r="AA183" s="224"/>
      <c r="AB183" s="224"/>
      <c r="AC183" s="224"/>
      <c r="AD183" s="224"/>
      <c r="AE183" s="224"/>
      <c r="AF183" s="224"/>
      <c r="AG183" s="224"/>
      <c r="AH183" s="224"/>
      <c r="AI183" s="224"/>
      <c r="AJ183" s="224"/>
      <c r="AK183" s="224"/>
      <c r="AL183" s="224"/>
      <c r="AM183" s="224"/>
      <c r="AN183" s="224"/>
      <c r="AO183" s="224"/>
      <c r="AP183" s="224"/>
      <c r="AQ183" s="224"/>
      <c r="AR183" s="224"/>
      <c r="AS183" s="224"/>
      <c r="AT183" s="224"/>
      <c r="AU183" s="224"/>
      <c r="AV183" s="224"/>
      <c r="AW183" s="224"/>
      <c r="AX183" s="224"/>
      <c r="AY183" s="224"/>
      <c r="AZ183" s="224"/>
      <c r="BA183" s="224"/>
      <c r="BB183" s="224"/>
      <c r="BC183" s="224"/>
      <c r="BD183" s="224"/>
      <c r="BE183" s="224"/>
      <c r="BF183" s="224"/>
      <c r="BG183" s="224"/>
      <c r="BH183" s="224"/>
      <c r="BI183" s="224"/>
      <c r="BJ183" s="224"/>
      <c r="BK183" s="224"/>
      <c r="BL183" s="224"/>
      <c r="BM183" s="224"/>
      <c r="BN183" s="224"/>
      <c r="BO183" s="224"/>
      <c r="BP183" s="224"/>
      <c r="BQ183" s="224"/>
      <c r="BR183" s="224"/>
      <c r="BS183" s="224"/>
      <c r="BT183" s="224"/>
      <c r="BU183" s="221" t="s">
        <v>1244</v>
      </c>
    </row>
    <row r="184" spans="2:73" x14ac:dyDescent="0.3">
      <c r="B184" s="129" t="s">
        <v>1156</v>
      </c>
      <c r="C184" s="244">
        <v>181</v>
      </c>
      <c r="D184" s="131" t="s">
        <v>1101</v>
      </c>
      <c r="E184" s="224"/>
      <c r="F184" s="224"/>
      <c r="G184" s="224"/>
      <c r="H184" s="224"/>
      <c r="I184" s="224"/>
      <c r="J184" s="224"/>
      <c r="K184" s="224"/>
      <c r="L184" s="224"/>
      <c r="M184" s="224"/>
      <c r="N184" s="224"/>
      <c r="O184" s="224"/>
      <c r="P184" s="224"/>
      <c r="Q184" s="224"/>
      <c r="R184" s="224"/>
      <c r="S184" s="224"/>
      <c r="T184" s="224"/>
      <c r="U184" s="224"/>
      <c r="V184" s="224"/>
      <c r="W184" s="224"/>
      <c r="X184" s="224"/>
      <c r="Y184" s="224"/>
      <c r="Z184" s="224"/>
      <c r="AA184" s="224"/>
      <c r="AB184" s="224"/>
      <c r="AC184" s="224"/>
      <c r="AD184" s="224"/>
      <c r="AE184" s="224"/>
      <c r="AF184" s="224"/>
      <c r="AG184" s="224"/>
      <c r="AH184" s="224"/>
      <c r="AI184" s="224"/>
      <c r="AJ184" s="224"/>
      <c r="AK184" s="224"/>
      <c r="AL184" s="224"/>
      <c r="AM184" s="224"/>
      <c r="AN184" s="224"/>
      <c r="AO184" s="224"/>
      <c r="AP184" s="224"/>
      <c r="AQ184" s="224"/>
      <c r="AR184" s="224"/>
      <c r="AS184" s="224"/>
      <c r="AT184" s="224"/>
      <c r="AU184" s="224"/>
      <c r="AV184" s="224"/>
      <c r="AW184" s="224"/>
      <c r="AX184" s="224"/>
      <c r="AY184" s="224"/>
      <c r="AZ184" s="224"/>
      <c r="BA184" s="224"/>
      <c r="BB184" s="224"/>
      <c r="BC184" s="224"/>
      <c r="BD184" s="224"/>
      <c r="BE184" s="224"/>
      <c r="BF184" s="224"/>
      <c r="BG184" s="224"/>
      <c r="BH184" s="224"/>
      <c r="BI184" s="224"/>
      <c r="BJ184" s="224"/>
      <c r="BK184" s="224"/>
      <c r="BL184" s="224"/>
      <c r="BM184" s="224"/>
      <c r="BN184" s="224"/>
      <c r="BO184" s="224"/>
      <c r="BP184" s="224"/>
      <c r="BQ184" s="224"/>
      <c r="BR184" s="224"/>
      <c r="BS184" s="224"/>
      <c r="BT184" s="224"/>
      <c r="BU184" s="221" t="s">
        <v>1247</v>
      </c>
    </row>
    <row r="185" spans="2:73" ht="69" x14ac:dyDescent="0.3">
      <c r="B185" s="129" t="s">
        <v>1156</v>
      </c>
      <c r="C185" s="244">
        <v>182</v>
      </c>
      <c r="D185" s="131" t="s">
        <v>1102</v>
      </c>
      <c r="E185" s="224"/>
      <c r="F185" s="224"/>
      <c r="G185" s="224"/>
      <c r="H185" s="224"/>
      <c r="I185" s="224"/>
      <c r="J185" s="224"/>
      <c r="K185" s="224"/>
      <c r="L185" s="224"/>
      <c r="M185" s="224"/>
      <c r="N185" s="224"/>
      <c r="O185" s="224"/>
      <c r="P185" s="224"/>
      <c r="Q185" s="224"/>
      <c r="R185" s="224"/>
      <c r="S185" s="224"/>
      <c r="T185" s="224"/>
      <c r="U185" s="224"/>
      <c r="V185" s="224"/>
      <c r="W185" s="224"/>
      <c r="X185" s="224"/>
      <c r="Y185" s="224"/>
      <c r="Z185" s="224"/>
      <c r="AA185" s="224"/>
      <c r="AB185" s="224"/>
      <c r="AC185" s="224"/>
      <c r="AD185" s="224"/>
      <c r="AE185" s="224"/>
      <c r="AF185" s="224"/>
      <c r="AG185" s="224"/>
      <c r="AH185" s="224"/>
      <c r="AI185" s="224"/>
      <c r="AJ185" s="224"/>
      <c r="AK185" s="224"/>
      <c r="AL185" s="224"/>
      <c r="AM185" s="224"/>
      <c r="AN185" s="224"/>
      <c r="AO185" s="224"/>
      <c r="AP185" s="224"/>
      <c r="AQ185" s="224"/>
      <c r="AR185" s="224"/>
      <c r="AS185" s="224"/>
      <c r="AT185" s="224"/>
      <c r="AU185" s="224"/>
      <c r="AV185" s="224"/>
      <c r="AW185" s="224"/>
      <c r="AX185" s="224"/>
      <c r="AY185" s="224"/>
      <c r="AZ185" s="224"/>
      <c r="BA185" s="224"/>
      <c r="BB185" s="224"/>
      <c r="BC185" s="224"/>
      <c r="BD185" s="224"/>
      <c r="BE185" s="224"/>
      <c r="BF185" s="224"/>
      <c r="BG185" s="224"/>
      <c r="BH185" s="224"/>
      <c r="BI185" s="224"/>
      <c r="BJ185" s="224"/>
      <c r="BK185" s="224"/>
      <c r="BL185" s="224"/>
      <c r="BM185" s="224"/>
      <c r="BN185" s="224"/>
      <c r="BO185" s="224"/>
      <c r="BP185" s="224"/>
      <c r="BQ185" s="224"/>
      <c r="BR185" s="224"/>
      <c r="BS185" s="224"/>
      <c r="BT185" s="224"/>
      <c r="BU185" s="221" t="s">
        <v>1250</v>
      </c>
    </row>
    <row r="186" spans="2:73" ht="27.6" x14ac:dyDescent="0.3">
      <c r="B186" s="129" t="s">
        <v>1156</v>
      </c>
      <c r="C186" s="244">
        <v>183</v>
      </c>
      <c r="D186" s="131" t="s">
        <v>1103</v>
      </c>
      <c r="E186" s="224"/>
      <c r="F186" s="224"/>
      <c r="G186" s="224"/>
      <c r="H186" s="224"/>
      <c r="I186" s="224"/>
      <c r="J186" s="224"/>
      <c r="K186" s="224"/>
      <c r="L186" s="224"/>
      <c r="M186" s="224"/>
      <c r="N186" s="224"/>
      <c r="O186" s="224"/>
      <c r="P186" s="224"/>
      <c r="Q186" s="224"/>
      <c r="R186" s="224"/>
      <c r="S186" s="224"/>
      <c r="T186" s="224"/>
      <c r="U186" s="224"/>
      <c r="V186" s="224"/>
      <c r="W186" s="224"/>
      <c r="X186" s="224"/>
      <c r="Y186" s="224"/>
      <c r="Z186" s="224"/>
      <c r="AA186" s="224"/>
      <c r="AB186" s="224"/>
      <c r="AC186" s="224"/>
      <c r="AD186" s="224"/>
      <c r="AE186" s="224"/>
      <c r="AF186" s="224"/>
      <c r="AG186" s="224"/>
      <c r="AH186" s="224"/>
      <c r="AI186" s="224"/>
      <c r="AJ186" s="224"/>
      <c r="AK186" s="224"/>
      <c r="AL186" s="224"/>
      <c r="AM186" s="224"/>
      <c r="AN186" s="224"/>
      <c r="AO186" s="224"/>
      <c r="AP186" s="224"/>
      <c r="AQ186" s="224"/>
      <c r="AR186" s="224"/>
      <c r="AS186" s="224"/>
      <c r="AT186" s="224"/>
      <c r="AU186" s="224"/>
      <c r="AV186" s="224"/>
      <c r="AW186" s="224"/>
      <c r="AX186" s="224"/>
      <c r="AY186" s="224"/>
      <c r="AZ186" s="224"/>
      <c r="BA186" s="224"/>
      <c r="BB186" s="224"/>
      <c r="BC186" s="224"/>
      <c r="BD186" s="224"/>
      <c r="BE186" s="224"/>
      <c r="BF186" s="224"/>
      <c r="BG186" s="224"/>
      <c r="BH186" s="224"/>
      <c r="BI186" s="224"/>
      <c r="BJ186" s="224"/>
      <c r="BK186" s="224"/>
      <c r="BL186" s="224"/>
      <c r="BM186" s="224"/>
      <c r="BN186" s="224"/>
      <c r="BO186" s="224"/>
      <c r="BP186" s="224"/>
      <c r="BQ186" s="224"/>
      <c r="BR186" s="224"/>
      <c r="BS186" s="224"/>
      <c r="BT186" s="224"/>
      <c r="BU186" s="221" t="s">
        <v>1251</v>
      </c>
    </row>
    <row r="187" spans="2:73" x14ac:dyDescent="0.3">
      <c r="B187" s="267" t="s">
        <v>1156</v>
      </c>
      <c r="C187" s="244">
        <v>184</v>
      </c>
      <c r="D187" s="245" t="s">
        <v>845</v>
      </c>
      <c r="E187" s="224"/>
      <c r="F187" s="224"/>
      <c r="G187" s="224"/>
      <c r="H187" s="224"/>
      <c r="I187" s="224"/>
      <c r="J187" s="224"/>
      <c r="K187" s="224"/>
      <c r="L187" s="224"/>
      <c r="M187" s="224"/>
      <c r="N187" s="224"/>
      <c r="O187" s="224"/>
      <c r="P187" s="224"/>
      <c r="Q187" s="224"/>
      <c r="R187" s="224"/>
      <c r="S187" s="224"/>
      <c r="T187" s="224"/>
      <c r="U187" s="224"/>
      <c r="V187" s="224"/>
      <c r="W187" s="224"/>
      <c r="X187" s="224"/>
      <c r="Y187" s="224"/>
      <c r="Z187" s="224"/>
      <c r="AA187" s="224"/>
      <c r="AB187" s="224"/>
      <c r="AC187" s="224"/>
      <c r="AD187" s="224"/>
      <c r="AE187" s="224"/>
      <c r="AF187" s="224"/>
      <c r="AG187" s="224"/>
      <c r="AH187" s="224"/>
      <c r="AI187" s="224"/>
      <c r="AJ187" s="224"/>
      <c r="AK187" s="224"/>
      <c r="AL187" s="224"/>
      <c r="AM187" s="224"/>
      <c r="AN187" s="224"/>
      <c r="AO187" s="224"/>
      <c r="AP187" s="224"/>
      <c r="AQ187" s="224"/>
      <c r="AR187" s="224"/>
      <c r="AS187" s="224"/>
      <c r="AT187" s="224"/>
      <c r="AU187" s="224"/>
      <c r="AV187" s="224"/>
      <c r="AW187" s="224"/>
      <c r="AX187" s="224"/>
      <c r="AY187" s="224"/>
      <c r="AZ187" s="224"/>
      <c r="BA187" s="224"/>
      <c r="BB187" s="224"/>
      <c r="BC187" s="224"/>
      <c r="BD187" s="224"/>
      <c r="BE187" s="224"/>
      <c r="BF187" s="224"/>
      <c r="BG187" s="224"/>
      <c r="BH187" s="224"/>
      <c r="BI187" s="224"/>
      <c r="BJ187" s="224"/>
      <c r="BK187" s="224"/>
      <c r="BL187" s="224"/>
      <c r="BM187" s="224"/>
      <c r="BN187" s="224"/>
      <c r="BO187" s="224"/>
      <c r="BP187" s="224"/>
      <c r="BQ187" s="224"/>
      <c r="BR187" s="224"/>
      <c r="BS187" s="224"/>
      <c r="BT187" s="224"/>
      <c r="BU187" s="246"/>
    </row>
    <row r="188" spans="2:73" ht="69" x14ac:dyDescent="0.3">
      <c r="B188" s="129" t="s">
        <v>1156</v>
      </c>
      <c r="C188" s="244">
        <v>185</v>
      </c>
      <c r="D188" s="131" t="s">
        <v>1106</v>
      </c>
      <c r="E188" s="224"/>
      <c r="F188" s="224"/>
      <c r="G188" s="224"/>
      <c r="H188" s="224"/>
      <c r="I188" s="224"/>
      <c r="J188" s="224"/>
      <c r="K188" s="224"/>
      <c r="L188" s="224"/>
      <c r="M188" s="224"/>
      <c r="N188" s="224"/>
      <c r="O188" s="224"/>
      <c r="P188" s="224"/>
      <c r="Q188" s="224"/>
      <c r="R188" s="224"/>
      <c r="S188" s="224"/>
      <c r="T188" s="224"/>
      <c r="U188" s="224"/>
      <c r="V188" s="224"/>
      <c r="W188" s="224"/>
      <c r="X188" s="224"/>
      <c r="Y188" s="224"/>
      <c r="Z188" s="224"/>
      <c r="AA188" s="224"/>
      <c r="AB188" s="224"/>
      <c r="AC188" s="224"/>
      <c r="AD188" s="224"/>
      <c r="AE188" s="224"/>
      <c r="AF188" s="224"/>
      <c r="AG188" s="224"/>
      <c r="AH188" s="224"/>
      <c r="AI188" s="224"/>
      <c r="AJ188" s="224"/>
      <c r="AK188" s="224"/>
      <c r="AL188" s="224"/>
      <c r="AM188" s="224"/>
      <c r="AN188" s="224"/>
      <c r="AO188" s="224"/>
      <c r="AP188" s="224"/>
      <c r="AQ188" s="224"/>
      <c r="AR188" s="224"/>
      <c r="AS188" s="224"/>
      <c r="AT188" s="224"/>
      <c r="AU188" s="224"/>
      <c r="AV188" s="224"/>
      <c r="AW188" s="224"/>
      <c r="AX188" s="224"/>
      <c r="AY188" s="224"/>
      <c r="AZ188" s="224"/>
      <c r="BA188" s="224"/>
      <c r="BB188" s="224"/>
      <c r="BC188" s="224"/>
      <c r="BD188" s="224"/>
      <c r="BE188" s="224"/>
      <c r="BF188" s="224"/>
      <c r="BG188" s="224"/>
      <c r="BH188" s="224"/>
      <c r="BI188" s="224"/>
      <c r="BJ188" s="224"/>
      <c r="BK188" s="224"/>
      <c r="BL188" s="224"/>
      <c r="BM188" s="224"/>
      <c r="BN188" s="224"/>
      <c r="BO188" s="224"/>
      <c r="BP188" s="224"/>
      <c r="BQ188" s="224"/>
      <c r="BR188" s="224"/>
      <c r="BS188" s="224"/>
      <c r="BT188" s="224"/>
      <c r="BU188" s="221" t="s">
        <v>1252</v>
      </c>
    </row>
    <row r="189" spans="2:73" ht="69" x14ac:dyDescent="0.3">
      <c r="B189" s="129" t="s">
        <v>1156</v>
      </c>
      <c r="C189" s="244">
        <v>186</v>
      </c>
      <c r="D189" s="131" t="s">
        <v>1108</v>
      </c>
      <c r="E189" s="224"/>
      <c r="F189" s="224"/>
      <c r="G189" s="224"/>
      <c r="H189" s="224"/>
      <c r="I189" s="224"/>
      <c r="J189" s="224"/>
      <c r="K189" s="224"/>
      <c r="L189" s="224"/>
      <c r="M189" s="224"/>
      <c r="N189" s="224"/>
      <c r="O189" s="224"/>
      <c r="P189" s="224"/>
      <c r="Q189" s="224"/>
      <c r="R189" s="224"/>
      <c r="S189" s="224"/>
      <c r="T189" s="224"/>
      <c r="U189" s="224"/>
      <c r="V189" s="224"/>
      <c r="W189" s="224"/>
      <c r="X189" s="224"/>
      <c r="Y189" s="224"/>
      <c r="Z189" s="224"/>
      <c r="AA189" s="224"/>
      <c r="AB189" s="224"/>
      <c r="AC189" s="224"/>
      <c r="AD189" s="224"/>
      <c r="AE189" s="224"/>
      <c r="AF189" s="224"/>
      <c r="AG189" s="224"/>
      <c r="AH189" s="224"/>
      <c r="AI189" s="224"/>
      <c r="AJ189" s="224"/>
      <c r="AK189" s="224"/>
      <c r="AL189" s="224"/>
      <c r="AM189" s="224"/>
      <c r="AN189" s="224"/>
      <c r="AO189" s="224"/>
      <c r="AP189" s="224"/>
      <c r="AQ189" s="224"/>
      <c r="AR189" s="224"/>
      <c r="AS189" s="224"/>
      <c r="AT189" s="224"/>
      <c r="AU189" s="224"/>
      <c r="AV189" s="224"/>
      <c r="AW189" s="224"/>
      <c r="AX189" s="224"/>
      <c r="AY189" s="224"/>
      <c r="AZ189" s="224"/>
      <c r="BA189" s="224"/>
      <c r="BB189" s="224"/>
      <c r="BC189" s="224"/>
      <c r="BD189" s="224"/>
      <c r="BE189" s="224"/>
      <c r="BF189" s="224"/>
      <c r="BG189" s="224"/>
      <c r="BH189" s="224"/>
      <c r="BI189" s="224"/>
      <c r="BJ189" s="224"/>
      <c r="BK189" s="224"/>
      <c r="BL189" s="224"/>
      <c r="BM189" s="224"/>
      <c r="BN189" s="224"/>
      <c r="BO189" s="224"/>
      <c r="BP189" s="224"/>
      <c r="BQ189" s="224"/>
      <c r="BR189" s="224"/>
      <c r="BS189" s="224"/>
      <c r="BT189" s="224"/>
      <c r="BU189" s="221" t="s">
        <v>1252</v>
      </c>
    </row>
    <row r="190" spans="2:73" x14ac:dyDescent="0.3">
      <c r="B190" s="267" t="s">
        <v>1156</v>
      </c>
      <c r="C190" s="244">
        <v>187</v>
      </c>
      <c r="D190" s="245" t="s">
        <v>845</v>
      </c>
      <c r="E190" s="224"/>
      <c r="F190" s="224"/>
      <c r="G190" s="224"/>
      <c r="H190" s="224"/>
      <c r="I190" s="224"/>
      <c r="J190" s="224"/>
      <c r="K190" s="224"/>
      <c r="L190" s="224"/>
      <c r="M190" s="224"/>
      <c r="N190" s="224"/>
      <c r="O190" s="224"/>
      <c r="P190" s="224"/>
      <c r="Q190" s="224"/>
      <c r="R190" s="224"/>
      <c r="S190" s="224"/>
      <c r="T190" s="224"/>
      <c r="U190" s="224"/>
      <c r="V190" s="224"/>
      <c r="W190" s="224"/>
      <c r="X190" s="224"/>
      <c r="Y190" s="224"/>
      <c r="Z190" s="224"/>
      <c r="AA190" s="224"/>
      <c r="AB190" s="224"/>
      <c r="AC190" s="224"/>
      <c r="AD190" s="224"/>
      <c r="AE190" s="224"/>
      <c r="AF190" s="224"/>
      <c r="AG190" s="224"/>
      <c r="AH190" s="224"/>
      <c r="AI190" s="224"/>
      <c r="AJ190" s="224"/>
      <c r="AK190" s="224"/>
      <c r="AL190" s="224"/>
      <c r="AM190" s="224"/>
      <c r="AN190" s="224"/>
      <c r="AO190" s="224"/>
      <c r="AP190" s="224"/>
      <c r="AQ190" s="224"/>
      <c r="AR190" s="224"/>
      <c r="AS190" s="224"/>
      <c r="AT190" s="224"/>
      <c r="AU190" s="224"/>
      <c r="AV190" s="224"/>
      <c r="AW190" s="224"/>
      <c r="AX190" s="224"/>
      <c r="AY190" s="224"/>
      <c r="AZ190" s="224"/>
      <c r="BA190" s="224"/>
      <c r="BB190" s="224"/>
      <c r="BC190" s="224"/>
      <c r="BD190" s="224"/>
      <c r="BE190" s="224"/>
      <c r="BF190" s="224"/>
      <c r="BG190" s="224"/>
      <c r="BH190" s="224"/>
      <c r="BI190" s="224"/>
      <c r="BJ190" s="224"/>
      <c r="BK190" s="224"/>
      <c r="BL190" s="224"/>
      <c r="BM190" s="224"/>
      <c r="BN190" s="224"/>
      <c r="BO190" s="224"/>
      <c r="BP190" s="224"/>
      <c r="BQ190" s="224"/>
      <c r="BR190" s="224"/>
      <c r="BS190" s="224"/>
      <c r="BT190" s="224"/>
      <c r="BU190" s="246"/>
    </row>
    <row r="191" spans="2:73" ht="69" x14ac:dyDescent="0.3">
      <c r="B191" s="129" t="s">
        <v>1156</v>
      </c>
      <c r="C191" s="244">
        <v>188</v>
      </c>
      <c r="D191" s="131" t="s">
        <v>1127</v>
      </c>
      <c r="E191" s="224"/>
      <c r="F191" s="224"/>
      <c r="G191" s="224"/>
      <c r="H191" s="224"/>
      <c r="I191" s="224"/>
      <c r="J191" s="224"/>
      <c r="K191" s="224"/>
      <c r="L191" s="224"/>
      <c r="M191" s="224"/>
      <c r="N191" s="224"/>
      <c r="O191" s="224"/>
      <c r="P191" s="224"/>
      <c r="Q191" s="224"/>
      <c r="R191" s="224"/>
      <c r="S191" s="224"/>
      <c r="T191" s="224"/>
      <c r="U191" s="224"/>
      <c r="V191" s="224"/>
      <c r="W191" s="224"/>
      <c r="X191" s="224"/>
      <c r="Y191" s="224"/>
      <c r="Z191" s="224"/>
      <c r="AA191" s="224"/>
      <c r="AB191" s="224"/>
      <c r="AC191" s="224"/>
      <c r="AD191" s="224"/>
      <c r="AE191" s="224"/>
      <c r="AF191" s="224"/>
      <c r="AG191" s="224"/>
      <c r="AH191" s="224"/>
      <c r="AI191" s="224"/>
      <c r="AJ191" s="224"/>
      <c r="AK191" s="224"/>
      <c r="AL191" s="224"/>
      <c r="AM191" s="224"/>
      <c r="AN191" s="224"/>
      <c r="AO191" s="224"/>
      <c r="AP191" s="224"/>
      <c r="AQ191" s="224"/>
      <c r="AR191" s="224"/>
      <c r="AS191" s="224"/>
      <c r="AT191" s="224"/>
      <c r="AU191" s="224"/>
      <c r="AV191" s="224"/>
      <c r="AW191" s="224"/>
      <c r="AX191" s="224"/>
      <c r="AY191" s="224"/>
      <c r="AZ191" s="224"/>
      <c r="BA191" s="224"/>
      <c r="BB191" s="224"/>
      <c r="BC191" s="224"/>
      <c r="BD191" s="224"/>
      <c r="BE191" s="224"/>
      <c r="BF191" s="224"/>
      <c r="BG191" s="224"/>
      <c r="BH191" s="224"/>
      <c r="BI191" s="224"/>
      <c r="BJ191" s="224"/>
      <c r="BK191" s="224"/>
      <c r="BL191" s="224"/>
      <c r="BM191" s="224"/>
      <c r="BN191" s="224"/>
      <c r="BO191" s="224"/>
      <c r="BP191" s="224"/>
      <c r="BQ191" s="224"/>
      <c r="BR191" s="224"/>
      <c r="BS191" s="224"/>
      <c r="BT191" s="224"/>
      <c r="BU191" s="221" t="s">
        <v>1253</v>
      </c>
    </row>
    <row r="192" spans="2:73" ht="55.2" x14ac:dyDescent="0.3">
      <c r="B192" s="129" t="s">
        <v>1156</v>
      </c>
      <c r="C192" s="244">
        <v>189</v>
      </c>
      <c r="D192" s="131" t="s">
        <v>1131</v>
      </c>
      <c r="E192" s="224"/>
      <c r="F192" s="224"/>
      <c r="G192" s="224"/>
      <c r="H192" s="224"/>
      <c r="I192" s="224"/>
      <c r="J192" s="224"/>
      <c r="K192" s="224"/>
      <c r="L192" s="224"/>
      <c r="M192" s="224"/>
      <c r="N192" s="224"/>
      <c r="O192" s="224"/>
      <c r="P192" s="224"/>
      <c r="Q192" s="224"/>
      <c r="R192" s="224"/>
      <c r="S192" s="224"/>
      <c r="T192" s="224"/>
      <c r="U192" s="224"/>
      <c r="V192" s="224"/>
      <c r="W192" s="224"/>
      <c r="X192" s="224"/>
      <c r="Y192" s="224"/>
      <c r="Z192" s="224"/>
      <c r="AA192" s="224"/>
      <c r="AB192" s="224"/>
      <c r="AC192" s="224"/>
      <c r="AD192" s="224"/>
      <c r="AE192" s="224"/>
      <c r="AF192" s="224"/>
      <c r="AG192" s="224"/>
      <c r="AH192" s="224"/>
      <c r="AI192" s="224"/>
      <c r="AJ192" s="224"/>
      <c r="AK192" s="224"/>
      <c r="AL192" s="224"/>
      <c r="AM192" s="224"/>
      <c r="AN192" s="224"/>
      <c r="AO192" s="224"/>
      <c r="AP192" s="224"/>
      <c r="AQ192" s="224"/>
      <c r="AR192" s="224"/>
      <c r="AS192" s="224"/>
      <c r="AT192" s="224"/>
      <c r="AU192" s="224"/>
      <c r="AV192" s="224"/>
      <c r="AW192" s="224"/>
      <c r="AX192" s="224"/>
      <c r="AY192" s="224"/>
      <c r="AZ192" s="224"/>
      <c r="BA192" s="224"/>
      <c r="BB192" s="224"/>
      <c r="BC192" s="224"/>
      <c r="BD192" s="224"/>
      <c r="BE192" s="224"/>
      <c r="BF192" s="224"/>
      <c r="BG192" s="224"/>
      <c r="BH192" s="224"/>
      <c r="BI192" s="224"/>
      <c r="BJ192" s="224"/>
      <c r="BK192" s="224"/>
      <c r="BL192" s="224"/>
      <c r="BM192" s="224"/>
      <c r="BN192" s="224"/>
      <c r="BO192" s="224"/>
      <c r="BP192" s="224"/>
      <c r="BQ192" s="224"/>
      <c r="BR192" s="224"/>
      <c r="BS192" s="224"/>
      <c r="BT192" s="224"/>
      <c r="BU192" s="221" t="s">
        <v>1254</v>
      </c>
    </row>
    <row r="193" spans="2:73" ht="55.2" x14ac:dyDescent="0.3">
      <c r="B193" s="129" t="s">
        <v>1156</v>
      </c>
      <c r="C193" s="244">
        <v>190</v>
      </c>
      <c r="D193" s="131" t="s">
        <v>1128</v>
      </c>
      <c r="E193" s="224"/>
      <c r="F193" s="224"/>
      <c r="G193" s="224"/>
      <c r="H193" s="224"/>
      <c r="I193" s="224"/>
      <c r="J193" s="224"/>
      <c r="K193" s="224"/>
      <c r="L193" s="224"/>
      <c r="M193" s="224"/>
      <c r="N193" s="224"/>
      <c r="O193" s="224"/>
      <c r="P193" s="224"/>
      <c r="Q193" s="224"/>
      <c r="R193" s="224"/>
      <c r="S193" s="224"/>
      <c r="T193" s="224"/>
      <c r="U193" s="224"/>
      <c r="V193" s="224"/>
      <c r="W193" s="224"/>
      <c r="X193" s="224"/>
      <c r="Y193" s="224"/>
      <c r="Z193" s="224"/>
      <c r="AA193" s="224"/>
      <c r="AB193" s="224"/>
      <c r="AC193" s="224"/>
      <c r="AD193" s="224"/>
      <c r="AE193" s="224"/>
      <c r="AF193" s="224"/>
      <c r="AG193" s="224"/>
      <c r="AH193" s="224"/>
      <c r="AI193" s="224"/>
      <c r="AJ193" s="224"/>
      <c r="AK193" s="224"/>
      <c r="AL193" s="224"/>
      <c r="AM193" s="224"/>
      <c r="AN193" s="224"/>
      <c r="AO193" s="224"/>
      <c r="AP193" s="224"/>
      <c r="AQ193" s="224"/>
      <c r="AR193" s="224"/>
      <c r="AS193" s="224"/>
      <c r="AT193" s="224"/>
      <c r="AU193" s="224"/>
      <c r="AV193" s="224"/>
      <c r="AW193" s="224"/>
      <c r="AX193" s="224"/>
      <c r="AY193" s="224"/>
      <c r="AZ193" s="224"/>
      <c r="BA193" s="224"/>
      <c r="BB193" s="224"/>
      <c r="BC193" s="224"/>
      <c r="BD193" s="224"/>
      <c r="BE193" s="224"/>
      <c r="BF193" s="224"/>
      <c r="BG193" s="224"/>
      <c r="BH193" s="224"/>
      <c r="BI193" s="224"/>
      <c r="BJ193" s="224"/>
      <c r="BK193" s="224"/>
      <c r="BL193" s="224"/>
      <c r="BM193" s="224"/>
      <c r="BN193" s="224"/>
      <c r="BO193" s="224"/>
      <c r="BP193" s="224"/>
      <c r="BQ193" s="224"/>
      <c r="BR193" s="224"/>
      <c r="BS193" s="224"/>
      <c r="BT193" s="224"/>
      <c r="BU193" s="221" t="s">
        <v>1254</v>
      </c>
    </row>
    <row r="194" spans="2:73" ht="55.2" x14ac:dyDescent="0.3">
      <c r="B194" s="129" t="s">
        <v>1156</v>
      </c>
      <c r="C194" s="244">
        <v>191</v>
      </c>
      <c r="D194" s="131" t="s">
        <v>1114</v>
      </c>
      <c r="E194" s="224"/>
      <c r="F194" s="224"/>
      <c r="G194" s="224"/>
      <c r="H194" s="224"/>
      <c r="I194" s="224"/>
      <c r="J194" s="224"/>
      <c r="K194" s="224"/>
      <c r="L194" s="224"/>
      <c r="M194" s="224"/>
      <c r="N194" s="224"/>
      <c r="O194" s="224"/>
      <c r="P194" s="224"/>
      <c r="Q194" s="224"/>
      <c r="R194" s="224"/>
      <c r="S194" s="224"/>
      <c r="T194" s="224"/>
      <c r="U194" s="224"/>
      <c r="V194" s="224"/>
      <c r="W194" s="224"/>
      <c r="X194" s="224"/>
      <c r="Y194" s="224"/>
      <c r="Z194" s="224"/>
      <c r="AA194" s="224"/>
      <c r="AB194" s="224"/>
      <c r="AC194" s="224"/>
      <c r="AD194" s="224"/>
      <c r="AE194" s="224"/>
      <c r="AF194" s="224"/>
      <c r="AG194" s="224"/>
      <c r="AH194" s="224"/>
      <c r="AI194" s="224"/>
      <c r="AJ194" s="224"/>
      <c r="AK194" s="224"/>
      <c r="AL194" s="224"/>
      <c r="AM194" s="224"/>
      <c r="AN194" s="224"/>
      <c r="AO194" s="224"/>
      <c r="AP194" s="224"/>
      <c r="AQ194" s="224"/>
      <c r="AR194" s="224"/>
      <c r="AS194" s="224"/>
      <c r="AT194" s="224"/>
      <c r="AU194" s="224"/>
      <c r="AV194" s="224"/>
      <c r="AW194" s="224"/>
      <c r="AX194" s="224"/>
      <c r="AY194" s="224"/>
      <c r="AZ194" s="224"/>
      <c r="BA194" s="224"/>
      <c r="BB194" s="224"/>
      <c r="BC194" s="224"/>
      <c r="BD194" s="224"/>
      <c r="BE194" s="224"/>
      <c r="BF194" s="224"/>
      <c r="BG194" s="224"/>
      <c r="BH194" s="224"/>
      <c r="BI194" s="224"/>
      <c r="BJ194" s="224"/>
      <c r="BK194" s="224"/>
      <c r="BL194" s="224"/>
      <c r="BM194" s="224"/>
      <c r="BN194" s="224"/>
      <c r="BO194" s="224"/>
      <c r="BP194" s="224"/>
      <c r="BQ194" s="224"/>
      <c r="BR194" s="224"/>
      <c r="BS194" s="224"/>
      <c r="BT194" s="224"/>
      <c r="BU194" s="221" t="s">
        <v>1254</v>
      </c>
    </row>
    <row r="195" spans="2:73" x14ac:dyDescent="0.3">
      <c r="B195" s="267" t="s">
        <v>1156</v>
      </c>
      <c r="C195" s="244">
        <v>192</v>
      </c>
      <c r="D195" s="245" t="s">
        <v>845</v>
      </c>
      <c r="E195" s="224"/>
      <c r="F195" s="224"/>
      <c r="G195" s="224"/>
      <c r="H195" s="224"/>
      <c r="I195" s="224"/>
      <c r="J195" s="224"/>
      <c r="K195" s="224"/>
      <c r="L195" s="224"/>
      <c r="M195" s="224"/>
      <c r="N195" s="224"/>
      <c r="O195" s="224"/>
      <c r="P195" s="224"/>
      <c r="Q195" s="224"/>
      <c r="R195" s="224"/>
      <c r="S195" s="224"/>
      <c r="T195" s="224"/>
      <c r="U195" s="224"/>
      <c r="V195" s="224"/>
      <c r="W195" s="224"/>
      <c r="X195" s="224"/>
      <c r="Y195" s="224"/>
      <c r="Z195" s="224"/>
      <c r="AA195" s="224"/>
      <c r="AB195" s="224"/>
      <c r="AC195" s="224"/>
      <c r="AD195" s="224"/>
      <c r="AE195" s="224"/>
      <c r="AF195" s="224"/>
      <c r="AG195" s="224"/>
      <c r="AH195" s="224"/>
      <c r="AI195" s="224"/>
      <c r="AJ195" s="224"/>
      <c r="AK195" s="224"/>
      <c r="AL195" s="224"/>
      <c r="AM195" s="224"/>
      <c r="AN195" s="224"/>
      <c r="AO195" s="224"/>
      <c r="AP195" s="224"/>
      <c r="AQ195" s="224"/>
      <c r="AR195" s="224"/>
      <c r="AS195" s="224"/>
      <c r="AT195" s="224"/>
      <c r="AU195" s="224"/>
      <c r="AV195" s="224"/>
      <c r="AW195" s="224"/>
      <c r="AX195" s="224"/>
      <c r="AY195" s="224"/>
      <c r="AZ195" s="224"/>
      <c r="BA195" s="224"/>
      <c r="BB195" s="224"/>
      <c r="BC195" s="224"/>
      <c r="BD195" s="224"/>
      <c r="BE195" s="224"/>
      <c r="BF195" s="224"/>
      <c r="BG195" s="224"/>
      <c r="BH195" s="224"/>
      <c r="BI195" s="224"/>
      <c r="BJ195" s="224"/>
      <c r="BK195" s="224"/>
      <c r="BL195" s="224"/>
      <c r="BM195" s="224"/>
      <c r="BN195" s="224"/>
      <c r="BO195" s="224"/>
      <c r="BP195" s="224"/>
      <c r="BQ195" s="224"/>
      <c r="BR195" s="224"/>
      <c r="BS195" s="224"/>
      <c r="BT195" s="224"/>
      <c r="BU195" s="246"/>
    </row>
    <row r="196" spans="2:73" ht="82.8" x14ac:dyDescent="0.3">
      <c r="B196" s="129" t="s">
        <v>1156</v>
      </c>
      <c r="C196" s="244">
        <v>193</v>
      </c>
      <c r="D196" s="131" t="s">
        <v>1173</v>
      </c>
      <c r="E196" s="224"/>
      <c r="F196" s="224"/>
      <c r="G196" s="224"/>
      <c r="H196" s="224"/>
      <c r="I196" s="224"/>
      <c r="J196" s="224"/>
      <c r="K196" s="224"/>
      <c r="L196" s="224"/>
      <c r="M196" s="224"/>
      <c r="N196" s="224"/>
      <c r="O196" s="224"/>
      <c r="P196" s="224"/>
      <c r="Q196" s="224"/>
      <c r="R196" s="224"/>
      <c r="S196" s="224"/>
      <c r="T196" s="224"/>
      <c r="U196" s="224"/>
      <c r="V196" s="224"/>
      <c r="W196" s="224"/>
      <c r="X196" s="224"/>
      <c r="Y196" s="224"/>
      <c r="Z196" s="224"/>
      <c r="AA196" s="224"/>
      <c r="AB196" s="224"/>
      <c r="AC196" s="224"/>
      <c r="AD196" s="224"/>
      <c r="AE196" s="224"/>
      <c r="AF196" s="224"/>
      <c r="AG196" s="224"/>
      <c r="AH196" s="224"/>
      <c r="AI196" s="224"/>
      <c r="AJ196" s="224"/>
      <c r="AK196" s="224"/>
      <c r="AL196" s="224"/>
      <c r="AM196" s="224"/>
      <c r="AN196" s="224"/>
      <c r="AO196" s="224"/>
      <c r="AP196" s="224"/>
      <c r="AQ196" s="224"/>
      <c r="AR196" s="224"/>
      <c r="AS196" s="224"/>
      <c r="AT196" s="224"/>
      <c r="AU196" s="224"/>
      <c r="AV196" s="224"/>
      <c r="AW196" s="224"/>
      <c r="AX196" s="224"/>
      <c r="AY196" s="224"/>
      <c r="AZ196" s="224"/>
      <c r="BA196" s="224"/>
      <c r="BB196" s="224"/>
      <c r="BC196" s="224"/>
      <c r="BD196" s="224"/>
      <c r="BE196" s="224"/>
      <c r="BF196" s="224"/>
      <c r="BG196" s="224"/>
      <c r="BH196" s="224"/>
      <c r="BI196" s="224"/>
      <c r="BJ196" s="224"/>
      <c r="BK196" s="224"/>
      <c r="BL196" s="224"/>
      <c r="BM196" s="224"/>
      <c r="BN196" s="224"/>
      <c r="BO196" s="224"/>
      <c r="BP196" s="224"/>
      <c r="BQ196" s="224"/>
      <c r="BR196" s="224"/>
      <c r="BS196" s="224"/>
      <c r="BT196" s="224"/>
      <c r="BU196" s="221" t="s">
        <v>1235</v>
      </c>
    </row>
    <row r="197" spans="2:73" ht="55.2" x14ac:dyDescent="0.3">
      <c r="B197" s="129" t="s">
        <v>1156</v>
      </c>
      <c r="C197" s="244">
        <v>194</v>
      </c>
      <c r="D197" s="131" t="s">
        <v>1174</v>
      </c>
      <c r="E197" s="224"/>
      <c r="F197" s="224"/>
      <c r="G197" s="224"/>
      <c r="H197" s="224"/>
      <c r="I197" s="224"/>
      <c r="J197" s="224"/>
      <c r="K197" s="224"/>
      <c r="L197" s="224"/>
      <c r="M197" s="224"/>
      <c r="N197" s="224"/>
      <c r="O197" s="224"/>
      <c r="P197" s="224"/>
      <c r="Q197" s="224"/>
      <c r="R197" s="224"/>
      <c r="S197" s="224"/>
      <c r="T197" s="224"/>
      <c r="U197" s="224"/>
      <c r="V197" s="224"/>
      <c r="W197" s="224"/>
      <c r="X197" s="224"/>
      <c r="Y197" s="224"/>
      <c r="Z197" s="224"/>
      <c r="AA197" s="224"/>
      <c r="AB197" s="224"/>
      <c r="AC197" s="224"/>
      <c r="AD197" s="224"/>
      <c r="AE197" s="224"/>
      <c r="AF197" s="224"/>
      <c r="AG197" s="224"/>
      <c r="AH197" s="224"/>
      <c r="AI197" s="224"/>
      <c r="AJ197" s="224"/>
      <c r="AK197" s="224"/>
      <c r="AL197" s="224"/>
      <c r="AM197" s="224"/>
      <c r="AN197" s="224"/>
      <c r="AO197" s="224"/>
      <c r="AP197" s="224"/>
      <c r="AQ197" s="224"/>
      <c r="AR197" s="224"/>
      <c r="AS197" s="224"/>
      <c r="AT197" s="224"/>
      <c r="AU197" s="224"/>
      <c r="AV197" s="224"/>
      <c r="AW197" s="224"/>
      <c r="AX197" s="224"/>
      <c r="AY197" s="224"/>
      <c r="AZ197" s="224"/>
      <c r="BA197" s="224"/>
      <c r="BB197" s="224"/>
      <c r="BC197" s="224"/>
      <c r="BD197" s="224"/>
      <c r="BE197" s="224"/>
      <c r="BF197" s="224"/>
      <c r="BG197" s="224"/>
      <c r="BH197" s="224"/>
      <c r="BI197" s="224"/>
      <c r="BJ197" s="224"/>
      <c r="BK197" s="224"/>
      <c r="BL197" s="224"/>
      <c r="BM197" s="224"/>
      <c r="BN197" s="224"/>
      <c r="BO197" s="224"/>
      <c r="BP197" s="224"/>
      <c r="BQ197" s="224"/>
      <c r="BR197" s="224"/>
      <c r="BS197" s="224"/>
      <c r="BT197" s="224"/>
      <c r="BU197" s="221" t="s">
        <v>1235</v>
      </c>
    </row>
    <row r="198" spans="2:73" x14ac:dyDescent="0.3">
      <c r="B198" s="129" t="s">
        <v>1156</v>
      </c>
      <c r="C198" s="244">
        <v>195</v>
      </c>
      <c r="D198" s="131" t="s">
        <v>1175</v>
      </c>
      <c r="E198" s="224"/>
      <c r="F198" s="224"/>
      <c r="G198" s="224"/>
      <c r="H198" s="224"/>
      <c r="I198" s="224"/>
      <c r="J198" s="224"/>
      <c r="K198" s="224"/>
      <c r="L198" s="224"/>
      <c r="M198" s="224"/>
      <c r="N198" s="224"/>
      <c r="O198" s="224"/>
      <c r="P198" s="224"/>
      <c r="Q198" s="224"/>
      <c r="R198" s="224"/>
      <c r="S198" s="224"/>
      <c r="T198" s="224"/>
      <c r="U198" s="224"/>
      <c r="V198" s="224"/>
      <c r="W198" s="224"/>
      <c r="X198" s="224"/>
      <c r="Y198" s="224"/>
      <c r="Z198" s="224"/>
      <c r="AA198" s="224"/>
      <c r="AB198" s="224"/>
      <c r="AC198" s="224"/>
      <c r="AD198" s="224"/>
      <c r="AE198" s="224"/>
      <c r="AF198" s="224"/>
      <c r="AG198" s="224"/>
      <c r="AH198" s="224"/>
      <c r="AI198" s="224"/>
      <c r="AJ198" s="224"/>
      <c r="AK198" s="224"/>
      <c r="AL198" s="224"/>
      <c r="AM198" s="224"/>
      <c r="AN198" s="224"/>
      <c r="AO198" s="224"/>
      <c r="AP198" s="224"/>
      <c r="AQ198" s="224"/>
      <c r="AR198" s="224"/>
      <c r="AS198" s="224"/>
      <c r="AT198" s="224"/>
      <c r="AU198" s="224"/>
      <c r="AV198" s="224"/>
      <c r="AW198" s="224"/>
      <c r="AX198" s="224"/>
      <c r="AY198" s="224"/>
      <c r="AZ198" s="224"/>
      <c r="BA198" s="224"/>
      <c r="BB198" s="224"/>
      <c r="BC198" s="224"/>
      <c r="BD198" s="224"/>
      <c r="BE198" s="224"/>
      <c r="BF198" s="224"/>
      <c r="BG198" s="224"/>
      <c r="BH198" s="224"/>
      <c r="BI198" s="224"/>
      <c r="BJ198" s="224"/>
      <c r="BK198" s="224"/>
      <c r="BL198" s="224"/>
      <c r="BM198" s="224"/>
      <c r="BN198" s="224"/>
      <c r="BO198" s="224"/>
      <c r="BP198" s="224"/>
      <c r="BQ198" s="224"/>
      <c r="BR198" s="224"/>
      <c r="BS198" s="224"/>
      <c r="BT198" s="224"/>
      <c r="BU198" s="221" t="s">
        <v>1237</v>
      </c>
    </row>
    <row r="199" spans="2:73" x14ac:dyDescent="0.3">
      <c r="B199" s="267" t="s">
        <v>1156</v>
      </c>
      <c r="C199" s="244">
        <v>196</v>
      </c>
      <c r="D199" s="245" t="s">
        <v>845</v>
      </c>
      <c r="E199" s="224"/>
      <c r="F199" s="224"/>
      <c r="G199" s="224"/>
      <c r="H199" s="224"/>
      <c r="I199" s="224"/>
      <c r="J199" s="224"/>
      <c r="K199" s="224"/>
      <c r="L199" s="224"/>
      <c r="M199" s="224"/>
      <c r="N199" s="224"/>
      <c r="O199" s="224"/>
      <c r="P199" s="224"/>
      <c r="Q199" s="224"/>
      <c r="R199" s="224"/>
      <c r="S199" s="224"/>
      <c r="T199" s="224"/>
      <c r="U199" s="224"/>
      <c r="V199" s="224"/>
      <c r="W199" s="224"/>
      <c r="X199" s="224"/>
      <c r="Y199" s="224"/>
      <c r="Z199" s="224"/>
      <c r="AA199" s="224"/>
      <c r="AB199" s="224"/>
      <c r="AC199" s="224"/>
      <c r="AD199" s="224"/>
      <c r="AE199" s="224"/>
      <c r="AF199" s="224"/>
      <c r="AG199" s="224"/>
      <c r="AH199" s="224"/>
      <c r="AI199" s="224"/>
      <c r="AJ199" s="224"/>
      <c r="AK199" s="224"/>
      <c r="AL199" s="224"/>
      <c r="AM199" s="224"/>
      <c r="AN199" s="224"/>
      <c r="AO199" s="224"/>
      <c r="AP199" s="224"/>
      <c r="AQ199" s="224"/>
      <c r="AR199" s="224"/>
      <c r="AS199" s="224"/>
      <c r="AT199" s="224"/>
      <c r="AU199" s="224"/>
      <c r="AV199" s="224"/>
      <c r="AW199" s="224"/>
      <c r="AX199" s="224"/>
      <c r="AY199" s="224"/>
      <c r="AZ199" s="224"/>
      <c r="BA199" s="224"/>
      <c r="BB199" s="224"/>
      <c r="BC199" s="224"/>
      <c r="BD199" s="224"/>
      <c r="BE199" s="224"/>
      <c r="BF199" s="224"/>
      <c r="BG199" s="224"/>
      <c r="BH199" s="224"/>
      <c r="BI199" s="224"/>
      <c r="BJ199" s="224"/>
      <c r="BK199" s="224"/>
      <c r="BL199" s="224"/>
      <c r="BM199" s="224"/>
      <c r="BN199" s="224"/>
      <c r="BO199" s="224"/>
      <c r="BP199" s="224"/>
      <c r="BQ199" s="224"/>
      <c r="BR199" s="224"/>
      <c r="BS199" s="224"/>
      <c r="BT199" s="224"/>
      <c r="BU199" s="246"/>
    </row>
    <row r="200" spans="2:73" x14ac:dyDescent="0.3">
      <c r="B200" s="129" t="s">
        <v>1156</v>
      </c>
      <c r="C200" s="244">
        <v>197</v>
      </c>
      <c r="D200" s="131" t="s">
        <v>1117</v>
      </c>
      <c r="E200" s="224"/>
      <c r="F200" s="224"/>
      <c r="G200" s="224"/>
      <c r="H200" s="224"/>
      <c r="I200" s="224"/>
      <c r="J200" s="224"/>
      <c r="K200" s="224"/>
      <c r="L200" s="224"/>
      <c r="M200" s="224"/>
      <c r="N200" s="224"/>
      <c r="O200" s="224"/>
      <c r="P200" s="224"/>
      <c r="Q200" s="224"/>
      <c r="R200" s="224"/>
      <c r="S200" s="224"/>
      <c r="T200" s="224"/>
      <c r="U200" s="224"/>
      <c r="V200" s="224"/>
      <c r="W200" s="224"/>
      <c r="X200" s="224"/>
      <c r="Y200" s="224"/>
      <c r="Z200" s="224"/>
      <c r="AA200" s="224"/>
      <c r="AB200" s="224"/>
      <c r="AC200" s="224"/>
      <c r="AD200" s="224"/>
      <c r="AE200" s="224"/>
      <c r="AF200" s="224"/>
      <c r="AG200" s="224"/>
      <c r="AH200" s="224"/>
      <c r="AI200" s="224"/>
      <c r="AJ200" s="224"/>
      <c r="AK200" s="224"/>
      <c r="AL200" s="224"/>
      <c r="AM200" s="224"/>
      <c r="AN200" s="224"/>
      <c r="AO200" s="224"/>
      <c r="AP200" s="224"/>
      <c r="AQ200" s="224"/>
      <c r="AR200" s="224"/>
      <c r="AS200" s="224"/>
      <c r="AT200" s="224"/>
      <c r="AU200" s="224"/>
      <c r="AV200" s="224"/>
      <c r="AW200" s="224"/>
      <c r="AX200" s="224"/>
      <c r="AY200" s="224"/>
      <c r="AZ200" s="224"/>
      <c r="BA200" s="224"/>
      <c r="BB200" s="224"/>
      <c r="BC200" s="224"/>
      <c r="BD200" s="224"/>
      <c r="BE200" s="224"/>
      <c r="BF200" s="224"/>
      <c r="BG200" s="224"/>
      <c r="BH200" s="224"/>
      <c r="BI200" s="224"/>
      <c r="BJ200" s="224"/>
      <c r="BK200" s="224"/>
      <c r="BL200" s="224"/>
      <c r="BM200" s="224"/>
      <c r="BN200" s="224"/>
      <c r="BO200" s="224"/>
      <c r="BP200" s="224"/>
      <c r="BQ200" s="224"/>
      <c r="BR200" s="224"/>
      <c r="BS200" s="224"/>
      <c r="BT200" s="224"/>
      <c r="BU200" s="221" t="s">
        <v>1252</v>
      </c>
    </row>
    <row r="201" spans="2:73" ht="82.8" x14ac:dyDescent="0.3">
      <c r="B201" s="129" t="s">
        <v>1156</v>
      </c>
      <c r="C201" s="244">
        <v>198</v>
      </c>
      <c r="D201" s="131" t="s">
        <v>1118</v>
      </c>
      <c r="E201" s="224"/>
      <c r="F201" s="224"/>
      <c r="G201" s="224"/>
      <c r="H201" s="224"/>
      <c r="I201" s="224"/>
      <c r="J201" s="224"/>
      <c r="K201" s="224"/>
      <c r="L201" s="224"/>
      <c r="M201" s="224"/>
      <c r="N201" s="224"/>
      <c r="O201" s="224"/>
      <c r="P201" s="224"/>
      <c r="Q201" s="224"/>
      <c r="R201" s="224"/>
      <c r="S201" s="224"/>
      <c r="T201" s="224"/>
      <c r="U201" s="224"/>
      <c r="V201" s="224"/>
      <c r="W201" s="224"/>
      <c r="X201" s="224"/>
      <c r="Y201" s="224"/>
      <c r="Z201" s="224"/>
      <c r="AA201" s="224"/>
      <c r="AB201" s="224"/>
      <c r="AC201" s="224"/>
      <c r="AD201" s="224"/>
      <c r="AE201" s="224"/>
      <c r="AF201" s="224"/>
      <c r="AG201" s="224"/>
      <c r="AH201" s="224"/>
      <c r="AI201" s="224"/>
      <c r="AJ201" s="224"/>
      <c r="AK201" s="224"/>
      <c r="AL201" s="224"/>
      <c r="AM201" s="224"/>
      <c r="AN201" s="224"/>
      <c r="AO201" s="224"/>
      <c r="AP201" s="224"/>
      <c r="AQ201" s="224"/>
      <c r="AR201" s="224"/>
      <c r="AS201" s="224"/>
      <c r="AT201" s="224"/>
      <c r="AU201" s="224"/>
      <c r="AV201" s="224"/>
      <c r="AW201" s="224"/>
      <c r="AX201" s="224"/>
      <c r="AY201" s="224"/>
      <c r="AZ201" s="224"/>
      <c r="BA201" s="224"/>
      <c r="BB201" s="224"/>
      <c r="BC201" s="224"/>
      <c r="BD201" s="224"/>
      <c r="BE201" s="224"/>
      <c r="BF201" s="224"/>
      <c r="BG201" s="224"/>
      <c r="BH201" s="224"/>
      <c r="BI201" s="224"/>
      <c r="BJ201" s="224"/>
      <c r="BK201" s="224"/>
      <c r="BL201" s="224"/>
      <c r="BM201" s="224"/>
      <c r="BN201" s="224"/>
      <c r="BO201" s="224"/>
      <c r="BP201" s="224"/>
      <c r="BQ201" s="224"/>
      <c r="BR201" s="224"/>
      <c r="BS201" s="224"/>
      <c r="BT201" s="224"/>
      <c r="BU201" s="221" t="s">
        <v>1252</v>
      </c>
    </row>
    <row r="202" spans="2:73" ht="27.6" x14ac:dyDescent="0.3">
      <c r="B202" s="129" t="s">
        <v>1156</v>
      </c>
      <c r="C202" s="244">
        <v>199</v>
      </c>
      <c r="D202" s="131" t="s">
        <v>1120</v>
      </c>
      <c r="E202" s="224"/>
      <c r="F202" s="224"/>
      <c r="G202" s="224"/>
      <c r="H202" s="224"/>
      <c r="I202" s="224"/>
      <c r="J202" s="224"/>
      <c r="K202" s="224"/>
      <c r="L202" s="224"/>
      <c r="M202" s="224"/>
      <c r="N202" s="224"/>
      <c r="O202" s="224"/>
      <c r="P202" s="224"/>
      <c r="Q202" s="224"/>
      <c r="R202" s="224"/>
      <c r="S202" s="224"/>
      <c r="T202" s="224"/>
      <c r="U202" s="224"/>
      <c r="V202" s="224"/>
      <c r="W202" s="224"/>
      <c r="X202" s="224"/>
      <c r="Y202" s="224"/>
      <c r="Z202" s="224"/>
      <c r="AA202" s="224"/>
      <c r="AB202" s="224"/>
      <c r="AC202" s="224"/>
      <c r="AD202" s="224"/>
      <c r="AE202" s="224"/>
      <c r="AF202" s="224"/>
      <c r="AG202" s="224"/>
      <c r="AH202" s="224"/>
      <c r="AI202" s="224"/>
      <c r="AJ202" s="224"/>
      <c r="AK202" s="224"/>
      <c r="AL202" s="224"/>
      <c r="AM202" s="224"/>
      <c r="AN202" s="224"/>
      <c r="AO202" s="224"/>
      <c r="AP202" s="224"/>
      <c r="AQ202" s="224"/>
      <c r="AR202" s="224"/>
      <c r="AS202" s="224"/>
      <c r="AT202" s="224"/>
      <c r="AU202" s="224"/>
      <c r="AV202" s="224"/>
      <c r="AW202" s="224"/>
      <c r="AX202" s="224"/>
      <c r="AY202" s="224"/>
      <c r="AZ202" s="224"/>
      <c r="BA202" s="224"/>
      <c r="BB202" s="224"/>
      <c r="BC202" s="224"/>
      <c r="BD202" s="224"/>
      <c r="BE202" s="224"/>
      <c r="BF202" s="224"/>
      <c r="BG202" s="224"/>
      <c r="BH202" s="224"/>
      <c r="BI202" s="224"/>
      <c r="BJ202" s="224"/>
      <c r="BK202" s="224"/>
      <c r="BL202" s="224"/>
      <c r="BM202" s="224"/>
      <c r="BN202" s="224"/>
      <c r="BO202" s="224"/>
      <c r="BP202" s="224"/>
      <c r="BQ202" s="224"/>
      <c r="BR202" s="224"/>
      <c r="BS202" s="224"/>
      <c r="BT202" s="224"/>
      <c r="BU202" s="221" t="s">
        <v>1252</v>
      </c>
    </row>
    <row r="203" spans="2:73" x14ac:dyDescent="0.3">
      <c r="B203" s="129" t="s">
        <v>1156</v>
      </c>
      <c r="C203" s="244">
        <v>200</v>
      </c>
      <c r="D203" s="131" t="s">
        <v>1122</v>
      </c>
      <c r="E203" s="224"/>
      <c r="F203" s="224"/>
      <c r="G203" s="224"/>
      <c r="H203" s="224"/>
      <c r="I203" s="224"/>
      <c r="J203" s="224"/>
      <c r="K203" s="224"/>
      <c r="L203" s="224"/>
      <c r="M203" s="224"/>
      <c r="N203" s="224"/>
      <c r="O203" s="224"/>
      <c r="P203" s="224"/>
      <c r="Q203" s="224"/>
      <c r="R203" s="224"/>
      <c r="S203" s="224"/>
      <c r="T203" s="224"/>
      <c r="U203" s="224"/>
      <c r="V203" s="224"/>
      <c r="W203" s="224"/>
      <c r="X203" s="224"/>
      <c r="Y203" s="224"/>
      <c r="Z203" s="224"/>
      <c r="AA203" s="224"/>
      <c r="AB203" s="224"/>
      <c r="AC203" s="224"/>
      <c r="AD203" s="224"/>
      <c r="AE203" s="224"/>
      <c r="AF203" s="224"/>
      <c r="AG203" s="224"/>
      <c r="AH203" s="224"/>
      <c r="AI203" s="224"/>
      <c r="AJ203" s="224"/>
      <c r="AK203" s="224"/>
      <c r="AL203" s="224"/>
      <c r="AM203" s="224"/>
      <c r="AN203" s="224"/>
      <c r="AO203" s="224"/>
      <c r="AP203" s="224"/>
      <c r="AQ203" s="224"/>
      <c r="AR203" s="224"/>
      <c r="AS203" s="224"/>
      <c r="AT203" s="224"/>
      <c r="AU203" s="224"/>
      <c r="AV203" s="224"/>
      <c r="AW203" s="224"/>
      <c r="AX203" s="224"/>
      <c r="AY203" s="224"/>
      <c r="AZ203" s="224"/>
      <c r="BA203" s="224"/>
      <c r="BB203" s="224"/>
      <c r="BC203" s="224"/>
      <c r="BD203" s="224"/>
      <c r="BE203" s="224"/>
      <c r="BF203" s="224"/>
      <c r="BG203" s="224"/>
      <c r="BH203" s="224"/>
      <c r="BI203" s="224"/>
      <c r="BJ203" s="224"/>
      <c r="BK203" s="224"/>
      <c r="BL203" s="224"/>
      <c r="BM203" s="224"/>
      <c r="BN203" s="224"/>
      <c r="BO203" s="224"/>
      <c r="BP203" s="224"/>
      <c r="BQ203" s="224"/>
      <c r="BR203" s="224"/>
      <c r="BS203" s="224"/>
      <c r="BT203" s="224"/>
      <c r="BU203" s="221" t="s">
        <v>1252</v>
      </c>
    </row>
    <row r="204" spans="2:73" x14ac:dyDescent="0.3">
      <c r="B204" s="129" t="s">
        <v>1156</v>
      </c>
      <c r="C204" s="244">
        <v>201</v>
      </c>
      <c r="D204" s="131" t="s">
        <v>1124</v>
      </c>
      <c r="E204" s="224"/>
      <c r="F204" s="224"/>
      <c r="G204" s="224"/>
      <c r="H204" s="224"/>
      <c r="I204" s="224"/>
      <c r="J204" s="224"/>
      <c r="K204" s="224"/>
      <c r="L204" s="224"/>
      <c r="M204" s="224"/>
      <c r="N204" s="224"/>
      <c r="O204" s="224"/>
      <c r="P204" s="224"/>
      <c r="Q204" s="224"/>
      <c r="R204" s="224"/>
      <c r="S204" s="224"/>
      <c r="T204" s="224"/>
      <c r="U204" s="224"/>
      <c r="V204" s="224"/>
      <c r="W204" s="224"/>
      <c r="X204" s="224"/>
      <c r="Y204" s="224"/>
      <c r="Z204" s="224"/>
      <c r="AA204" s="224"/>
      <c r="AB204" s="224"/>
      <c r="AC204" s="224"/>
      <c r="AD204" s="224"/>
      <c r="AE204" s="224"/>
      <c r="AF204" s="224"/>
      <c r="AG204" s="224"/>
      <c r="AH204" s="224"/>
      <c r="AI204" s="224"/>
      <c r="AJ204" s="224"/>
      <c r="AK204" s="224"/>
      <c r="AL204" s="224"/>
      <c r="AM204" s="224"/>
      <c r="AN204" s="224"/>
      <c r="AO204" s="224"/>
      <c r="AP204" s="224"/>
      <c r="AQ204" s="224"/>
      <c r="AR204" s="224"/>
      <c r="AS204" s="224"/>
      <c r="AT204" s="224"/>
      <c r="AU204" s="224"/>
      <c r="AV204" s="224"/>
      <c r="AW204" s="224"/>
      <c r="AX204" s="224"/>
      <c r="AY204" s="224"/>
      <c r="AZ204" s="224"/>
      <c r="BA204" s="224"/>
      <c r="BB204" s="224"/>
      <c r="BC204" s="224"/>
      <c r="BD204" s="224"/>
      <c r="BE204" s="224"/>
      <c r="BF204" s="224"/>
      <c r="BG204" s="224"/>
      <c r="BH204" s="224"/>
      <c r="BI204" s="224"/>
      <c r="BJ204" s="224"/>
      <c r="BK204" s="224"/>
      <c r="BL204" s="224"/>
      <c r="BM204" s="224"/>
      <c r="BN204" s="224"/>
      <c r="BO204" s="224"/>
      <c r="BP204" s="224"/>
      <c r="BQ204" s="224"/>
      <c r="BR204" s="224"/>
      <c r="BS204" s="224"/>
      <c r="BT204" s="224"/>
      <c r="BU204" s="221" t="s">
        <v>1252</v>
      </c>
    </row>
    <row r="205" spans="2:73" ht="41.4" x14ac:dyDescent="0.3">
      <c r="B205" s="129" t="s">
        <v>1156</v>
      </c>
      <c r="C205" s="244">
        <v>202</v>
      </c>
      <c r="D205" s="131" t="s">
        <v>1125</v>
      </c>
      <c r="E205" s="224"/>
      <c r="F205" s="224"/>
      <c r="G205" s="224"/>
      <c r="H205" s="224"/>
      <c r="I205" s="224"/>
      <c r="J205" s="224"/>
      <c r="K205" s="224"/>
      <c r="L205" s="224"/>
      <c r="M205" s="224"/>
      <c r="N205" s="224"/>
      <c r="O205" s="224"/>
      <c r="P205" s="224"/>
      <c r="Q205" s="224"/>
      <c r="R205" s="224"/>
      <c r="S205" s="224"/>
      <c r="T205" s="224"/>
      <c r="U205" s="224"/>
      <c r="V205" s="224"/>
      <c r="W205" s="224"/>
      <c r="X205" s="224"/>
      <c r="Y205" s="224"/>
      <c r="Z205" s="224"/>
      <c r="AA205" s="224"/>
      <c r="AB205" s="224"/>
      <c r="AC205" s="224"/>
      <c r="AD205" s="224"/>
      <c r="AE205" s="224"/>
      <c r="AF205" s="224"/>
      <c r="AG205" s="224"/>
      <c r="AH205" s="224"/>
      <c r="AI205" s="224"/>
      <c r="AJ205" s="224"/>
      <c r="AK205" s="224"/>
      <c r="AL205" s="224"/>
      <c r="AM205" s="224"/>
      <c r="AN205" s="224"/>
      <c r="AO205" s="224"/>
      <c r="AP205" s="224"/>
      <c r="AQ205" s="224"/>
      <c r="AR205" s="224"/>
      <c r="AS205" s="224"/>
      <c r="AT205" s="224"/>
      <c r="AU205" s="224"/>
      <c r="AV205" s="224"/>
      <c r="AW205" s="224"/>
      <c r="AX205" s="224"/>
      <c r="AY205" s="224"/>
      <c r="AZ205" s="224"/>
      <c r="BA205" s="224"/>
      <c r="BB205" s="224"/>
      <c r="BC205" s="224"/>
      <c r="BD205" s="224"/>
      <c r="BE205" s="224"/>
      <c r="BF205" s="224"/>
      <c r="BG205" s="224"/>
      <c r="BH205" s="224"/>
      <c r="BI205" s="224"/>
      <c r="BJ205" s="224"/>
      <c r="BK205" s="224"/>
      <c r="BL205" s="224"/>
      <c r="BM205" s="224"/>
      <c r="BN205" s="224"/>
      <c r="BO205" s="224"/>
      <c r="BP205" s="224"/>
      <c r="BQ205" s="224"/>
      <c r="BR205" s="224"/>
      <c r="BS205" s="224"/>
      <c r="BT205" s="224"/>
      <c r="BU205" s="221" t="s">
        <v>1252</v>
      </c>
    </row>
  </sheetData>
  <sheetProtection password="DAE1" sheet="1" objects="1" scenarios="1" formatColumns="0" formatRows="0" autoFilter="0"/>
  <autoFilter ref="B3:BV205"/>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O30"/>
  <sheetViews>
    <sheetView workbookViewId="0">
      <selection activeCell="D4" sqref="D4:N4"/>
    </sheetView>
  </sheetViews>
  <sheetFormatPr defaultColWidth="9.109375" defaultRowHeight="14.4" x14ac:dyDescent="0.3"/>
  <cols>
    <col min="1" max="1" width="9.109375" style="8"/>
    <col min="2" max="2" width="5.88671875" style="8" customWidth="1"/>
    <col min="3" max="3" width="9.109375" style="8"/>
    <col min="4" max="4" width="9.109375" style="169"/>
    <col min="5" max="5" width="23.109375" style="8" bestFit="1" customWidth="1"/>
    <col min="6" max="6" width="2.88671875" style="8" customWidth="1"/>
    <col min="7" max="7" width="9.109375" style="8"/>
    <col min="8" max="8" width="17.6640625" style="8" bestFit="1" customWidth="1"/>
    <col min="9" max="9" width="15" style="8" customWidth="1"/>
    <col min="10" max="10" width="9.109375" style="8"/>
    <col min="11" max="11" width="2.88671875" style="8" customWidth="1"/>
    <col min="12" max="12" width="9.109375" style="8"/>
    <col min="13" max="13" width="23" style="8" customWidth="1"/>
    <col min="14" max="14" width="21.88671875" style="8" customWidth="1"/>
    <col min="15" max="15" width="10.33203125" style="8" customWidth="1"/>
    <col min="16" max="16384" width="9.109375" style="8"/>
  </cols>
  <sheetData>
    <row r="1" spans="3:15" ht="5.25" customHeight="1" x14ac:dyDescent="0.3"/>
    <row r="2" spans="3:15" ht="5.25" customHeight="1" thickBot="1" x14ac:dyDescent="0.35"/>
    <row r="3" spans="3:15" ht="15" thickBot="1" x14ac:dyDescent="0.35">
      <c r="C3" s="170"/>
      <c r="D3" s="171"/>
      <c r="E3" s="172"/>
      <c r="F3" s="172"/>
      <c r="G3" s="172"/>
      <c r="H3" s="172"/>
      <c r="I3" s="172"/>
      <c r="J3" s="172"/>
      <c r="K3" s="172"/>
      <c r="L3" s="172"/>
      <c r="M3" s="172"/>
      <c r="N3" s="259"/>
      <c r="O3" s="209" t="s">
        <v>1259</v>
      </c>
    </row>
    <row r="4" spans="3:15" ht="15" thickBot="1" x14ac:dyDescent="0.35">
      <c r="C4" s="173"/>
      <c r="D4" s="282" t="s">
        <v>512</v>
      </c>
      <c r="E4" s="283"/>
      <c r="F4" s="283"/>
      <c r="G4" s="283"/>
      <c r="H4" s="283"/>
      <c r="I4" s="283"/>
      <c r="J4" s="283"/>
      <c r="K4" s="283"/>
      <c r="L4" s="283"/>
      <c r="M4" s="283"/>
      <c r="N4" s="284"/>
      <c r="O4" s="174"/>
    </row>
    <row r="5" spans="3:15" ht="15" thickBot="1" x14ac:dyDescent="0.35">
      <c r="C5" s="173"/>
      <c r="D5" s="168"/>
      <c r="E5" s="167"/>
      <c r="F5" s="167"/>
      <c r="G5" s="167"/>
      <c r="H5" s="167"/>
      <c r="I5" s="167"/>
      <c r="J5" s="167"/>
      <c r="K5" s="167"/>
      <c r="L5" s="167"/>
      <c r="M5" s="167"/>
      <c r="N5" s="167"/>
      <c r="O5" s="174"/>
    </row>
    <row r="6" spans="3:15" ht="15" thickBot="1" x14ac:dyDescent="0.35">
      <c r="C6" s="173"/>
      <c r="D6" s="285" t="s">
        <v>468</v>
      </c>
      <c r="E6" s="286"/>
      <c r="F6" s="190"/>
      <c r="G6" s="288" t="s">
        <v>469</v>
      </c>
      <c r="H6" s="289"/>
      <c r="I6" s="289"/>
      <c r="J6" s="290"/>
      <c r="K6" s="191"/>
      <c r="L6" s="279" t="s">
        <v>467</v>
      </c>
      <c r="M6" s="280"/>
      <c r="N6" s="281"/>
      <c r="O6" s="174"/>
    </row>
    <row r="7" spans="3:15" ht="15" thickBot="1" x14ac:dyDescent="0.35">
      <c r="C7" s="173"/>
      <c r="D7" s="168"/>
      <c r="E7" s="168"/>
      <c r="F7" s="167"/>
      <c r="G7" s="189"/>
      <c r="H7" s="189"/>
      <c r="I7" s="167"/>
      <c r="J7" s="167"/>
      <c r="K7" s="167"/>
      <c r="L7" s="189"/>
      <c r="M7" s="189"/>
      <c r="N7" s="167"/>
      <c r="O7" s="174"/>
    </row>
    <row r="8" spans="3:15" x14ac:dyDescent="0.3">
      <c r="C8" s="173"/>
      <c r="D8" s="192">
        <v>1</v>
      </c>
      <c r="E8" s="193" t="s">
        <v>30</v>
      </c>
      <c r="F8" s="167"/>
      <c r="G8" s="211" t="s">
        <v>504</v>
      </c>
      <c r="H8" s="287" t="str">
        <f>'Report (OMMi) - Var 1'!F15</f>
        <v>ODM: A.N Other</v>
      </c>
      <c r="I8" s="287"/>
      <c r="J8" s="212" t="s">
        <v>526</v>
      </c>
      <c r="K8" s="167"/>
      <c r="L8" s="260">
        <v>1</v>
      </c>
      <c r="M8" s="293" t="s">
        <v>1149</v>
      </c>
      <c r="N8" s="294"/>
      <c r="O8" s="174"/>
    </row>
    <row r="9" spans="3:15" x14ac:dyDescent="0.3">
      <c r="C9" s="173"/>
      <c r="D9" s="194">
        <v>2</v>
      </c>
      <c r="E9" s="195" t="s">
        <v>465</v>
      </c>
      <c r="F9" s="167"/>
      <c r="G9" s="237" t="s">
        <v>703</v>
      </c>
      <c r="H9" s="291" t="str">
        <f>'Report (OMMi) - Var 1'!G15</f>
        <v>Service Desk Specific</v>
      </c>
      <c r="I9" s="292"/>
      <c r="J9" s="238" t="s">
        <v>526</v>
      </c>
      <c r="K9" s="167"/>
      <c r="L9" s="261">
        <v>2</v>
      </c>
      <c r="M9" s="295" t="s">
        <v>1150</v>
      </c>
      <c r="N9" s="296"/>
      <c r="O9" s="174"/>
    </row>
    <row r="10" spans="3:15" ht="15" thickBot="1" x14ac:dyDescent="0.35">
      <c r="C10" s="173"/>
      <c r="D10" s="194">
        <v>3</v>
      </c>
      <c r="E10" s="195" t="s">
        <v>466</v>
      </c>
      <c r="F10" s="167"/>
      <c r="G10" s="213">
        <v>1</v>
      </c>
      <c r="H10" s="291" t="str">
        <f>'Report (OMMi) - Var 1'!H15</f>
        <v>Subject 1</v>
      </c>
      <c r="I10" s="292"/>
      <c r="J10" s="214" t="s">
        <v>526</v>
      </c>
      <c r="K10" s="167"/>
      <c r="L10" s="262">
        <v>3</v>
      </c>
      <c r="M10" s="277" t="s">
        <v>1148</v>
      </c>
      <c r="N10" s="278"/>
      <c r="O10" s="174"/>
    </row>
    <row r="11" spans="3:15" ht="15" thickBot="1" x14ac:dyDescent="0.35">
      <c r="C11" s="173"/>
      <c r="D11" s="196">
        <v>4</v>
      </c>
      <c r="E11" s="197" t="s">
        <v>470</v>
      </c>
      <c r="F11" s="167"/>
      <c r="G11" s="213">
        <v>2</v>
      </c>
      <c r="H11" s="274" t="str">
        <f>'Report (OMMi) - Var 1'!I15</f>
        <v>Subject 2</v>
      </c>
      <c r="I11" s="274"/>
      <c r="J11" s="214" t="s">
        <v>526</v>
      </c>
      <c r="K11" s="167"/>
      <c r="L11" s="168"/>
      <c r="M11" s="167"/>
      <c r="N11" s="167"/>
      <c r="O11" s="174"/>
    </row>
    <row r="12" spans="3:15" x14ac:dyDescent="0.3">
      <c r="C12" s="173"/>
      <c r="D12" s="168"/>
      <c r="E12" s="167"/>
      <c r="F12" s="167"/>
      <c r="G12" s="213">
        <v>3</v>
      </c>
      <c r="H12" s="274" t="str">
        <f>'Report (OMMi) - Var 1'!J15</f>
        <v>Subject 3</v>
      </c>
      <c r="I12" s="274"/>
      <c r="J12" s="214" t="s">
        <v>527</v>
      </c>
      <c r="K12" s="167"/>
      <c r="L12" s="168"/>
      <c r="M12" s="167"/>
      <c r="N12" s="167"/>
      <c r="O12" s="174"/>
    </row>
    <row r="13" spans="3:15" x14ac:dyDescent="0.3">
      <c r="C13" s="173"/>
      <c r="D13" s="168"/>
      <c r="E13" s="167"/>
      <c r="F13" s="167"/>
      <c r="G13" s="213">
        <v>4</v>
      </c>
      <c r="H13" s="274" t="str">
        <f>'Report (OMMi) - Var 1'!K15</f>
        <v>Subject 4</v>
      </c>
      <c r="I13" s="274"/>
      <c r="J13" s="214" t="s">
        <v>526</v>
      </c>
      <c r="K13" s="167"/>
      <c r="L13" s="168"/>
      <c r="M13" s="167"/>
      <c r="N13" s="167"/>
      <c r="O13" s="174"/>
    </row>
    <row r="14" spans="3:15" x14ac:dyDescent="0.3">
      <c r="C14" s="173"/>
      <c r="D14" s="168"/>
      <c r="E14" s="167"/>
      <c r="F14" s="167"/>
      <c r="G14" s="213">
        <v>5</v>
      </c>
      <c r="H14" s="274" t="str">
        <f>'Report (OMMi) - Var 1'!L15</f>
        <v>Subject 5</v>
      </c>
      <c r="I14" s="274"/>
      <c r="J14" s="214" t="s">
        <v>527</v>
      </c>
      <c r="K14" s="167"/>
      <c r="L14" s="168"/>
      <c r="M14" s="167"/>
      <c r="N14" s="167"/>
      <c r="O14" s="174"/>
    </row>
    <row r="15" spans="3:15" x14ac:dyDescent="0.3">
      <c r="C15" s="173"/>
      <c r="D15" s="168"/>
      <c r="E15" s="167"/>
      <c r="F15" s="167"/>
      <c r="G15" s="213">
        <v>6</v>
      </c>
      <c r="H15" s="274" t="str">
        <f>'Report (OMMi) - Var 1'!M15</f>
        <v>Subject 6</v>
      </c>
      <c r="I15" s="274"/>
      <c r="J15" s="214" t="s">
        <v>527</v>
      </c>
      <c r="K15" s="167"/>
      <c r="L15" s="168"/>
      <c r="M15" s="167"/>
      <c r="N15" s="167"/>
      <c r="O15" s="174"/>
    </row>
    <row r="16" spans="3:15" x14ac:dyDescent="0.3">
      <c r="C16" s="173"/>
      <c r="D16" s="168"/>
      <c r="E16" s="167"/>
      <c r="F16" s="167"/>
      <c r="G16" s="213">
        <v>7</v>
      </c>
      <c r="H16" s="274" t="str">
        <f>'Report (OMMi) - Var 1'!N15</f>
        <v>Subject 7</v>
      </c>
      <c r="I16" s="274"/>
      <c r="J16" s="214" t="s">
        <v>527</v>
      </c>
      <c r="K16" s="167"/>
      <c r="L16" s="168"/>
      <c r="M16" s="167"/>
      <c r="N16" s="167"/>
      <c r="O16" s="174"/>
    </row>
    <row r="17" spans="3:15" x14ac:dyDescent="0.3">
      <c r="C17" s="173"/>
      <c r="D17" s="168"/>
      <c r="E17" s="167"/>
      <c r="F17" s="167"/>
      <c r="G17" s="213">
        <v>8</v>
      </c>
      <c r="H17" s="274" t="str">
        <f>'Report (OMMi) - Var 1'!O15</f>
        <v xml:space="preserve">Subject 8 </v>
      </c>
      <c r="I17" s="274"/>
      <c r="J17" s="214" t="s">
        <v>527</v>
      </c>
      <c r="K17" s="167"/>
      <c r="L17" s="168"/>
      <c r="M17" s="167"/>
      <c r="N17" s="167"/>
      <c r="O17" s="174"/>
    </row>
    <row r="18" spans="3:15" x14ac:dyDescent="0.3">
      <c r="C18" s="173"/>
      <c r="D18" s="168"/>
      <c r="E18" s="167"/>
      <c r="F18" s="167"/>
      <c r="G18" s="213">
        <v>9</v>
      </c>
      <c r="H18" s="274" t="str">
        <f>'Report (OMMi) - Var 1'!P15</f>
        <v>Subject 9</v>
      </c>
      <c r="I18" s="274"/>
      <c r="J18" s="214" t="s">
        <v>527</v>
      </c>
      <c r="K18" s="167"/>
      <c r="L18" s="168"/>
      <c r="M18" s="167"/>
      <c r="N18" s="167"/>
      <c r="O18" s="174"/>
    </row>
    <row r="19" spans="3:15" x14ac:dyDescent="0.3">
      <c r="C19" s="173"/>
      <c r="D19" s="168"/>
      <c r="E19" s="167"/>
      <c r="F19" s="167"/>
      <c r="G19" s="213">
        <v>10</v>
      </c>
      <c r="H19" s="274" t="str">
        <f>'Report (OMMi) - Var 1'!Q15</f>
        <v>Subject 10</v>
      </c>
      <c r="I19" s="274"/>
      <c r="J19" s="214" t="s">
        <v>527</v>
      </c>
      <c r="K19" s="167"/>
      <c r="L19" s="168"/>
      <c r="M19" s="167"/>
      <c r="N19" s="167"/>
      <c r="O19" s="174"/>
    </row>
    <row r="20" spans="3:15" x14ac:dyDescent="0.3">
      <c r="C20" s="173"/>
      <c r="D20" s="168"/>
      <c r="E20" s="167"/>
      <c r="F20" s="167"/>
      <c r="G20" s="213">
        <v>11</v>
      </c>
      <c r="H20" s="274" t="str">
        <f>'Report (OMMi) - Var 1'!R15</f>
        <v>Subject 11</v>
      </c>
      <c r="I20" s="274"/>
      <c r="J20" s="214" t="s">
        <v>527</v>
      </c>
      <c r="K20" s="167"/>
      <c r="L20" s="168"/>
      <c r="M20" s="167"/>
      <c r="N20" s="167"/>
      <c r="O20" s="174"/>
    </row>
    <row r="21" spans="3:15" x14ac:dyDescent="0.3">
      <c r="C21" s="173"/>
      <c r="D21" s="168"/>
      <c r="E21" s="167"/>
      <c r="F21" s="167"/>
      <c r="G21" s="213">
        <v>12</v>
      </c>
      <c r="H21" s="274" t="str">
        <f>'Report (OMMi) - Var 1'!S15</f>
        <v>Subject 12</v>
      </c>
      <c r="I21" s="274"/>
      <c r="J21" s="214" t="s">
        <v>527</v>
      </c>
      <c r="K21" s="167"/>
      <c r="L21" s="168"/>
      <c r="M21" s="167"/>
      <c r="N21" s="167"/>
      <c r="O21" s="174"/>
    </row>
    <row r="22" spans="3:15" x14ac:dyDescent="0.3">
      <c r="C22" s="173"/>
      <c r="D22" s="168"/>
      <c r="E22" s="167"/>
      <c r="F22" s="167"/>
      <c r="G22" s="213">
        <v>13</v>
      </c>
      <c r="H22" s="274" t="str">
        <f>'Report (OMMi) - Var 1'!T15</f>
        <v>Subject 13</v>
      </c>
      <c r="I22" s="274"/>
      <c r="J22" s="214" t="s">
        <v>527</v>
      </c>
      <c r="K22" s="167"/>
      <c r="L22" s="168"/>
      <c r="M22" s="167"/>
      <c r="N22" s="167"/>
      <c r="O22" s="174"/>
    </row>
    <row r="23" spans="3:15" x14ac:dyDescent="0.3">
      <c r="C23" s="173"/>
      <c r="D23" s="168"/>
      <c r="E23" s="167"/>
      <c r="F23" s="167"/>
      <c r="G23" s="213">
        <v>14</v>
      </c>
      <c r="H23" s="274" t="str">
        <f>'Report (OMMi) - Var 1'!U15</f>
        <v>Subject 14</v>
      </c>
      <c r="I23" s="274"/>
      <c r="J23" s="214" t="s">
        <v>527</v>
      </c>
      <c r="K23" s="167"/>
      <c r="L23" s="168"/>
      <c r="M23" s="167"/>
      <c r="N23" s="167"/>
      <c r="O23" s="174"/>
    </row>
    <row r="24" spans="3:15" ht="15" thickBot="1" x14ac:dyDescent="0.35">
      <c r="C24" s="173"/>
      <c r="D24" s="168"/>
      <c r="E24" s="167"/>
      <c r="F24" s="167"/>
      <c r="G24" s="215">
        <v>15</v>
      </c>
      <c r="H24" s="275" t="str">
        <f>'Report (OMMi) - Var 1'!V15</f>
        <v>Subject 15</v>
      </c>
      <c r="I24" s="275"/>
      <c r="J24" s="216" t="s">
        <v>527</v>
      </c>
      <c r="K24" s="167"/>
      <c r="L24" s="168"/>
      <c r="M24" s="167"/>
      <c r="N24" s="167"/>
      <c r="O24" s="174"/>
    </row>
    <row r="25" spans="3:15" hidden="1" x14ac:dyDescent="0.3">
      <c r="C25" s="173"/>
      <c r="D25" s="168"/>
      <c r="E25" s="167"/>
      <c r="F25" s="167"/>
      <c r="G25" s="237">
        <v>16</v>
      </c>
      <c r="H25" s="276" t="e">
        <f>'Report (OMMi) - Var 1'!#REF!</f>
        <v>#REF!</v>
      </c>
      <c r="I25" s="276"/>
      <c r="J25" s="238" t="s">
        <v>527</v>
      </c>
      <c r="K25" s="167"/>
      <c r="L25" s="168"/>
      <c r="M25" s="167"/>
      <c r="N25" s="167"/>
      <c r="O25" s="174"/>
    </row>
    <row r="26" spans="3:15" hidden="1" x14ac:dyDescent="0.3">
      <c r="C26" s="173"/>
      <c r="D26" s="168"/>
      <c r="E26" s="167"/>
      <c r="F26" s="167"/>
      <c r="G26" s="213">
        <v>17</v>
      </c>
      <c r="H26" s="274" t="e">
        <f>'Report (OMMi) - Var 1'!#REF!</f>
        <v>#REF!</v>
      </c>
      <c r="I26" s="274"/>
      <c r="J26" s="214" t="s">
        <v>527</v>
      </c>
      <c r="K26" s="167"/>
      <c r="L26" s="168"/>
      <c r="M26" s="167"/>
      <c r="N26" s="167"/>
      <c r="O26" s="174"/>
    </row>
    <row r="27" spans="3:15" hidden="1" x14ac:dyDescent="0.3">
      <c r="C27" s="173"/>
      <c r="D27" s="168"/>
      <c r="E27" s="167"/>
      <c r="F27" s="167"/>
      <c r="G27" s="213">
        <v>18</v>
      </c>
      <c r="H27" s="274" t="e">
        <f>'Report (OMMi) - Var 1'!#REF!</f>
        <v>#REF!</v>
      </c>
      <c r="I27" s="274"/>
      <c r="J27" s="214" t="s">
        <v>527</v>
      </c>
      <c r="K27" s="167"/>
      <c r="L27" s="168"/>
      <c r="M27" s="167"/>
      <c r="N27" s="167"/>
      <c r="O27" s="174"/>
    </row>
    <row r="28" spans="3:15" hidden="1" x14ac:dyDescent="0.3">
      <c r="C28" s="173"/>
      <c r="D28" s="168"/>
      <c r="E28" s="167"/>
      <c r="F28" s="167"/>
      <c r="G28" s="213">
        <v>19</v>
      </c>
      <c r="H28" s="274" t="e">
        <f>'Report (OMMi) - Var 1'!#REF!</f>
        <v>#REF!</v>
      </c>
      <c r="I28" s="274"/>
      <c r="J28" s="214" t="s">
        <v>527</v>
      </c>
      <c r="K28" s="167"/>
      <c r="L28" s="168"/>
      <c r="M28" s="167"/>
      <c r="N28" s="167"/>
      <c r="O28" s="174"/>
    </row>
    <row r="29" spans="3:15" ht="15" hidden="1" thickBot="1" x14ac:dyDescent="0.35">
      <c r="C29" s="173"/>
      <c r="D29" s="168"/>
      <c r="E29" s="167"/>
      <c r="F29" s="167"/>
      <c r="G29" s="239">
        <v>20</v>
      </c>
      <c r="H29" s="275" t="e">
        <f>'Report (OMMi) - Var 1'!#REF!</f>
        <v>#REF!</v>
      </c>
      <c r="I29" s="275"/>
      <c r="J29" s="240" t="s">
        <v>527</v>
      </c>
      <c r="K29" s="167"/>
      <c r="L29" s="167"/>
      <c r="M29" s="167"/>
      <c r="N29" s="167"/>
      <c r="O29" s="174"/>
    </row>
    <row r="30" spans="3:15" ht="15" thickBot="1" x14ac:dyDescent="0.35">
      <c r="C30" s="175"/>
      <c r="D30" s="176"/>
      <c r="E30" s="177"/>
      <c r="F30" s="177"/>
      <c r="G30" s="177"/>
      <c r="H30" s="177"/>
      <c r="I30" s="177"/>
      <c r="J30" s="177"/>
      <c r="K30" s="177"/>
      <c r="L30" s="177"/>
      <c r="M30" s="177"/>
      <c r="N30" s="177"/>
      <c r="O30" s="178"/>
    </row>
  </sheetData>
  <sheetProtection password="DAE1" sheet="1" objects="1" scenarios="1" formatColumns="0" formatRows="0" autoFilter="0"/>
  <mergeCells count="29">
    <mergeCell ref="H14:I14"/>
    <mergeCell ref="H15:I15"/>
    <mergeCell ref="H16:I16"/>
    <mergeCell ref="H17:I17"/>
    <mergeCell ref="H18:I18"/>
    <mergeCell ref="M10:N10"/>
    <mergeCell ref="L6:N6"/>
    <mergeCell ref="D4:N4"/>
    <mergeCell ref="H20:I20"/>
    <mergeCell ref="H21:I21"/>
    <mergeCell ref="D6:E6"/>
    <mergeCell ref="H8:I8"/>
    <mergeCell ref="G6:J6"/>
    <mergeCell ref="H9:I9"/>
    <mergeCell ref="M8:N8"/>
    <mergeCell ref="M9:N9"/>
    <mergeCell ref="H19:I19"/>
    <mergeCell ref="H10:I10"/>
    <mergeCell ref="H11:I11"/>
    <mergeCell ref="H12:I12"/>
    <mergeCell ref="H13:I13"/>
    <mergeCell ref="H27:I27"/>
    <mergeCell ref="H28:I28"/>
    <mergeCell ref="H29:I29"/>
    <mergeCell ref="H22:I22"/>
    <mergeCell ref="H23:I23"/>
    <mergeCell ref="H24:I24"/>
    <mergeCell ref="H25:I25"/>
    <mergeCell ref="H26:I26"/>
  </mergeCells>
  <hyperlinks>
    <hyperlink ref="E8" location="'1. Overview (OMMi)'!A1" display="Overview "/>
    <hyperlink ref="E9" location="'2. Instructions (OMMi)'!A1" display="Instructions"/>
    <hyperlink ref="E11" location="'20k-1 2018_9k 2015 (ISO)'!A1" display="ISO Standards / Clauses"/>
    <hyperlink ref="E10" location="'3. CSA STAR - Guidance'!A1" display="CSA STAR Guidance"/>
    <hyperlink ref="J8" location="'4. ODM Scoring (OMMi)'!A1" display="Link to"/>
    <hyperlink ref="J10" location="'5. Subject 1 Scoring (OMMi)'!A1" display="Link to"/>
    <hyperlink ref="J11" location="'6. Subject 2 Scoring (OMMi)'!A1" display="Link to"/>
    <hyperlink ref="J12" location="'7. Subject 3 Scoring (OMMi)'!A1" display="Link to "/>
    <hyperlink ref="J13" location="'8. Subject 4 Scoring (OMMi)'!A1" display="Link to"/>
    <hyperlink ref="J14" location="'9. Subject 5 Scoring (OMMi)'!A1" display="Link to "/>
    <hyperlink ref="J15" location="'10. Subject 6 Scoring (OMMi)'!A1" display="Link to "/>
    <hyperlink ref="J16" location="'11. Subject 7 Scoring (OMMi)'!A1" display="Link to "/>
    <hyperlink ref="J17" location="'12. Subject 8 Scoring (OMMi)'!A1" display="Link to "/>
    <hyperlink ref="J18" location="'13. Subject 9 Scoring (OMMi)'!A1" display="Link to "/>
    <hyperlink ref="J19" location="'14. Subject 10 Scoring (OMMi)'!A1" display="Link to "/>
    <hyperlink ref="J20" location="'15. Subject 11 Scoring (OMMi)'!A1" display="Link to "/>
    <hyperlink ref="J21" location="'16. Subject 12 Scoring (OMMi)'!A1" display="Link to "/>
    <hyperlink ref="J23" location="'18. Subject 14 Scoring (OMMi)'!A1" display="Link to "/>
    <hyperlink ref="J24" location="'19. Subject 15 Scoring (OMMi)'!A1" display="Link to "/>
    <hyperlink ref="J25" location="'20. Subject 16 Scoring (OMMi)'!A1" display="Link to "/>
    <hyperlink ref="J26" location="'21. Subject 17 Scoring (OMMi)'!A1" display="Link to "/>
    <hyperlink ref="J27" location="'22. Subject 18 Scoring (OMMi)'!A1" display="Link to "/>
    <hyperlink ref="J28" location="'23. Subject 19 Scoring (OMMi)'!A1" display="Link to "/>
    <hyperlink ref="J29" location="'24. Subject 20 Scoring (OMMi)'!A1" display="Link to "/>
    <hyperlink ref="J22" location="'17. Subject 13 Scoring (OMMi)'!A1" display="Link to "/>
    <hyperlink ref="J9" location="'4.1 Service Desk'!A1" display="Link to"/>
    <hyperlink ref="M8:N8" location="'Report (OMMi) - Var 1'!A1" display="Variant 1 - Data Services &amp;  Servce Desk Combined"/>
    <hyperlink ref="M9:N9" location="'Report (OMMi) - Var 2'!A1" display="Variant 2 - Data Services Only"/>
    <hyperlink ref="M10:N10" location="'Report (OMMi) - Var 3'!A1" display="Variant 3 - Service Desk Only"/>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B16"/>
  <sheetViews>
    <sheetView zoomScaleNormal="100" workbookViewId="0"/>
  </sheetViews>
  <sheetFormatPr defaultRowHeight="14.4" x14ac:dyDescent="0.3"/>
  <cols>
    <col min="1" max="1" width="2.109375" customWidth="1"/>
    <col min="2" max="2" width="99.6640625" customWidth="1"/>
  </cols>
  <sheetData>
    <row r="1" spans="2:2" s="16" customFormat="1" ht="12" customHeight="1" x14ac:dyDescent="0.3">
      <c r="B1" s="23" t="s">
        <v>18</v>
      </c>
    </row>
    <row r="2" spans="2:2" s="16" customFormat="1" ht="29.25" customHeight="1" x14ac:dyDescent="0.5">
      <c r="B2" s="41" t="s">
        <v>513</v>
      </c>
    </row>
    <row r="3" spans="2:2" s="16" customFormat="1" ht="4.95" customHeight="1" x14ac:dyDescent="0.5">
      <c r="B3" s="3"/>
    </row>
    <row r="4" spans="2:2" ht="18" x14ac:dyDescent="0.35">
      <c r="B4" s="2" t="s">
        <v>30</v>
      </c>
    </row>
    <row r="5" spans="2:2" s="16" customFormat="1" ht="5.4" customHeight="1" x14ac:dyDescent="0.35">
      <c r="B5" s="2"/>
    </row>
    <row r="6" spans="2:2" s="160" customFormat="1" ht="31.2" x14ac:dyDescent="0.3">
      <c r="B6" s="161" t="s">
        <v>514</v>
      </c>
    </row>
    <row r="7" spans="2:2" s="160" customFormat="1" ht="31.2" x14ac:dyDescent="0.3">
      <c r="B7" s="161" t="s">
        <v>38</v>
      </c>
    </row>
    <row r="8" spans="2:2" s="160" customFormat="1" ht="6" customHeight="1" x14ac:dyDescent="0.3">
      <c r="B8" s="162"/>
    </row>
    <row r="9" spans="2:2" s="160" customFormat="1" ht="62.4" x14ac:dyDescent="0.3">
      <c r="B9" s="161" t="s">
        <v>1151</v>
      </c>
    </row>
    <row r="10" spans="2:2" s="160" customFormat="1" ht="7.2" customHeight="1" x14ac:dyDescent="0.3">
      <c r="B10" s="161"/>
    </row>
    <row r="11" spans="2:2" s="160" customFormat="1" ht="62.4" x14ac:dyDescent="0.3">
      <c r="B11" s="161" t="s">
        <v>456</v>
      </c>
    </row>
    <row r="12" spans="2:2" s="160" customFormat="1" ht="6" customHeight="1" x14ac:dyDescent="0.3">
      <c r="B12" s="161"/>
    </row>
    <row r="13" spans="2:2" s="160" customFormat="1" ht="78" x14ac:dyDescent="0.3">
      <c r="B13" s="161" t="s">
        <v>1152</v>
      </c>
    </row>
    <row r="14" spans="2:2" s="160" customFormat="1" ht="6" customHeight="1" x14ac:dyDescent="0.3">
      <c r="B14" s="161"/>
    </row>
    <row r="15" spans="2:2" s="160" customFormat="1" ht="171.6" x14ac:dyDescent="0.3">
      <c r="B15" s="161" t="s">
        <v>491</v>
      </c>
    </row>
    <row r="16" spans="2:2" x14ac:dyDescent="0.3">
      <c r="B16" s="111"/>
    </row>
  </sheetData>
  <sheetProtection password="DAE1" sheet="1" objects="1" scenarios="1" formatColumns="0" formatRows="0" autoFilter="0"/>
  <pageMargins left="0.70866141732283472" right="0.70866141732283472" top="0.74803149606299213" bottom="0.74803149606299213" header="0.31496062992125984" footer="0.31496062992125984"/>
  <pageSetup paperSize="9" scale="77" orientation="portrait" r:id="rId1"/>
  <headerFooter>
    <oddHeader>&amp;RInformation Classification: SEC2 Customer Confidential</oddHeader>
    <oddFooter>&amp;LFile: &amp;F&amp;C&amp;8Author: Paul Kalma&amp;RPage: &amp;P/&amp;N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6"/>
  <sheetViews>
    <sheetView zoomScaleNormal="100" workbookViewId="0"/>
  </sheetViews>
  <sheetFormatPr defaultRowHeight="14.4" x14ac:dyDescent="0.3"/>
  <cols>
    <col min="1" max="1" width="2" style="23" customWidth="1"/>
    <col min="2" max="2" width="98.33203125" customWidth="1"/>
  </cols>
  <sheetData>
    <row r="1" spans="2:7" s="23" customFormat="1" x14ac:dyDescent="0.3">
      <c r="B1" s="23" t="s">
        <v>18</v>
      </c>
    </row>
    <row r="2" spans="2:7" ht="29.25" customHeight="1" x14ac:dyDescent="0.5">
      <c r="B2" s="109" t="s">
        <v>513</v>
      </c>
    </row>
    <row r="3" spans="2:7" ht="18" x14ac:dyDescent="0.35">
      <c r="B3" s="2" t="s">
        <v>24</v>
      </c>
    </row>
    <row r="5" spans="2:7" ht="156" x14ac:dyDescent="0.3">
      <c r="B5" s="161" t="s">
        <v>1197</v>
      </c>
      <c r="C5" s="38"/>
      <c r="D5" s="38"/>
      <c r="E5" s="38"/>
      <c r="F5" s="38"/>
      <c r="G5" s="38"/>
    </row>
    <row r="6" spans="2:7" x14ac:dyDescent="0.3">
      <c r="B6" s="24"/>
      <c r="C6" s="24"/>
      <c r="D6" s="24"/>
      <c r="E6" s="24"/>
      <c r="F6" s="24"/>
      <c r="G6" s="24"/>
    </row>
    <row r="7" spans="2:7" ht="18" x14ac:dyDescent="0.35">
      <c r="B7" s="163" t="s">
        <v>25</v>
      </c>
      <c r="C7" s="24"/>
      <c r="D7" s="24"/>
      <c r="E7" s="24"/>
      <c r="F7" s="24"/>
      <c r="G7" s="24"/>
    </row>
    <row r="8" spans="2:7" x14ac:dyDescent="0.3">
      <c r="B8" s="164"/>
      <c r="C8" s="24"/>
      <c r="D8" s="24"/>
      <c r="E8" s="24"/>
      <c r="F8" s="24"/>
      <c r="G8" s="24"/>
    </row>
    <row r="9" spans="2:7" ht="15.6" x14ac:dyDescent="0.3">
      <c r="B9" s="165" t="s">
        <v>1196</v>
      </c>
      <c r="C9" s="40"/>
      <c r="D9" s="40"/>
      <c r="E9" s="40"/>
      <c r="F9" s="40"/>
      <c r="G9" s="40"/>
    </row>
    <row r="10" spans="2:7" ht="15.6" x14ac:dyDescent="0.3">
      <c r="B10" s="165" t="s">
        <v>458</v>
      </c>
      <c r="C10" s="40"/>
      <c r="D10" s="40"/>
      <c r="E10" s="40"/>
      <c r="F10" s="40"/>
      <c r="G10" s="40"/>
    </row>
    <row r="11" spans="2:7" ht="15.6" x14ac:dyDescent="0.3">
      <c r="B11" s="165" t="s">
        <v>26</v>
      </c>
      <c r="C11" s="40"/>
      <c r="D11" s="40"/>
      <c r="E11" s="40"/>
      <c r="F11" s="40"/>
      <c r="G11" s="40"/>
    </row>
    <row r="12" spans="2:7" ht="46.8" x14ac:dyDescent="0.3">
      <c r="B12" s="161" t="s">
        <v>457</v>
      </c>
      <c r="C12" s="36"/>
      <c r="D12" s="36"/>
      <c r="E12" s="36"/>
      <c r="F12" s="36"/>
      <c r="G12" s="36"/>
    </row>
    <row r="13" spans="2:7" ht="15.6" x14ac:dyDescent="0.3">
      <c r="B13" s="161" t="s">
        <v>29</v>
      </c>
      <c r="C13" s="36"/>
      <c r="D13" s="36"/>
      <c r="E13" s="36"/>
      <c r="F13" s="36"/>
      <c r="G13" s="36"/>
    </row>
    <row r="14" spans="2:7" s="23" customFormat="1" ht="31.2" x14ac:dyDescent="0.3">
      <c r="B14" s="166" t="s">
        <v>459</v>
      </c>
      <c r="C14" s="36"/>
      <c r="D14" s="36"/>
      <c r="E14" s="36"/>
      <c r="F14" s="36"/>
      <c r="G14" s="36"/>
    </row>
    <row r="15" spans="2:7" s="23" customFormat="1" x14ac:dyDescent="0.3">
      <c r="B15" s="36"/>
      <c r="C15" s="36"/>
      <c r="D15" s="36"/>
      <c r="E15" s="36"/>
      <c r="F15" s="36"/>
      <c r="G15" s="36"/>
    </row>
    <row r="16" spans="2:7" x14ac:dyDescent="0.3">
      <c r="B16" s="39"/>
      <c r="C16" s="39"/>
      <c r="D16" s="39"/>
      <c r="E16" s="39"/>
      <c r="F16" s="39"/>
      <c r="G16" s="39"/>
    </row>
  </sheetData>
  <sheetProtection password="DAE1" sheet="1" objects="1" scenarios="1" formatColumns="0" formatRows="0" autoFilter="0"/>
  <pageMargins left="0.70866141732283472" right="0.70866141732283472" top="0.74803149606299213" bottom="0.74803149606299213" header="0.31496062992125984" footer="0.31496062992125984"/>
  <pageSetup paperSize="9" orientation="portrait" r:id="rId1"/>
  <headerFooter>
    <oddHeader>&amp;RInformation Classification: SEC2 Customer Confidential</oddHeader>
    <oddFooter>&amp;LFile: &amp;F&amp;CWorksheet: &amp;A&amp;RPage: &amp;P/&amp;N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73"/>
  <sheetViews>
    <sheetView workbookViewId="0"/>
  </sheetViews>
  <sheetFormatPr defaultColWidth="9.109375" defaultRowHeight="11.4" x14ac:dyDescent="0.3"/>
  <cols>
    <col min="1" max="1" width="2.33203125" style="198" customWidth="1"/>
    <col min="2" max="2" width="7.44140625" style="186" bestFit="1" customWidth="1"/>
    <col min="3" max="3" width="16.88671875" style="186" customWidth="1"/>
    <col min="4" max="4" width="15.88671875" style="186" hidden="1" customWidth="1"/>
    <col min="5" max="5" width="6.6640625" style="186" bestFit="1" customWidth="1"/>
    <col min="6" max="6" width="64" style="182" customWidth="1"/>
    <col min="7" max="7" width="39.44140625" style="182" customWidth="1"/>
    <col min="8" max="8" width="2.5546875" style="198" customWidth="1"/>
    <col min="9" max="29" width="9.109375" style="198"/>
    <col min="30" max="16384" width="9.109375" style="179"/>
  </cols>
  <sheetData>
    <row r="1" spans="2:11" s="198" customFormat="1" ht="6" customHeight="1" x14ac:dyDescent="0.3">
      <c r="B1" s="199"/>
      <c r="C1" s="199"/>
      <c r="D1" s="199"/>
      <c r="E1" s="199"/>
      <c r="F1" s="200"/>
      <c r="G1" s="200"/>
    </row>
    <row r="2" spans="2:11" ht="15" customHeight="1" x14ac:dyDescent="0.3">
      <c r="B2" s="303" t="s">
        <v>524</v>
      </c>
      <c r="C2" s="304"/>
      <c r="D2" s="183" t="s">
        <v>515</v>
      </c>
      <c r="E2" s="183" t="s">
        <v>1</v>
      </c>
      <c r="F2" s="183" t="s">
        <v>0</v>
      </c>
      <c r="G2" s="183" t="s">
        <v>471</v>
      </c>
      <c r="I2" s="305" t="s">
        <v>492</v>
      </c>
      <c r="J2" s="306"/>
      <c r="K2" s="307"/>
    </row>
    <row r="3" spans="2:11" ht="22.8" x14ac:dyDescent="0.3">
      <c r="B3" s="320">
        <v>1</v>
      </c>
      <c r="C3" s="320" t="s">
        <v>450</v>
      </c>
      <c r="D3" s="320" t="s">
        <v>416</v>
      </c>
      <c r="E3" s="184">
        <v>1</v>
      </c>
      <c r="F3" s="180" t="s">
        <v>493</v>
      </c>
      <c r="G3" s="181" t="s">
        <v>472</v>
      </c>
      <c r="I3" s="308"/>
      <c r="J3" s="309"/>
      <c r="K3" s="310"/>
    </row>
    <row r="4" spans="2:11" ht="22.8" x14ac:dyDescent="0.3">
      <c r="B4" s="321"/>
      <c r="C4" s="321"/>
      <c r="D4" s="321"/>
      <c r="E4" s="184">
        <v>2</v>
      </c>
      <c r="F4" s="180" t="s">
        <v>484</v>
      </c>
      <c r="G4" s="181" t="s">
        <v>472</v>
      </c>
      <c r="I4" s="308"/>
      <c r="J4" s="309"/>
      <c r="K4" s="310"/>
    </row>
    <row r="5" spans="2:11" ht="22.8" x14ac:dyDescent="0.3">
      <c r="B5" s="322"/>
      <c r="C5" s="322"/>
      <c r="D5" s="322"/>
      <c r="E5" s="184">
        <v>3</v>
      </c>
      <c r="F5" s="180" t="s">
        <v>485</v>
      </c>
      <c r="G5" s="181" t="s">
        <v>472</v>
      </c>
      <c r="I5" s="308"/>
      <c r="J5" s="309"/>
      <c r="K5" s="310"/>
    </row>
    <row r="6" spans="2:11" ht="22.8" x14ac:dyDescent="0.3">
      <c r="B6" s="323">
        <v>2</v>
      </c>
      <c r="C6" s="323" t="s">
        <v>425</v>
      </c>
      <c r="D6" s="323" t="s">
        <v>417</v>
      </c>
      <c r="E6" s="218">
        <v>4</v>
      </c>
      <c r="F6" s="180" t="s">
        <v>486</v>
      </c>
      <c r="G6" s="181" t="s">
        <v>472</v>
      </c>
      <c r="I6" s="311"/>
      <c r="J6" s="312"/>
      <c r="K6" s="313"/>
    </row>
    <row r="7" spans="2:11" ht="22.8" x14ac:dyDescent="0.3">
      <c r="B7" s="324"/>
      <c r="C7" s="324"/>
      <c r="D7" s="324"/>
      <c r="E7" s="218">
        <v>5</v>
      </c>
      <c r="F7" s="180" t="s">
        <v>487</v>
      </c>
      <c r="G7" s="181" t="s">
        <v>473</v>
      </c>
      <c r="I7" s="200"/>
      <c r="J7" s="200"/>
      <c r="K7" s="200"/>
    </row>
    <row r="8" spans="2:11" ht="22.8" x14ac:dyDescent="0.3">
      <c r="B8" s="325"/>
      <c r="C8" s="325"/>
      <c r="D8" s="325"/>
      <c r="E8" s="218">
        <v>6</v>
      </c>
      <c r="F8" s="180" t="s">
        <v>488</v>
      </c>
      <c r="G8" s="181" t="s">
        <v>474</v>
      </c>
      <c r="I8" s="200"/>
      <c r="J8" s="200"/>
      <c r="K8" s="200"/>
    </row>
    <row r="9" spans="2:11" ht="22.8" x14ac:dyDescent="0.3">
      <c r="B9" s="314">
        <v>3</v>
      </c>
      <c r="C9" s="314" t="s">
        <v>426</v>
      </c>
      <c r="D9" s="314" t="s">
        <v>418</v>
      </c>
      <c r="E9" s="185">
        <v>7</v>
      </c>
      <c r="F9" s="180" t="s">
        <v>489</v>
      </c>
      <c r="G9" s="181" t="s">
        <v>475</v>
      </c>
    </row>
    <row r="10" spans="2:11" ht="34.200000000000003" x14ac:dyDescent="0.3">
      <c r="B10" s="315"/>
      <c r="C10" s="315"/>
      <c r="D10" s="315"/>
      <c r="E10" s="185">
        <v>8</v>
      </c>
      <c r="F10" s="180" t="s">
        <v>490</v>
      </c>
      <c r="G10" s="181" t="s">
        <v>476</v>
      </c>
    </row>
    <row r="11" spans="2:11" ht="34.200000000000003" x14ac:dyDescent="0.3">
      <c r="B11" s="316"/>
      <c r="C11" s="316"/>
      <c r="D11" s="316"/>
      <c r="E11" s="185">
        <v>9</v>
      </c>
      <c r="F11" s="180" t="s">
        <v>494</v>
      </c>
      <c r="G11" s="181" t="s">
        <v>477</v>
      </c>
    </row>
    <row r="12" spans="2:11" ht="22.8" x14ac:dyDescent="0.3">
      <c r="B12" s="300">
        <v>4</v>
      </c>
      <c r="C12" s="300" t="s">
        <v>427</v>
      </c>
      <c r="D12" s="317" t="s">
        <v>419</v>
      </c>
      <c r="E12" s="187">
        <v>10</v>
      </c>
      <c r="F12" s="180" t="s">
        <v>495</v>
      </c>
      <c r="G12" s="181" t="s">
        <v>478</v>
      </c>
    </row>
    <row r="13" spans="2:11" ht="22.8" x14ac:dyDescent="0.3">
      <c r="B13" s="301"/>
      <c r="C13" s="301"/>
      <c r="D13" s="318"/>
      <c r="E13" s="187">
        <v>11</v>
      </c>
      <c r="F13" s="180" t="s">
        <v>496</v>
      </c>
      <c r="G13" s="181" t="s">
        <v>479</v>
      </c>
    </row>
    <row r="14" spans="2:11" ht="34.200000000000003" x14ac:dyDescent="0.3">
      <c r="B14" s="302"/>
      <c r="C14" s="302"/>
      <c r="D14" s="318"/>
      <c r="E14" s="187">
        <v>12</v>
      </c>
      <c r="F14" s="180" t="s">
        <v>497</v>
      </c>
      <c r="G14" s="181" t="s">
        <v>480</v>
      </c>
    </row>
    <row r="15" spans="2:11" ht="34.200000000000003" x14ac:dyDescent="0.3">
      <c r="B15" s="297">
        <v>5</v>
      </c>
      <c r="C15" s="297" t="s">
        <v>481</v>
      </c>
      <c r="D15" s="318"/>
      <c r="E15" s="188">
        <v>13</v>
      </c>
      <c r="F15" s="180" t="s">
        <v>498</v>
      </c>
      <c r="G15" s="181" t="s">
        <v>482</v>
      </c>
    </row>
    <row r="16" spans="2:11" ht="34.200000000000003" x14ac:dyDescent="0.3">
      <c r="B16" s="298"/>
      <c r="C16" s="298"/>
      <c r="D16" s="318"/>
      <c r="E16" s="188">
        <v>14</v>
      </c>
      <c r="F16" s="180" t="s">
        <v>499</v>
      </c>
      <c r="G16" s="181" t="s">
        <v>500</v>
      </c>
    </row>
    <row r="17" spans="2:7" ht="22.8" x14ac:dyDescent="0.3">
      <c r="B17" s="299"/>
      <c r="C17" s="299"/>
      <c r="D17" s="319"/>
      <c r="E17" s="188">
        <v>15</v>
      </c>
      <c r="F17" s="180" t="s">
        <v>501</v>
      </c>
      <c r="G17" s="181" t="s">
        <v>483</v>
      </c>
    </row>
    <row r="18" spans="2:7" s="198" customFormat="1" x14ac:dyDescent="0.3">
      <c r="B18" s="199"/>
      <c r="C18" s="199"/>
      <c r="D18" s="199"/>
      <c r="E18" s="199"/>
      <c r="F18" s="200"/>
      <c r="G18" s="200"/>
    </row>
    <row r="19" spans="2:7" s="198" customFormat="1" x14ac:dyDescent="0.3">
      <c r="B19" s="199"/>
      <c r="C19" s="199"/>
      <c r="D19" s="199"/>
      <c r="E19" s="199"/>
      <c r="F19" s="200"/>
      <c r="G19" s="200"/>
    </row>
    <row r="20" spans="2:7" s="198" customFormat="1" x14ac:dyDescent="0.3">
      <c r="B20" s="199"/>
      <c r="C20" s="199"/>
      <c r="D20" s="199"/>
      <c r="E20" s="199"/>
      <c r="F20" s="200"/>
      <c r="G20" s="200"/>
    </row>
    <row r="21" spans="2:7" s="198" customFormat="1" x14ac:dyDescent="0.3">
      <c r="B21" s="199"/>
      <c r="C21" s="199"/>
      <c r="D21" s="199"/>
      <c r="E21" s="199"/>
      <c r="F21" s="200"/>
      <c r="G21" s="200"/>
    </row>
    <row r="22" spans="2:7" s="198" customFormat="1" x14ac:dyDescent="0.3">
      <c r="B22" s="199"/>
      <c r="C22" s="199"/>
      <c r="D22" s="199"/>
      <c r="E22" s="199"/>
      <c r="F22" s="200"/>
      <c r="G22" s="200"/>
    </row>
    <row r="23" spans="2:7" s="198" customFormat="1" x14ac:dyDescent="0.3">
      <c r="B23" s="199"/>
      <c r="C23" s="199"/>
      <c r="D23" s="199"/>
      <c r="E23" s="199"/>
      <c r="F23" s="200"/>
      <c r="G23" s="200"/>
    </row>
    <row r="24" spans="2:7" s="198" customFormat="1" x14ac:dyDescent="0.3">
      <c r="B24" s="199"/>
      <c r="C24" s="199"/>
      <c r="D24" s="199"/>
      <c r="E24" s="199"/>
      <c r="F24" s="200"/>
      <c r="G24" s="200"/>
    </row>
    <row r="25" spans="2:7" s="198" customFormat="1" x14ac:dyDescent="0.3">
      <c r="B25" s="199"/>
      <c r="C25" s="199"/>
      <c r="D25" s="199"/>
      <c r="E25" s="199"/>
      <c r="F25" s="200"/>
      <c r="G25" s="200"/>
    </row>
    <row r="26" spans="2:7" s="198" customFormat="1" x14ac:dyDescent="0.3">
      <c r="B26" s="199"/>
      <c r="C26" s="199"/>
      <c r="D26" s="199"/>
      <c r="E26" s="199"/>
      <c r="F26" s="200"/>
      <c r="G26" s="200"/>
    </row>
    <row r="27" spans="2:7" s="198" customFormat="1" x14ac:dyDescent="0.3">
      <c r="B27" s="199"/>
      <c r="C27" s="199"/>
      <c r="D27" s="199"/>
      <c r="E27" s="199"/>
      <c r="F27" s="200"/>
      <c r="G27" s="200"/>
    </row>
    <row r="28" spans="2:7" s="198" customFormat="1" x14ac:dyDescent="0.3">
      <c r="B28" s="199"/>
      <c r="C28" s="199"/>
      <c r="D28" s="199"/>
      <c r="E28" s="199"/>
      <c r="F28" s="200"/>
      <c r="G28" s="200"/>
    </row>
    <row r="29" spans="2:7" s="198" customFormat="1" x14ac:dyDescent="0.3">
      <c r="B29" s="199"/>
      <c r="C29" s="199"/>
      <c r="D29" s="199"/>
      <c r="E29" s="199"/>
      <c r="F29" s="200"/>
      <c r="G29" s="200"/>
    </row>
    <row r="30" spans="2:7" s="198" customFormat="1" x14ac:dyDescent="0.3">
      <c r="B30" s="199"/>
      <c r="C30" s="199"/>
      <c r="D30" s="199"/>
      <c r="E30" s="199"/>
      <c r="F30" s="200"/>
      <c r="G30" s="200"/>
    </row>
    <row r="31" spans="2:7" s="198" customFormat="1" x14ac:dyDescent="0.3">
      <c r="B31" s="199"/>
      <c r="C31" s="199"/>
      <c r="D31" s="199"/>
      <c r="E31" s="199"/>
      <c r="F31" s="200"/>
      <c r="G31" s="200"/>
    </row>
    <row r="32" spans="2:7" s="198" customFormat="1" x14ac:dyDescent="0.3">
      <c r="B32" s="199"/>
      <c r="C32" s="199"/>
      <c r="D32" s="199"/>
      <c r="E32" s="199"/>
      <c r="F32" s="200"/>
      <c r="G32" s="200"/>
    </row>
    <row r="33" spans="2:7" s="198" customFormat="1" x14ac:dyDescent="0.3">
      <c r="B33" s="199"/>
      <c r="C33" s="199"/>
      <c r="D33" s="199"/>
      <c r="E33" s="199"/>
      <c r="F33" s="200"/>
      <c r="G33" s="200"/>
    </row>
    <row r="34" spans="2:7" s="198" customFormat="1" x14ac:dyDescent="0.3">
      <c r="B34" s="199"/>
      <c r="C34" s="199"/>
      <c r="D34" s="199"/>
      <c r="E34" s="199"/>
      <c r="F34" s="200"/>
      <c r="G34" s="200"/>
    </row>
    <row r="35" spans="2:7" s="198" customFormat="1" x14ac:dyDescent="0.3">
      <c r="B35" s="199"/>
      <c r="C35" s="199"/>
      <c r="D35" s="199"/>
      <c r="E35" s="199"/>
      <c r="F35" s="200"/>
      <c r="G35" s="200"/>
    </row>
    <row r="36" spans="2:7" s="198" customFormat="1" x14ac:dyDescent="0.3">
      <c r="B36" s="199"/>
      <c r="C36" s="199"/>
      <c r="D36" s="199"/>
      <c r="E36" s="199"/>
      <c r="F36" s="200"/>
      <c r="G36" s="200"/>
    </row>
    <row r="37" spans="2:7" s="198" customFormat="1" x14ac:dyDescent="0.3">
      <c r="B37" s="199"/>
      <c r="C37" s="199"/>
      <c r="D37" s="199"/>
      <c r="E37" s="199"/>
      <c r="F37" s="200"/>
      <c r="G37" s="200"/>
    </row>
    <row r="38" spans="2:7" s="198" customFormat="1" x14ac:dyDescent="0.3">
      <c r="B38" s="199"/>
      <c r="C38" s="199"/>
      <c r="D38" s="199"/>
      <c r="E38" s="199"/>
      <c r="F38" s="200"/>
      <c r="G38" s="200"/>
    </row>
    <row r="39" spans="2:7" s="198" customFormat="1" x14ac:dyDescent="0.3">
      <c r="B39" s="199"/>
      <c r="C39" s="199"/>
      <c r="D39" s="199"/>
      <c r="E39" s="199"/>
      <c r="F39" s="200"/>
      <c r="G39" s="200"/>
    </row>
    <row r="40" spans="2:7" s="198" customFormat="1" x14ac:dyDescent="0.3">
      <c r="B40" s="199"/>
      <c r="C40" s="199"/>
      <c r="D40" s="199"/>
      <c r="E40" s="199"/>
      <c r="F40" s="200"/>
      <c r="G40" s="200"/>
    </row>
    <row r="41" spans="2:7" s="198" customFormat="1" x14ac:dyDescent="0.3">
      <c r="B41" s="199"/>
      <c r="C41" s="199"/>
      <c r="D41" s="199"/>
      <c r="E41" s="199"/>
      <c r="F41" s="200"/>
      <c r="G41" s="200"/>
    </row>
    <row r="42" spans="2:7" s="198" customFormat="1" x14ac:dyDescent="0.3">
      <c r="B42" s="199"/>
      <c r="C42" s="199"/>
      <c r="D42" s="199"/>
      <c r="E42" s="199"/>
      <c r="F42" s="200"/>
      <c r="G42" s="200"/>
    </row>
    <row r="43" spans="2:7" s="198" customFormat="1" x14ac:dyDescent="0.3">
      <c r="B43" s="199"/>
      <c r="C43" s="199"/>
      <c r="D43" s="199"/>
      <c r="E43" s="199"/>
      <c r="F43" s="200"/>
      <c r="G43" s="200"/>
    </row>
    <row r="44" spans="2:7" s="198" customFormat="1" x14ac:dyDescent="0.3">
      <c r="B44" s="199"/>
      <c r="C44" s="199"/>
      <c r="D44" s="199"/>
      <c r="E44" s="199"/>
      <c r="F44" s="200"/>
      <c r="G44" s="200"/>
    </row>
    <row r="45" spans="2:7" s="198" customFormat="1" x14ac:dyDescent="0.3">
      <c r="B45" s="199"/>
      <c r="C45" s="199"/>
      <c r="D45" s="199"/>
      <c r="E45" s="199"/>
      <c r="F45" s="200"/>
      <c r="G45" s="200"/>
    </row>
    <row r="46" spans="2:7" s="198" customFormat="1" x14ac:dyDescent="0.3">
      <c r="B46" s="199"/>
      <c r="C46" s="199"/>
      <c r="D46" s="199"/>
      <c r="E46" s="199"/>
      <c r="F46" s="200"/>
      <c r="G46" s="200"/>
    </row>
    <row r="47" spans="2:7" s="198" customFormat="1" x14ac:dyDescent="0.3">
      <c r="B47" s="199"/>
      <c r="C47" s="199"/>
      <c r="D47" s="199"/>
      <c r="E47" s="199"/>
      <c r="F47" s="200"/>
      <c r="G47" s="200"/>
    </row>
    <row r="48" spans="2:7" s="198" customFormat="1" x14ac:dyDescent="0.3">
      <c r="B48" s="199"/>
      <c r="C48" s="199"/>
      <c r="D48" s="199"/>
      <c r="E48" s="199"/>
      <c r="F48" s="200"/>
      <c r="G48" s="200"/>
    </row>
    <row r="49" spans="2:7" s="198" customFormat="1" x14ac:dyDescent="0.3">
      <c r="B49" s="199"/>
      <c r="C49" s="199"/>
      <c r="D49" s="199"/>
      <c r="E49" s="199"/>
      <c r="F49" s="200"/>
      <c r="G49" s="200"/>
    </row>
    <row r="50" spans="2:7" s="198" customFormat="1" x14ac:dyDescent="0.3">
      <c r="B50" s="199"/>
      <c r="C50" s="199"/>
      <c r="D50" s="199"/>
      <c r="E50" s="199"/>
      <c r="F50" s="200"/>
      <c r="G50" s="200"/>
    </row>
    <row r="51" spans="2:7" s="198" customFormat="1" x14ac:dyDescent="0.3">
      <c r="B51" s="199"/>
      <c r="C51" s="199"/>
      <c r="D51" s="199"/>
      <c r="E51" s="199"/>
      <c r="F51" s="200"/>
      <c r="G51" s="200"/>
    </row>
    <row r="52" spans="2:7" s="198" customFormat="1" x14ac:dyDescent="0.3">
      <c r="B52" s="199"/>
      <c r="C52" s="199"/>
      <c r="D52" s="199"/>
      <c r="E52" s="199"/>
      <c r="F52" s="200"/>
      <c r="G52" s="200"/>
    </row>
    <row r="53" spans="2:7" s="198" customFormat="1" x14ac:dyDescent="0.3">
      <c r="B53" s="199"/>
      <c r="C53" s="199"/>
      <c r="D53" s="199"/>
      <c r="E53" s="199"/>
      <c r="F53" s="200"/>
      <c r="G53" s="200"/>
    </row>
    <row r="54" spans="2:7" s="198" customFormat="1" x14ac:dyDescent="0.3">
      <c r="B54" s="199"/>
      <c r="C54" s="199"/>
      <c r="D54" s="199"/>
      <c r="E54" s="199"/>
      <c r="F54" s="200"/>
      <c r="G54" s="200"/>
    </row>
    <row r="55" spans="2:7" s="198" customFormat="1" x14ac:dyDescent="0.3">
      <c r="B55" s="199"/>
      <c r="C55" s="199"/>
      <c r="D55" s="199"/>
      <c r="E55" s="199"/>
      <c r="F55" s="200"/>
      <c r="G55" s="200"/>
    </row>
    <row r="56" spans="2:7" s="198" customFormat="1" x14ac:dyDescent="0.3">
      <c r="B56" s="199"/>
      <c r="C56" s="199"/>
      <c r="D56" s="199"/>
      <c r="E56" s="199"/>
      <c r="F56" s="200"/>
      <c r="G56" s="200"/>
    </row>
    <row r="57" spans="2:7" s="198" customFormat="1" x14ac:dyDescent="0.3">
      <c r="B57" s="199"/>
      <c r="C57" s="199"/>
      <c r="D57" s="199"/>
      <c r="E57" s="199"/>
      <c r="F57" s="200"/>
      <c r="G57" s="200"/>
    </row>
    <row r="58" spans="2:7" s="198" customFormat="1" x14ac:dyDescent="0.3">
      <c r="B58" s="199"/>
      <c r="C58" s="199"/>
      <c r="D58" s="199"/>
      <c r="E58" s="199"/>
      <c r="F58" s="200"/>
      <c r="G58" s="200"/>
    </row>
    <row r="59" spans="2:7" s="198" customFormat="1" x14ac:dyDescent="0.3">
      <c r="B59" s="199"/>
      <c r="C59" s="199"/>
      <c r="D59" s="199"/>
      <c r="E59" s="199"/>
      <c r="F59" s="200"/>
      <c r="G59" s="200"/>
    </row>
    <row r="60" spans="2:7" s="198" customFormat="1" x14ac:dyDescent="0.3">
      <c r="B60" s="199"/>
      <c r="C60" s="199"/>
      <c r="D60" s="199"/>
      <c r="E60" s="199"/>
      <c r="F60" s="200"/>
      <c r="G60" s="200"/>
    </row>
    <row r="61" spans="2:7" s="198" customFormat="1" x14ac:dyDescent="0.3">
      <c r="B61" s="199"/>
      <c r="C61" s="199"/>
      <c r="D61" s="199"/>
      <c r="E61" s="199"/>
      <c r="F61" s="200"/>
      <c r="G61" s="200"/>
    </row>
    <row r="62" spans="2:7" s="198" customFormat="1" x14ac:dyDescent="0.3">
      <c r="B62" s="199"/>
      <c r="C62" s="199"/>
      <c r="D62" s="199"/>
      <c r="E62" s="199"/>
      <c r="F62" s="200"/>
      <c r="G62" s="200"/>
    </row>
    <row r="63" spans="2:7" s="198" customFormat="1" x14ac:dyDescent="0.3">
      <c r="B63" s="199"/>
      <c r="C63" s="199"/>
      <c r="D63" s="199"/>
      <c r="E63" s="199"/>
      <c r="F63" s="200"/>
      <c r="G63" s="200"/>
    </row>
    <row r="64" spans="2:7" s="198" customFormat="1" x14ac:dyDescent="0.3">
      <c r="B64" s="199"/>
      <c r="C64" s="199"/>
      <c r="D64" s="199"/>
      <c r="E64" s="199"/>
      <c r="F64" s="200"/>
      <c r="G64" s="200"/>
    </row>
    <row r="65" spans="2:7" s="198" customFormat="1" x14ac:dyDescent="0.3">
      <c r="B65" s="199"/>
      <c r="C65" s="199"/>
      <c r="D65" s="199"/>
      <c r="E65" s="199"/>
      <c r="F65" s="200"/>
      <c r="G65" s="200"/>
    </row>
    <row r="66" spans="2:7" s="198" customFormat="1" x14ac:dyDescent="0.3">
      <c r="B66" s="199"/>
      <c r="C66" s="199"/>
      <c r="D66" s="199"/>
      <c r="E66" s="199"/>
      <c r="F66" s="200"/>
      <c r="G66" s="200"/>
    </row>
    <row r="67" spans="2:7" s="198" customFormat="1" x14ac:dyDescent="0.3">
      <c r="B67" s="199"/>
      <c r="C67" s="199"/>
      <c r="D67" s="199"/>
      <c r="E67" s="199"/>
      <c r="F67" s="200"/>
      <c r="G67" s="200"/>
    </row>
    <row r="68" spans="2:7" s="198" customFormat="1" x14ac:dyDescent="0.3">
      <c r="B68" s="199"/>
      <c r="C68" s="199"/>
      <c r="D68" s="199"/>
      <c r="E68" s="199"/>
      <c r="F68" s="200"/>
      <c r="G68" s="200"/>
    </row>
    <row r="69" spans="2:7" s="198" customFormat="1" x14ac:dyDescent="0.3">
      <c r="B69" s="199"/>
      <c r="C69" s="199"/>
      <c r="D69" s="199"/>
      <c r="E69" s="199"/>
      <c r="F69" s="200"/>
      <c r="G69" s="200"/>
    </row>
    <row r="70" spans="2:7" s="198" customFormat="1" x14ac:dyDescent="0.3">
      <c r="B70" s="199"/>
      <c r="C70" s="199"/>
      <c r="D70" s="199"/>
      <c r="E70" s="199"/>
      <c r="F70" s="200"/>
      <c r="G70" s="200"/>
    </row>
    <row r="71" spans="2:7" s="198" customFormat="1" x14ac:dyDescent="0.3">
      <c r="B71" s="199"/>
      <c r="C71" s="199"/>
      <c r="D71" s="199"/>
      <c r="E71" s="199"/>
      <c r="F71" s="200"/>
      <c r="G71" s="200"/>
    </row>
    <row r="72" spans="2:7" s="198" customFormat="1" x14ac:dyDescent="0.3">
      <c r="B72" s="199"/>
      <c r="C72" s="199"/>
      <c r="D72" s="199"/>
      <c r="E72" s="199"/>
      <c r="F72" s="200"/>
      <c r="G72" s="200"/>
    </row>
    <row r="73" spans="2:7" s="198" customFormat="1" x14ac:dyDescent="0.3">
      <c r="B73" s="199"/>
      <c r="C73" s="199"/>
      <c r="D73" s="199"/>
      <c r="E73" s="199"/>
      <c r="F73" s="200"/>
      <c r="G73" s="200"/>
    </row>
    <row r="74" spans="2:7" s="198" customFormat="1" x14ac:dyDescent="0.3">
      <c r="B74" s="199"/>
      <c r="C74" s="199"/>
      <c r="D74" s="199"/>
      <c r="E74" s="199"/>
      <c r="F74" s="200"/>
      <c r="G74" s="200"/>
    </row>
    <row r="75" spans="2:7" s="198" customFormat="1" x14ac:dyDescent="0.3">
      <c r="B75" s="199"/>
      <c r="C75" s="199"/>
      <c r="D75" s="199"/>
      <c r="E75" s="199"/>
      <c r="F75" s="200"/>
      <c r="G75" s="200"/>
    </row>
    <row r="76" spans="2:7" s="198" customFormat="1" x14ac:dyDescent="0.3">
      <c r="B76" s="199"/>
      <c r="C76" s="199"/>
      <c r="D76" s="199"/>
      <c r="E76" s="199"/>
      <c r="F76" s="200"/>
      <c r="G76" s="200"/>
    </row>
    <row r="77" spans="2:7" s="198" customFormat="1" x14ac:dyDescent="0.3">
      <c r="B77" s="199"/>
      <c r="C77" s="199"/>
      <c r="D77" s="199"/>
      <c r="E77" s="199"/>
      <c r="F77" s="200"/>
      <c r="G77" s="200"/>
    </row>
    <row r="78" spans="2:7" s="198" customFormat="1" x14ac:dyDescent="0.3">
      <c r="B78" s="199"/>
      <c r="C78" s="199"/>
      <c r="D78" s="199"/>
      <c r="E78" s="199"/>
      <c r="F78" s="200"/>
      <c r="G78" s="200"/>
    </row>
    <row r="79" spans="2:7" s="198" customFormat="1" x14ac:dyDescent="0.3">
      <c r="B79" s="199"/>
      <c r="C79" s="199"/>
      <c r="D79" s="199"/>
      <c r="E79" s="199"/>
      <c r="F79" s="200"/>
      <c r="G79" s="200"/>
    </row>
    <row r="80" spans="2:7" s="198" customFormat="1" x14ac:dyDescent="0.3">
      <c r="B80" s="199"/>
      <c r="C80" s="199"/>
      <c r="D80" s="199"/>
      <c r="E80" s="199"/>
      <c r="F80" s="200"/>
      <c r="G80" s="200"/>
    </row>
    <row r="81" spans="2:7" s="198" customFormat="1" x14ac:dyDescent="0.3">
      <c r="B81" s="199"/>
      <c r="C81" s="199"/>
      <c r="D81" s="199"/>
      <c r="E81" s="199"/>
      <c r="F81" s="200"/>
      <c r="G81" s="200"/>
    </row>
    <row r="82" spans="2:7" s="198" customFormat="1" x14ac:dyDescent="0.3">
      <c r="B82" s="199"/>
      <c r="C82" s="199"/>
      <c r="D82" s="199"/>
      <c r="E82" s="199"/>
      <c r="F82" s="200"/>
      <c r="G82" s="200"/>
    </row>
    <row r="83" spans="2:7" s="198" customFormat="1" x14ac:dyDescent="0.3">
      <c r="B83" s="199"/>
      <c r="C83" s="199"/>
      <c r="D83" s="199"/>
      <c r="E83" s="199"/>
      <c r="F83" s="200"/>
      <c r="G83" s="200"/>
    </row>
    <row r="84" spans="2:7" s="198" customFormat="1" x14ac:dyDescent="0.3">
      <c r="B84" s="199"/>
      <c r="C84" s="199"/>
      <c r="D84" s="199"/>
      <c r="E84" s="199"/>
      <c r="F84" s="200"/>
      <c r="G84" s="200"/>
    </row>
    <row r="85" spans="2:7" s="198" customFormat="1" x14ac:dyDescent="0.3">
      <c r="B85" s="199"/>
      <c r="C85" s="199"/>
      <c r="D85" s="199"/>
      <c r="E85" s="199"/>
      <c r="F85" s="200"/>
      <c r="G85" s="200"/>
    </row>
    <row r="86" spans="2:7" s="198" customFormat="1" x14ac:dyDescent="0.3">
      <c r="B86" s="199"/>
      <c r="C86" s="199"/>
      <c r="D86" s="199"/>
      <c r="E86" s="199"/>
      <c r="F86" s="200"/>
      <c r="G86" s="200"/>
    </row>
    <row r="87" spans="2:7" s="198" customFormat="1" x14ac:dyDescent="0.3">
      <c r="B87" s="199"/>
      <c r="C87" s="199"/>
      <c r="D87" s="199"/>
      <c r="E87" s="199"/>
      <c r="F87" s="200"/>
      <c r="G87" s="200"/>
    </row>
    <row r="88" spans="2:7" s="198" customFormat="1" x14ac:dyDescent="0.3">
      <c r="B88" s="199"/>
      <c r="C88" s="199"/>
      <c r="D88" s="199"/>
      <c r="E88" s="199"/>
      <c r="F88" s="200"/>
      <c r="G88" s="200"/>
    </row>
    <row r="89" spans="2:7" s="198" customFormat="1" x14ac:dyDescent="0.3">
      <c r="B89" s="199"/>
      <c r="C89" s="199"/>
      <c r="D89" s="199"/>
      <c r="E89" s="199"/>
      <c r="F89" s="200"/>
      <c r="G89" s="200"/>
    </row>
    <row r="90" spans="2:7" s="198" customFormat="1" x14ac:dyDescent="0.3">
      <c r="B90" s="199"/>
      <c r="C90" s="199"/>
      <c r="D90" s="199"/>
      <c r="E90" s="199"/>
      <c r="F90" s="200"/>
      <c r="G90" s="200"/>
    </row>
    <row r="91" spans="2:7" s="198" customFormat="1" x14ac:dyDescent="0.3">
      <c r="B91" s="199"/>
      <c r="C91" s="199"/>
      <c r="D91" s="199"/>
      <c r="E91" s="199"/>
      <c r="F91" s="200"/>
      <c r="G91" s="200"/>
    </row>
    <row r="92" spans="2:7" s="198" customFormat="1" x14ac:dyDescent="0.3">
      <c r="B92" s="199"/>
      <c r="C92" s="199"/>
      <c r="D92" s="199"/>
      <c r="E92" s="199"/>
      <c r="F92" s="200"/>
      <c r="G92" s="200"/>
    </row>
    <row r="93" spans="2:7" s="198" customFormat="1" x14ac:dyDescent="0.3">
      <c r="B93" s="199"/>
      <c r="C93" s="199"/>
      <c r="D93" s="199"/>
      <c r="E93" s="199"/>
      <c r="F93" s="200"/>
      <c r="G93" s="200"/>
    </row>
    <row r="94" spans="2:7" s="198" customFormat="1" x14ac:dyDescent="0.3">
      <c r="B94" s="199"/>
      <c r="C94" s="199"/>
      <c r="D94" s="199"/>
      <c r="E94" s="199"/>
      <c r="F94" s="200"/>
      <c r="G94" s="200"/>
    </row>
    <row r="95" spans="2:7" s="198" customFormat="1" x14ac:dyDescent="0.3">
      <c r="B95" s="199"/>
      <c r="C95" s="199"/>
      <c r="D95" s="199"/>
      <c r="E95" s="199"/>
      <c r="F95" s="200"/>
      <c r="G95" s="200"/>
    </row>
    <row r="96" spans="2:7" s="198" customFormat="1" x14ac:dyDescent="0.3">
      <c r="B96" s="199"/>
      <c r="C96" s="199"/>
      <c r="D96" s="199"/>
      <c r="E96" s="199"/>
      <c r="F96" s="200"/>
      <c r="G96" s="200"/>
    </row>
    <row r="97" spans="2:7" s="198" customFormat="1" x14ac:dyDescent="0.3">
      <c r="B97" s="199"/>
      <c r="C97" s="199"/>
      <c r="D97" s="199"/>
      <c r="E97" s="199"/>
      <c r="F97" s="200"/>
      <c r="G97" s="200"/>
    </row>
    <row r="98" spans="2:7" s="198" customFormat="1" x14ac:dyDescent="0.3">
      <c r="B98" s="199"/>
      <c r="C98" s="199"/>
      <c r="D98" s="199"/>
      <c r="E98" s="199"/>
      <c r="F98" s="200"/>
      <c r="G98" s="200"/>
    </row>
    <row r="99" spans="2:7" s="198" customFormat="1" x14ac:dyDescent="0.3">
      <c r="B99" s="199"/>
      <c r="C99" s="199"/>
      <c r="D99" s="199"/>
      <c r="E99" s="199"/>
      <c r="F99" s="200"/>
      <c r="G99" s="200"/>
    </row>
    <row r="100" spans="2:7" s="198" customFormat="1" x14ac:dyDescent="0.3">
      <c r="B100" s="199"/>
      <c r="C100" s="199"/>
      <c r="D100" s="199"/>
      <c r="E100" s="199"/>
      <c r="F100" s="200"/>
      <c r="G100" s="200"/>
    </row>
    <row r="101" spans="2:7" s="198" customFormat="1" x14ac:dyDescent="0.3">
      <c r="B101" s="199"/>
      <c r="C101" s="199"/>
      <c r="D101" s="199"/>
      <c r="E101" s="199"/>
      <c r="F101" s="200"/>
      <c r="G101" s="200"/>
    </row>
    <row r="102" spans="2:7" s="198" customFormat="1" x14ac:dyDescent="0.3">
      <c r="B102" s="199"/>
      <c r="C102" s="199"/>
      <c r="D102" s="199"/>
      <c r="E102" s="199"/>
      <c r="F102" s="200"/>
      <c r="G102" s="200"/>
    </row>
    <row r="103" spans="2:7" s="198" customFormat="1" x14ac:dyDescent="0.3">
      <c r="B103" s="199"/>
      <c r="C103" s="199"/>
      <c r="D103" s="199"/>
      <c r="E103" s="199"/>
      <c r="F103" s="200"/>
      <c r="G103" s="200"/>
    </row>
    <row r="104" spans="2:7" s="198" customFormat="1" x14ac:dyDescent="0.3">
      <c r="B104" s="199"/>
      <c r="C104" s="199"/>
      <c r="D104" s="199"/>
      <c r="E104" s="199"/>
      <c r="F104" s="200"/>
      <c r="G104" s="200"/>
    </row>
    <row r="105" spans="2:7" s="198" customFormat="1" x14ac:dyDescent="0.3">
      <c r="B105" s="199"/>
      <c r="C105" s="199"/>
      <c r="D105" s="199"/>
      <c r="E105" s="199"/>
      <c r="F105" s="200"/>
      <c r="G105" s="200"/>
    </row>
    <row r="106" spans="2:7" s="198" customFormat="1" x14ac:dyDescent="0.3">
      <c r="B106" s="199"/>
      <c r="C106" s="199"/>
      <c r="D106" s="199"/>
      <c r="E106" s="199"/>
      <c r="F106" s="200"/>
      <c r="G106" s="200"/>
    </row>
    <row r="107" spans="2:7" s="198" customFormat="1" x14ac:dyDescent="0.3">
      <c r="B107" s="199"/>
      <c r="C107" s="199"/>
      <c r="D107" s="199"/>
      <c r="E107" s="199"/>
      <c r="F107" s="200"/>
      <c r="G107" s="200"/>
    </row>
    <row r="108" spans="2:7" s="198" customFormat="1" x14ac:dyDescent="0.3">
      <c r="B108" s="199"/>
      <c r="C108" s="199"/>
      <c r="D108" s="199"/>
      <c r="E108" s="199"/>
      <c r="F108" s="200"/>
      <c r="G108" s="200"/>
    </row>
    <row r="109" spans="2:7" s="198" customFormat="1" x14ac:dyDescent="0.3">
      <c r="B109" s="199"/>
      <c r="C109" s="199"/>
      <c r="D109" s="199"/>
      <c r="E109" s="199"/>
      <c r="F109" s="200"/>
      <c r="G109" s="200"/>
    </row>
    <row r="110" spans="2:7" s="198" customFormat="1" x14ac:dyDescent="0.3">
      <c r="B110" s="199"/>
      <c r="C110" s="199"/>
      <c r="D110" s="199"/>
      <c r="E110" s="199"/>
      <c r="F110" s="200"/>
      <c r="G110" s="200"/>
    </row>
    <row r="111" spans="2:7" s="198" customFormat="1" x14ac:dyDescent="0.3">
      <c r="B111" s="199"/>
      <c r="C111" s="199"/>
      <c r="D111" s="199"/>
      <c r="E111" s="199"/>
      <c r="F111" s="200"/>
      <c r="G111" s="200"/>
    </row>
    <row r="112" spans="2:7" s="198" customFormat="1" x14ac:dyDescent="0.3">
      <c r="B112" s="199"/>
      <c r="C112" s="199"/>
      <c r="D112" s="199"/>
      <c r="E112" s="199"/>
      <c r="F112" s="200"/>
      <c r="G112" s="200"/>
    </row>
    <row r="113" spans="2:7" s="198" customFormat="1" x14ac:dyDescent="0.3">
      <c r="B113" s="199"/>
      <c r="C113" s="199"/>
      <c r="D113" s="199"/>
      <c r="E113" s="199"/>
      <c r="F113" s="200"/>
      <c r="G113" s="200"/>
    </row>
    <row r="114" spans="2:7" s="198" customFormat="1" x14ac:dyDescent="0.3">
      <c r="B114" s="199"/>
      <c r="C114" s="199"/>
      <c r="D114" s="199"/>
      <c r="E114" s="199"/>
      <c r="F114" s="200"/>
      <c r="G114" s="200"/>
    </row>
    <row r="115" spans="2:7" s="198" customFormat="1" x14ac:dyDescent="0.3">
      <c r="B115" s="199"/>
      <c r="C115" s="199"/>
      <c r="D115" s="199"/>
      <c r="E115" s="199"/>
      <c r="F115" s="200"/>
      <c r="G115" s="200"/>
    </row>
    <row r="116" spans="2:7" s="198" customFormat="1" x14ac:dyDescent="0.3">
      <c r="B116" s="199"/>
      <c r="C116" s="199"/>
      <c r="D116" s="199"/>
      <c r="E116" s="199"/>
      <c r="F116" s="200"/>
      <c r="G116" s="200"/>
    </row>
    <row r="117" spans="2:7" s="198" customFormat="1" x14ac:dyDescent="0.3">
      <c r="B117" s="199"/>
      <c r="C117" s="199"/>
      <c r="D117" s="199"/>
      <c r="E117" s="199"/>
      <c r="F117" s="200"/>
      <c r="G117" s="200"/>
    </row>
    <row r="118" spans="2:7" s="198" customFormat="1" x14ac:dyDescent="0.3">
      <c r="B118" s="199"/>
      <c r="C118" s="199"/>
      <c r="D118" s="199"/>
      <c r="E118" s="199"/>
      <c r="F118" s="200"/>
      <c r="G118" s="200"/>
    </row>
    <row r="119" spans="2:7" s="198" customFormat="1" x14ac:dyDescent="0.3">
      <c r="B119" s="199"/>
      <c r="C119" s="199"/>
      <c r="D119" s="199"/>
      <c r="E119" s="199"/>
      <c r="F119" s="200"/>
      <c r="G119" s="200"/>
    </row>
    <row r="120" spans="2:7" s="198" customFormat="1" x14ac:dyDescent="0.3">
      <c r="B120" s="199"/>
      <c r="C120" s="199"/>
      <c r="D120" s="199"/>
      <c r="E120" s="199"/>
      <c r="F120" s="200"/>
      <c r="G120" s="200"/>
    </row>
    <row r="121" spans="2:7" s="198" customFormat="1" x14ac:dyDescent="0.3">
      <c r="B121" s="199"/>
      <c r="C121" s="199"/>
      <c r="D121" s="199"/>
      <c r="E121" s="199"/>
      <c r="F121" s="200"/>
      <c r="G121" s="200"/>
    </row>
    <row r="122" spans="2:7" s="198" customFormat="1" x14ac:dyDescent="0.3">
      <c r="B122" s="199"/>
      <c r="C122" s="199"/>
      <c r="D122" s="199"/>
      <c r="E122" s="199"/>
      <c r="F122" s="200"/>
      <c r="G122" s="200"/>
    </row>
    <row r="123" spans="2:7" s="198" customFormat="1" x14ac:dyDescent="0.3">
      <c r="B123" s="199"/>
      <c r="C123" s="199"/>
      <c r="D123" s="199"/>
      <c r="E123" s="199"/>
      <c r="F123" s="200"/>
      <c r="G123" s="200"/>
    </row>
    <row r="124" spans="2:7" s="198" customFormat="1" x14ac:dyDescent="0.3">
      <c r="B124" s="199"/>
      <c r="C124" s="199"/>
      <c r="D124" s="199"/>
      <c r="E124" s="199"/>
      <c r="F124" s="200"/>
      <c r="G124" s="200"/>
    </row>
    <row r="125" spans="2:7" s="198" customFormat="1" x14ac:dyDescent="0.3">
      <c r="B125" s="199"/>
      <c r="C125" s="199"/>
      <c r="D125" s="199"/>
      <c r="E125" s="199"/>
      <c r="F125" s="200"/>
      <c r="G125" s="200"/>
    </row>
    <row r="126" spans="2:7" s="198" customFormat="1" x14ac:dyDescent="0.3">
      <c r="B126" s="199"/>
      <c r="C126" s="199"/>
      <c r="D126" s="199"/>
      <c r="E126" s="199"/>
      <c r="F126" s="200"/>
      <c r="G126" s="200"/>
    </row>
    <row r="127" spans="2:7" s="198" customFormat="1" x14ac:dyDescent="0.3">
      <c r="B127" s="199"/>
      <c r="C127" s="199"/>
      <c r="D127" s="199"/>
      <c r="E127" s="199"/>
      <c r="F127" s="200"/>
      <c r="G127" s="200"/>
    </row>
    <row r="128" spans="2:7" s="198" customFormat="1" x14ac:dyDescent="0.3">
      <c r="B128" s="199"/>
      <c r="C128" s="199"/>
      <c r="D128" s="199"/>
      <c r="E128" s="199"/>
      <c r="F128" s="200"/>
      <c r="G128" s="200"/>
    </row>
    <row r="129" spans="2:7" s="198" customFormat="1" x14ac:dyDescent="0.3">
      <c r="B129" s="199"/>
      <c r="C129" s="199"/>
      <c r="D129" s="199"/>
      <c r="E129" s="199"/>
      <c r="F129" s="200"/>
      <c r="G129" s="200"/>
    </row>
    <row r="130" spans="2:7" s="198" customFormat="1" x14ac:dyDescent="0.3">
      <c r="B130" s="199"/>
      <c r="C130" s="199"/>
      <c r="D130" s="199"/>
      <c r="E130" s="199"/>
      <c r="F130" s="200"/>
      <c r="G130" s="200"/>
    </row>
    <row r="131" spans="2:7" s="198" customFormat="1" x14ac:dyDescent="0.3">
      <c r="B131" s="199"/>
      <c r="C131" s="199"/>
      <c r="D131" s="199"/>
      <c r="E131" s="199"/>
      <c r="F131" s="200"/>
      <c r="G131" s="200"/>
    </row>
    <row r="132" spans="2:7" s="198" customFormat="1" x14ac:dyDescent="0.3">
      <c r="B132" s="199"/>
      <c r="C132" s="199"/>
      <c r="D132" s="199"/>
      <c r="E132" s="199"/>
      <c r="F132" s="200"/>
      <c r="G132" s="200"/>
    </row>
    <row r="133" spans="2:7" s="198" customFormat="1" x14ac:dyDescent="0.3">
      <c r="B133" s="199"/>
      <c r="C133" s="199"/>
      <c r="D133" s="199"/>
      <c r="E133" s="199"/>
      <c r="F133" s="200"/>
      <c r="G133" s="200"/>
    </row>
    <row r="134" spans="2:7" s="198" customFormat="1" x14ac:dyDescent="0.3">
      <c r="B134" s="199"/>
      <c r="C134" s="199"/>
      <c r="D134" s="199"/>
      <c r="E134" s="199"/>
      <c r="F134" s="200"/>
      <c r="G134" s="200"/>
    </row>
    <row r="135" spans="2:7" s="198" customFormat="1" x14ac:dyDescent="0.3">
      <c r="B135" s="199"/>
      <c r="C135" s="199"/>
      <c r="D135" s="199"/>
      <c r="E135" s="199"/>
      <c r="F135" s="200"/>
      <c r="G135" s="200"/>
    </row>
    <row r="136" spans="2:7" s="198" customFormat="1" x14ac:dyDescent="0.3">
      <c r="B136" s="199"/>
      <c r="C136" s="199"/>
      <c r="D136" s="199"/>
      <c r="E136" s="199"/>
      <c r="F136" s="200"/>
      <c r="G136" s="200"/>
    </row>
    <row r="137" spans="2:7" s="198" customFormat="1" x14ac:dyDescent="0.3">
      <c r="B137" s="199"/>
      <c r="C137" s="199"/>
      <c r="D137" s="199"/>
      <c r="E137" s="199"/>
      <c r="F137" s="200"/>
      <c r="G137" s="200"/>
    </row>
    <row r="138" spans="2:7" s="198" customFormat="1" x14ac:dyDescent="0.3">
      <c r="B138" s="199"/>
      <c r="C138" s="199"/>
      <c r="D138" s="199"/>
      <c r="E138" s="199"/>
      <c r="F138" s="200"/>
      <c r="G138" s="200"/>
    </row>
    <row r="139" spans="2:7" s="198" customFormat="1" x14ac:dyDescent="0.3">
      <c r="B139" s="199"/>
      <c r="C139" s="199"/>
      <c r="D139" s="199"/>
      <c r="E139" s="199"/>
      <c r="F139" s="200"/>
      <c r="G139" s="200"/>
    </row>
    <row r="140" spans="2:7" s="198" customFormat="1" x14ac:dyDescent="0.3">
      <c r="B140" s="199"/>
      <c r="C140" s="199"/>
      <c r="D140" s="199"/>
      <c r="E140" s="199"/>
      <c r="F140" s="200"/>
      <c r="G140" s="200"/>
    </row>
    <row r="141" spans="2:7" s="198" customFormat="1" x14ac:dyDescent="0.3">
      <c r="B141" s="199"/>
      <c r="C141" s="199"/>
      <c r="D141" s="199"/>
      <c r="E141" s="199"/>
      <c r="F141" s="200"/>
      <c r="G141" s="200"/>
    </row>
    <row r="142" spans="2:7" s="198" customFormat="1" x14ac:dyDescent="0.3">
      <c r="B142" s="199"/>
      <c r="C142" s="199"/>
      <c r="D142" s="199"/>
      <c r="E142" s="199"/>
      <c r="F142" s="200"/>
      <c r="G142" s="200"/>
    </row>
    <row r="143" spans="2:7" s="198" customFormat="1" x14ac:dyDescent="0.3">
      <c r="B143" s="199"/>
      <c r="C143" s="199"/>
      <c r="D143" s="199"/>
      <c r="E143" s="199"/>
      <c r="F143" s="200"/>
      <c r="G143" s="200"/>
    </row>
    <row r="144" spans="2:7" s="198" customFormat="1" x14ac:dyDescent="0.3">
      <c r="B144" s="199"/>
      <c r="C144" s="199"/>
      <c r="D144" s="199"/>
      <c r="E144" s="199"/>
      <c r="F144" s="200"/>
      <c r="G144" s="200"/>
    </row>
    <row r="145" spans="2:7" s="198" customFormat="1" x14ac:dyDescent="0.3">
      <c r="B145" s="199"/>
      <c r="C145" s="199"/>
      <c r="D145" s="199"/>
      <c r="E145" s="199"/>
      <c r="F145" s="200"/>
      <c r="G145" s="200"/>
    </row>
    <row r="146" spans="2:7" s="198" customFormat="1" x14ac:dyDescent="0.3">
      <c r="B146" s="199"/>
      <c r="C146" s="199"/>
      <c r="D146" s="199"/>
      <c r="E146" s="199"/>
      <c r="F146" s="200"/>
      <c r="G146" s="200"/>
    </row>
    <row r="147" spans="2:7" s="198" customFormat="1" x14ac:dyDescent="0.3">
      <c r="B147" s="199"/>
      <c r="C147" s="199"/>
      <c r="D147" s="199"/>
      <c r="E147" s="199"/>
      <c r="F147" s="200"/>
      <c r="G147" s="200"/>
    </row>
    <row r="148" spans="2:7" s="198" customFormat="1" x14ac:dyDescent="0.3">
      <c r="B148" s="199"/>
      <c r="C148" s="199"/>
      <c r="D148" s="199"/>
      <c r="E148" s="199"/>
      <c r="F148" s="200"/>
      <c r="G148" s="200"/>
    </row>
    <row r="149" spans="2:7" s="198" customFormat="1" x14ac:dyDescent="0.3">
      <c r="B149" s="199"/>
      <c r="C149" s="199"/>
      <c r="D149" s="199"/>
      <c r="E149" s="199"/>
      <c r="F149" s="200"/>
      <c r="G149" s="200"/>
    </row>
    <row r="150" spans="2:7" s="198" customFormat="1" x14ac:dyDescent="0.3">
      <c r="B150" s="199"/>
      <c r="C150" s="199"/>
      <c r="D150" s="199"/>
      <c r="E150" s="199"/>
      <c r="F150" s="200"/>
      <c r="G150" s="200"/>
    </row>
    <row r="151" spans="2:7" s="198" customFormat="1" x14ac:dyDescent="0.3">
      <c r="B151" s="199"/>
      <c r="C151" s="199"/>
      <c r="D151" s="199"/>
      <c r="E151" s="199"/>
      <c r="F151" s="200"/>
      <c r="G151" s="200"/>
    </row>
    <row r="152" spans="2:7" s="198" customFormat="1" x14ac:dyDescent="0.3">
      <c r="B152" s="199"/>
      <c r="C152" s="199"/>
      <c r="D152" s="199"/>
      <c r="E152" s="199"/>
      <c r="F152" s="200"/>
      <c r="G152" s="200"/>
    </row>
    <row r="153" spans="2:7" s="198" customFormat="1" x14ac:dyDescent="0.3">
      <c r="B153" s="199"/>
      <c r="C153" s="199"/>
      <c r="D153" s="199"/>
      <c r="E153" s="199"/>
      <c r="F153" s="200"/>
      <c r="G153" s="200"/>
    </row>
    <row r="154" spans="2:7" s="198" customFormat="1" x14ac:dyDescent="0.3">
      <c r="B154" s="199"/>
      <c r="C154" s="199"/>
      <c r="D154" s="199"/>
      <c r="E154" s="199"/>
      <c r="F154" s="200"/>
      <c r="G154" s="200"/>
    </row>
    <row r="155" spans="2:7" s="198" customFormat="1" x14ac:dyDescent="0.3">
      <c r="B155" s="199"/>
      <c r="C155" s="199"/>
      <c r="D155" s="199"/>
      <c r="E155" s="199"/>
      <c r="F155" s="200"/>
      <c r="G155" s="200"/>
    </row>
    <row r="156" spans="2:7" s="198" customFormat="1" x14ac:dyDescent="0.3">
      <c r="B156" s="199"/>
      <c r="C156" s="199"/>
      <c r="D156" s="199"/>
      <c r="E156" s="199"/>
      <c r="F156" s="200"/>
      <c r="G156" s="200"/>
    </row>
    <row r="157" spans="2:7" s="198" customFormat="1" x14ac:dyDescent="0.3">
      <c r="B157" s="199"/>
      <c r="C157" s="199"/>
      <c r="D157" s="199"/>
      <c r="E157" s="199"/>
      <c r="F157" s="200"/>
      <c r="G157" s="200"/>
    </row>
    <row r="158" spans="2:7" s="198" customFormat="1" x14ac:dyDescent="0.3">
      <c r="B158" s="199"/>
      <c r="C158" s="199"/>
      <c r="D158" s="199"/>
      <c r="E158" s="199"/>
      <c r="F158" s="200"/>
      <c r="G158" s="200"/>
    </row>
    <row r="159" spans="2:7" s="198" customFormat="1" x14ac:dyDescent="0.3">
      <c r="B159" s="199"/>
      <c r="C159" s="199"/>
      <c r="D159" s="199"/>
      <c r="E159" s="199"/>
      <c r="F159" s="200"/>
      <c r="G159" s="200"/>
    </row>
    <row r="160" spans="2:7" s="198" customFormat="1" x14ac:dyDescent="0.3">
      <c r="B160" s="199"/>
      <c r="C160" s="199"/>
      <c r="D160" s="199"/>
      <c r="E160" s="199"/>
      <c r="F160" s="200"/>
      <c r="G160" s="200"/>
    </row>
    <row r="161" spans="2:7" s="198" customFormat="1" x14ac:dyDescent="0.3">
      <c r="B161" s="199"/>
      <c r="C161" s="199"/>
      <c r="D161" s="199"/>
      <c r="E161" s="199"/>
      <c r="F161" s="200"/>
      <c r="G161" s="200"/>
    </row>
    <row r="162" spans="2:7" s="198" customFormat="1" x14ac:dyDescent="0.3">
      <c r="B162" s="199"/>
      <c r="C162" s="199"/>
      <c r="D162" s="199"/>
      <c r="E162" s="199"/>
      <c r="F162" s="200"/>
      <c r="G162" s="200"/>
    </row>
    <row r="163" spans="2:7" s="198" customFormat="1" x14ac:dyDescent="0.3">
      <c r="B163" s="199"/>
      <c r="C163" s="199"/>
      <c r="D163" s="199"/>
      <c r="E163" s="199"/>
      <c r="F163" s="200"/>
      <c r="G163" s="200"/>
    </row>
    <row r="164" spans="2:7" s="198" customFormat="1" x14ac:dyDescent="0.3">
      <c r="B164" s="199"/>
      <c r="C164" s="199"/>
      <c r="D164" s="199"/>
      <c r="E164" s="199"/>
      <c r="F164" s="200"/>
      <c r="G164" s="200"/>
    </row>
    <row r="165" spans="2:7" s="198" customFormat="1" x14ac:dyDescent="0.3">
      <c r="B165" s="199"/>
      <c r="C165" s="199"/>
      <c r="D165" s="199"/>
      <c r="E165" s="199"/>
      <c r="F165" s="200"/>
      <c r="G165" s="200"/>
    </row>
    <row r="166" spans="2:7" s="198" customFormat="1" x14ac:dyDescent="0.3">
      <c r="B166" s="199"/>
      <c r="C166" s="199"/>
      <c r="D166" s="199"/>
      <c r="E166" s="199"/>
      <c r="F166" s="200"/>
      <c r="G166" s="200"/>
    </row>
    <row r="167" spans="2:7" s="198" customFormat="1" x14ac:dyDescent="0.3">
      <c r="B167" s="199"/>
      <c r="C167" s="199"/>
      <c r="D167" s="199"/>
      <c r="E167" s="199"/>
      <c r="F167" s="200"/>
      <c r="G167" s="200"/>
    </row>
    <row r="168" spans="2:7" s="198" customFormat="1" x14ac:dyDescent="0.3">
      <c r="B168" s="199"/>
      <c r="C168" s="199"/>
      <c r="D168" s="199"/>
      <c r="E168" s="199"/>
      <c r="F168" s="200"/>
      <c r="G168" s="200"/>
    </row>
    <row r="169" spans="2:7" s="198" customFormat="1" x14ac:dyDescent="0.3">
      <c r="B169" s="199"/>
      <c r="C169" s="199"/>
      <c r="D169" s="199"/>
      <c r="E169" s="199"/>
      <c r="F169" s="200"/>
      <c r="G169" s="200"/>
    </row>
    <row r="170" spans="2:7" s="198" customFormat="1" x14ac:dyDescent="0.3">
      <c r="B170" s="199"/>
      <c r="C170" s="199"/>
      <c r="D170" s="199"/>
      <c r="E170" s="199"/>
      <c r="F170" s="200"/>
      <c r="G170" s="200"/>
    </row>
    <row r="171" spans="2:7" s="198" customFormat="1" x14ac:dyDescent="0.3">
      <c r="B171" s="199"/>
      <c r="C171" s="199"/>
      <c r="D171" s="199"/>
      <c r="E171" s="199"/>
      <c r="F171" s="200"/>
      <c r="G171" s="200"/>
    </row>
    <row r="172" spans="2:7" s="198" customFormat="1" x14ac:dyDescent="0.3">
      <c r="B172" s="199"/>
      <c r="C172" s="199"/>
      <c r="D172" s="199"/>
      <c r="E172" s="199"/>
      <c r="F172" s="200"/>
      <c r="G172" s="200"/>
    </row>
    <row r="173" spans="2:7" s="198" customFormat="1" x14ac:dyDescent="0.3">
      <c r="B173" s="199"/>
      <c r="C173" s="199"/>
      <c r="D173" s="199"/>
      <c r="E173" s="199"/>
      <c r="F173" s="200"/>
      <c r="G173" s="200"/>
    </row>
    <row r="174" spans="2:7" s="198" customFormat="1" x14ac:dyDescent="0.3">
      <c r="B174" s="199"/>
      <c r="C174" s="199"/>
      <c r="D174" s="199"/>
      <c r="E174" s="199"/>
      <c r="F174" s="200"/>
      <c r="G174" s="200"/>
    </row>
    <row r="175" spans="2:7" s="198" customFormat="1" x14ac:dyDescent="0.3">
      <c r="B175" s="199"/>
      <c r="C175" s="199"/>
      <c r="D175" s="199"/>
      <c r="E175" s="199"/>
      <c r="F175" s="200"/>
      <c r="G175" s="200"/>
    </row>
    <row r="176" spans="2:7" s="198" customFormat="1" x14ac:dyDescent="0.3">
      <c r="B176" s="199"/>
      <c r="C176" s="199"/>
      <c r="D176" s="199"/>
      <c r="E176" s="199"/>
      <c r="F176" s="200"/>
      <c r="G176" s="200"/>
    </row>
    <row r="177" spans="2:7" s="198" customFormat="1" x14ac:dyDescent="0.3">
      <c r="B177" s="199"/>
      <c r="C177" s="199"/>
      <c r="D177" s="199"/>
      <c r="E177" s="199"/>
      <c r="F177" s="200"/>
      <c r="G177" s="200"/>
    </row>
    <row r="178" spans="2:7" s="198" customFormat="1" x14ac:dyDescent="0.3">
      <c r="B178" s="199"/>
      <c r="C178" s="199"/>
      <c r="D178" s="199"/>
      <c r="E178" s="199"/>
      <c r="F178" s="200"/>
      <c r="G178" s="200"/>
    </row>
    <row r="179" spans="2:7" s="198" customFormat="1" x14ac:dyDescent="0.3">
      <c r="B179" s="199"/>
      <c r="C179" s="199"/>
      <c r="D179" s="199"/>
      <c r="E179" s="199"/>
      <c r="F179" s="200"/>
      <c r="G179" s="200"/>
    </row>
    <row r="180" spans="2:7" s="198" customFormat="1" x14ac:dyDescent="0.3">
      <c r="B180" s="199"/>
      <c r="C180" s="199"/>
      <c r="D180" s="199"/>
      <c r="E180" s="199"/>
      <c r="F180" s="200"/>
      <c r="G180" s="200"/>
    </row>
    <row r="181" spans="2:7" s="198" customFormat="1" x14ac:dyDescent="0.3">
      <c r="B181" s="199"/>
      <c r="C181" s="199"/>
      <c r="D181" s="199"/>
      <c r="E181" s="199"/>
      <c r="F181" s="200"/>
      <c r="G181" s="200"/>
    </row>
    <row r="182" spans="2:7" s="198" customFormat="1" x14ac:dyDescent="0.3">
      <c r="B182" s="199"/>
      <c r="C182" s="199"/>
      <c r="D182" s="199"/>
      <c r="E182" s="199"/>
      <c r="F182" s="200"/>
      <c r="G182" s="200"/>
    </row>
    <row r="183" spans="2:7" s="198" customFormat="1" x14ac:dyDescent="0.3">
      <c r="B183" s="199"/>
      <c r="C183" s="199"/>
      <c r="D183" s="199"/>
      <c r="E183" s="199"/>
      <c r="F183" s="200"/>
      <c r="G183" s="200"/>
    </row>
    <row r="184" spans="2:7" s="198" customFormat="1" x14ac:dyDescent="0.3">
      <c r="B184" s="199"/>
      <c r="C184" s="199"/>
      <c r="D184" s="199"/>
      <c r="E184" s="199"/>
      <c r="F184" s="200"/>
      <c r="G184" s="200"/>
    </row>
    <row r="185" spans="2:7" s="198" customFormat="1" x14ac:dyDescent="0.3">
      <c r="B185" s="199"/>
      <c r="C185" s="199"/>
      <c r="D185" s="199"/>
      <c r="E185" s="199"/>
      <c r="F185" s="200"/>
      <c r="G185" s="200"/>
    </row>
    <row r="186" spans="2:7" s="198" customFormat="1" x14ac:dyDescent="0.3">
      <c r="B186" s="199"/>
      <c r="C186" s="199"/>
      <c r="D186" s="199"/>
      <c r="E186" s="199"/>
      <c r="F186" s="200"/>
      <c r="G186" s="200"/>
    </row>
    <row r="187" spans="2:7" s="198" customFormat="1" x14ac:dyDescent="0.3">
      <c r="B187" s="199"/>
      <c r="C187" s="199"/>
      <c r="D187" s="199"/>
      <c r="E187" s="199"/>
      <c r="F187" s="200"/>
      <c r="G187" s="200"/>
    </row>
    <row r="188" spans="2:7" s="198" customFormat="1" x14ac:dyDescent="0.3">
      <c r="B188" s="199"/>
      <c r="C188" s="199"/>
      <c r="D188" s="199"/>
      <c r="E188" s="199"/>
      <c r="F188" s="200"/>
      <c r="G188" s="200"/>
    </row>
    <row r="189" spans="2:7" s="198" customFormat="1" x14ac:dyDescent="0.3">
      <c r="B189" s="199"/>
      <c r="C189" s="199"/>
      <c r="D189" s="199"/>
      <c r="E189" s="199"/>
      <c r="F189" s="200"/>
      <c r="G189" s="200"/>
    </row>
    <row r="190" spans="2:7" s="198" customFormat="1" x14ac:dyDescent="0.3">
      <c r="B190" s="199"/>
      <c r="C190" s="199"/>
      <c r="D190" s="199"/>
      <c r="E190" s="199"/>
      <c r="F190" s="200"/>
      <c r="G190" s="200"/>
    </row>
    <row r="191" spans="2:7" s="198" customFormat="1" x14ac:dyDescent="0.3">
      <c r="B191" s="199"/>
      <c r="C191" s="199"/>
      <c r="D191" s="199"/>
      <c r="E191" s="199"/>
      <c r="F191" s="200"/>
      <c r="G191" s="200"/>
    </row>
    <row r="192" spans="2:7" s="198" customFormat="1" x14ac:dyDescent="0.3">
      <c r="B192" s="199"/>
      <c r="C192" s="199"/>
      <c r="D192" s="199"/>
      <c r="E192" s="199"/>
      <c r="F192" s="200"/>
      <c r="G192" s="200"/>
    </row>
    <row r="193" spans="2:7" s="198" customFormat="1" x14ac:dyDescent="0.3">
      <c r="B193" s="199"/>
      <c r="C193" s="199"/>
      <c r="D193" s="199"/>
      <c r="E193" s="199"/>
      <c r="F193" s="200"/>
      <c r="G193" s="200"/>
    </row>
    <row r="194" spans="2:7" s="198" customFormat="1" x14ac:dyDescent="0.3">
      <c r="B194" s="199"/>
      <c r="C194" s="199"/>
      <c r="D194" s="199"/>
      <c r="E194" s="199"/>
      <c r="F194" s="200"/>
      <c r="G194" s="200"/>
    </row>
    <row r="195" spans="2:7" s="198" customFormat="1" x14ac:dyDescent="0.3">
      <c r="B195" s="199"/>
      <c r="C195" s="199"/>
      <c r="D195" s="199"/>
      <c r="E195" s="199"/>
      <c r="F195" s="200"/>
      <c r="G195" s="200"/>
    </row>
    <row r="196" spans="2:7" s="198" customFormat="1" x14ac:dyDescent="0.3">
      <c r="B196" s="199"/>
      <c r="C196" s="199"/>
      <c r="D196" s="199"/>
      <c r="E196" s="199"/>
      <c r="F196" s="200"/>
      <c r="G196" s="200"/>
    </row>
    <row r="197" spans="2:7" s="198" customFormat="1" x14ac:dyDescent="0.3">
      <c r="B197" s="199"/>
      <c r="C197" s="199"/>
      <c r="D197" s="199"/>
      <c r="E197" s="199"/>
      <c r="F197" s="200"/>
      <c r="G197" s="200"/>
    </row>
    <row r="198" spans="2:7" s="198" customFormat="1" x14ac:dyDescent="0.3">
      <c r="B198" s="199"/>
      <c r="C198" s="199"/>
      <c r="D198" s="199"/>
      <c r="E198" s="199"/>
      <c r="F198" s="200"/>
      <c r="G198" s="200"/>
    </row>
    <row r="199" spans="2:7" s="198" customFormat="1" x14ac:dyDescent="0.3">
      <c r="B199" s="199"/>
      <c r="C199" s="199"/>
      <c r="D199" s="199"/>
      <c r="E199" s="199"/>
      <c r="F199" s="200"/>
      <c r="G199" s="200"/>
    </row>
    <row r="200" spans="2:7" s="198" customFormat="1" x14ac:dyDescent="0.3">
      <c r="B200" s="199"/>
      <c r="C200" s="199"/>
      <c r="D200" s="199"/>
      <c r="E200" s="199"/>
      <c r="F200" s="200"/>
      <c r="G200" s="200"/>
    </row>
    <row r="201" spans="2:7" s="198" customFormat="1" x14ac:dyDescent="0.3">
      <c r="B201" s="199"/>
      <c r="C201" s="199"/>
      <c r="D201" s="199"/>
      <c r="E201" s="199"/>
      <c r="F201" s="200"/>
      <c r="G201" s="200"/>
    </row>
    <row r="202" spans="2:7" s="198" customFormat="1" x14ac:dyDescent="0.3">
      <c r="B202" s="199"/>
      <c r="C202" s="199"/>
      <c r="D202" s="199"/>
      <c r="E202" s="199"/>
      <c r="F202" s="200"/>
      <c r="G202" s="200"/>
    </row>
    <row r="203" spans="2:7" s="198" customFormat="1" x14ac:dyDescent="0.3">
      <c r="B203" s="199"/>
      <c r="C203" s="199"/>
      <c r="D203" s="199"/>
      <c r="E203" s="199"/>
      <c r="F203" s="200"/>
      <c r="G203" s="200"/>
    </row>
    <row r="204" spans="2:7" s="198" customFormat="1" x14ac:dyDescent="0.3">
      <c r="B204" s="199"/>
      <c r="C204" s="199"/>
      <c r="D204" s="199"/>
      <c r="E204" s="199"/>
      <c r="F204" s="200"/>
      <c r="G204" s="200"/>
    </row>
    <row r="205" spans="2:7" s="198" customFormat="1" x14ac:dyDescent="0.3">
      <c r="B205" s="199"/>
      <c r="C205" s="199"/>
      <c r="D205" s="199"/>
      <c r="E205" s="199"/>
      <c r="F205" s="200"/>
      <c r="G205" s="200"/>
    </row>
    <row r="206" spans="2:7" s="198" customFormat="1" x14ac:dyDescent="0.3">
      <c r="B206" s="199"/>
      <c r="C206" s="199"/>
      <c r="D206" s="199"/>
      <c r="E206" s="199"/>
      <c r="F206" s="200"/>
      <c r="G206" s="200"/>
    </row>
    <row r="207" spans="2:7" s="198" customFormat="1" x14ac:dyDescent="0.3">
      <c r="B207" s="199"/>
      <c r="C207" s="199"/>
      <c r="D207" s="199"/>
      <c r="E207" s="199"/>
      <c r="F207" s="200"/>
      <c r="G207" s="200"/>
    </row>
    <row r="208" spans="2:7" s="198" customFormat="1" x14ac:dyDescent="0.3">
      <c r="B208" s="199"/>
      <c r="C208" s="199"/>
      <c r="D208" s="199"/>
      <c r="E208" s="199"/>
      <c r="F208" s="200"/>
      <c r="G208" s="200"/>
    </row>
    <row r="209" spans="2:7" s="198" customFormat="1" x14ac:dyDescent="0.3">
      <c r="B209" s="199"/>
      <c r="C209" s="199"/>
      <c r="D209" s="199"/>
      <c r="E209" s="199"/>
      <c r="F209" s="200"/>
      <c r="G209" s="200"/>
    </row>
    <row r="210" spans="2:7" s="198" customFormat="1" x14ac:dyDescent="0.3">
      <c r="B210" s="199"/>
      <c r="C210" s="199"/>
      <c r="D210" s="199"/>
      <c r="E210" s="199"/>
      <c r="F210" s="200"/>
      <c r="G210" s="200"/>
    </row>
    <row r="211" spans="2:7" s="198" customFormat="1" x14ac:dyDescent="0.3">
      <c r="B211" s="199"/>
      <c r="C211" s="199"/>
      <c r="D211" s="199"/>
      <c r="E211" s="199"/>
      <c r="F211" s="200"/>
      <c r="G211" s="200"/>
    </row>
    <row r="212" spans="2:7" s="198" customFormat="1" x14ac:dyDescent="0.3">
      <c r="B212" s="199"/>
      <c r="C212" s="199"/>
      <c r="D212" s="199"/>
      <c r="E212" s="199"/>
      <c r="F212" s="200"/>
      <c r="G212" s="200"/>
    </row>
    <row r="213" spans="2:7" s="198" customFormat="1" x14ac:dyDescent="0.3">
      <c r="B213" s="199"/>
      <c r="C213" s="199"/>
      <c r="D213" s="199"/>
      <c r="E213" s="199"/>
      <c r="F213" s="200"/>
      <c r="G213" s="200"/>
    </row>
    <row r="214" spans="2:7" s="198" customFormat="1" x14ac:dyDescent="0.3">
      <c r="B214" s="199"/>
      <c r="C214" s="199"/>
      <c r="D214" s="199"/>
      <c r="E214" s="199"/>
      <c r="F214" s="200"/>
      <c r="G214" s="200"/>
    </row>
    <row r="215" spans="2:7" s="198" customFormat="1" x14ac:dyDescent="0.3">
      <c r="B215" s="199"/>
      <c r="C215" s="199"/>
      <c r="D215" s="199"/>
      <c r="E215" s="199"/>
      <c r="F215" s="200"/>
      <c r="G215" s="200"/>
    </row>
    <row r="216" spans="2:7" s="198" customFormat="1" x14ac:dyDescent="0.3">
      <c r="B216" s="199"/>
      <c r="C216" s="199"/>
      <c r="D216" s="199"/>
      <c r="E216" s="199"/>
      <c r="F216" s="200"/>
      <c r="G216" s="200"/>
    </row>
    <row r="217" spans="2:7" s="198" customFormat="1" x14ac:dyDescent="0.3">
      <c r="B217" s="199"/>
      <c r="C217" s="199"/>
      <c r="D217" s="199"/>
      <c r="E217" s="199"/>
      <c r="F217" s="200"/>
      <c r="G217" s="200"/>
    </row>
    <row r="218" spans="2:7" s="198" customFormat="1" x14ac:dyDescent="0.3">
      <c r="B218" s="199"/>
      <c r="C218" s="199"/>
      <c r="D218" s="199"/>
      <c r="E218" s="199"/>
      <c r="F218" s="200"/>
      <c r="G218" s="200"/>
    </row>
    <row r="219" spans="2:7" s="198" customFormat="1" x14ac:dyDescent="0.3">
      <c r="B219" s="199"/>
      <c r="C219" s="199"/>
      <c r="D219" s="199"/>
      <c r="E219" s="199"/>
      <c r="F219" s="200"/>
      <c r="G219" s="200"/>
    </row>
    <row r="220" spans="2:7" s="198" customFormat="1" x14ac:dyDescent="0.3">
      <c r="B220" s="199"/>
      <c r="C220" s="199"/>
      <c r="D220" s="199"/>
      <c r="E220" s="199"/>
      <c r="F220" s="200"/>
      <c r="G220" s="200"/>
    </row>
    <row r="221" spans="2:7" s="198" customFormat="1" x14ac:dyDescent="0.3">
      <c r="B221" s="199"/>
      <c r="C221" s="199"/>
      <c r="D221" s="199"/>
      <c r="E221" s="199"/>
      <c r="F221" s="200"/>
      <c r="G221" s="200"/>
    </row>
    <row r="222" spans="2:7" s="198" customFormat="1" x14ac:dyDescent="0.3">
      <c r="B222" s="199"/>
      <c r="C222" s="199"/>
      <c r="D222" s="199"/>
      <c r="E222" s="199"/>
      <c r="F222" s="200"/>
      <c r="G222" s="200"/>
    </row>
    <row r="223" spans="2:7" s="198" customFormat="1" x14ac:dyDescent="0.3">
      <c r="B223" s="199"/>
      <c r="C223" s="199"/>
      <c r="D223" s="199"/>
      <c r="E223" s="199"/>
      <c r="F223" s="200"/>
      <c r="G223" s="200"/>
    </row>
    <row r="224" spans="2:7" s="198" customFormat="1" x14ac:dyDescent="0.3">
      <c r="B224" s="199"/>
      <c r="C224" s="199"/>
      <c r="D224" s="199"/>
      <c r="E224" s="199"/>
      <c r="F224" s="200"/>
      <c r="G224" s="200"/>
    </row>
    <row r="225" spans="2:7" s="198" customFormat="1" x14ac:dyDescent="0.3">
      <c r="B225" s="199"/>
      <c r="C225" s="199"/>
      <c r="D225" s="199"/>
      <c r="E225" s="199"/>
      <c r="F225" s="200"/>
      <c r="G225" s="200"/>
    </row>
    <row r="226" spans="2:7" s="198" customFormat="1" x14ac:dyDescent="0.3">
      <c r="B226" s="199"/>
      <c r="C226" s="199"/>
      <c r="D226" s="199"/>
      <c r="E226" s="199"/>
      <c r="F226" s="200"/>
      <c r="G226" s="200"/>
    </row>
    <row r="227" spans="2:7" s="198" customFormat="1" x14ac:dyDescent="0.3">
      <c r="B227" s="199"/>
      <c r="C227" s="199"/>
      <c r="D227" s="199"/>
      <c r="E227" s="199"/>
      <c r="F227" s="200"/>
      <c r="G227" s="200"/>
    </row>
    <row r="228" spans="2:7" s="198" customFormat="1" x14ac:dyDescent="0.3">
      <c r="B228" s="199"/>
      <c r="C228" s="199"/>
      <c r="D228" s="199"/>
      <c r="E228" s="199"/>
      <c r="F228" s="200"/>
      <c r="G228" s="200"/>
    </row>
    <row r="229" spans="2:7" s="198" customFormat="1" x14ac:dyDescent="0.3">
      <c r="B229" s="199"/>
      <c r="C229" s="199"/>
      <c r="D229" s="199"/>
      <c r="E229" s="199"/>
      <c r="F229" s="200"/>
      <c r="G229" s="200"/>
    </row>
    <row r="230" spans="2:7" s="198" customFormat="1" x14ac:dyDescent="0.3">
      <c r="B230" s="199"/>
      <c r="C230" s="199"/>
      <c r="D230" s="199"/>
      <c r="E230" s="199"/>
      <c r="F230" s="200"/>
      <c r="G230" s="200"/>
    </row>
    <row r="231" spans="2:7" s="198" customFormat="1" x14ac:dyDescent="0.3">
      <c r="B231" s="199"/>
      <c r="C231" s="199"/>
      <c r="D231" s="199"/>
      <c r="E231" s="199"/>
      <c r="F231" s="200"/>
      <c r="G231" s="200"/>
    </row>
    <row r="232" spans="2:7" s="198" customFormat="1" x14ac:dyDescent="0.3">
      <c r="B232" s="199"/>
      <c r="C232" s="199"/>
      <c r="D232" s="199"/>
      <c r="E232" s="199"/>
      <c r="F232" s="200"/>
      <c r="G232" s="200"/>
    </row>
    <row r="233" spans="2:7" s="198" customFormat="1" x14ac:dyDescent="0.3">
      <c r="B233" s="199"/>
      <c r="C233" s="199"/>
      <c r="D233" s="199"/>
      <c r="E233" s="199"/>
      <c r="F233" s="200"/>
      <c r="G233" s="200"/>
    </row>
    <row r="234" spans="2:7" s="198" customFormat="1" x14ac:dyDescent="0.3">
      <c r="B234" s="199"/>
      <c r="C234" s="199"/>
      <c r="D234" s="199"/>
      <c r="E234" s="199"/>
      <c r="F234" s="200"/>
      <c r="G234" s="200"/>
    </row>
    <row r="235" spans="2:7" s="198" customFormat="1" x14ac:dyDescent="0.3">
      <c r="B235" s="199"/>
      <c r="C235" s="199"/>
      <c r="D235" s="199"/>
      <c r="E235" s="199"/>
      <c r="F235" s="200"/>
      <c r="G235" s="200"/>
    </row>
    <row r="236" spans="2:7" s="198" customFormat="1" x14ac:dyDescent="0.3">
      <c r="B236" s="199"/>
      <c r="C236" s="199"/>
      <c r="D236" s="199"/>
      <c r="E236" s="199"/>
      <c r="F236" s="200"/>
      <c r="G236" s="200"/>
    </row>
    <row r="237" spans="2:7" s="198" customFormat="1" x14ac:dyDescent="0.3">
      <c r="B237" s="199"/>
      <c r="C237" s="199"/>
      <c r="D237" s="199"/>
      <c r="E237" s="199"/>
      <c r="F237" s="200"/>
      <c r="G237" s="200"/>
    </row>
    <row r="238" spans="2:7" s="198" customFormat="1" x14ac:dyDescent="0.3">
      <c r="B238" s="199"/>
      <c r="C238" s="199"/>
      <c r="D238" s="199"/>
      <c r="E238" s="199"/>
      <c r="F238" s="200"/>
      <c r="G238" s="200"/>
    </row>
    <row r="239" spans="2:7" s="198" customFormat="1" x14ac:dyDescent="0.3">
      <c r="B239" s="199"/>
      <c r="C239" s="199"/>
      <c r="D239" s="199"/>
      <c r="E239" s="199"/>
      <c r="F239" s="200"/>
      <c r="G239" s="200"/>
    </row>
    <row r="240" spans="2:7" s="198" customFormat="1" x14ac:dyDescent="0.3">
      <c r="B240" s="199"/>
      <c r="C240" s="199"/>
      <c r="D240" s="199"/>
      <c r="E240" s="199"/>
      <c r="F240" s="200"/>
      <c r="G240" s="200"/>
    </row>
    <row r="241" spans="2:7" s="198" customFormat="1" x14ac:dyDescent="0.3">
      <c r="B241" s="199"/>
      <c r="C241" s="199"/>
      <c r="D241" s="199"/>
      <c r="E241" s="199"/>
      <c r="F241" s="200"/>
      <c r="G241" s="200"/>
    </row>
    <row r="242" spans="2:7" s="198" customFormat="1" x14ac:dyDescent="0.3">
      <c r="B242" s="199"/>
      <c r="C242" s="199"/>
      <c r="D242" s="199"/>
      <c r="E242" s="199"/>
      <c r="F242" s="200"/>
      <c r="G242" s="200"/>
    </row>
    <row r="243" spans="2:7" s="198" customFormat="1" x14ac:dyDescent="0.3">
      <c r="B243" s="199"/>
      <c r="C243" s="199"/>
      <c r="D243" s="199"/>
      <c r="E243" s="199"/>
      <c r="F243" s="200"/>
      <c r="G243" s="200"/>
    </row>
    <row r="244" spans="2:7" s="198" customFormat="1" x14ac:dyDescent="0.3">
      <c r="B244" s="199"/>
      <c r="C244" s="199"/>
      <c r="D244" s="199"/>
      <c r="E244" s="199"/>
      <c r="F244" s="200"/>
      <c r="G244" s="200"/>
    </row>
    <row r="245" spans="2:7" s="198" customFormat="1" x14ac:dyDescent="0.3">
      <c r="B245" s="199"/>
      <c r="C245" s="199"/>
      <c r="D245" s="199"/>
      <c r="E245" s="199"/>
      <c r="F245" s="200"/>
      <c r="G245" s="200"/>
    </row>
    <row r="246" spans="2:7" s="198" customFormat="1" x14ac:dyDescent="0.3">
      <c r="B246" s="199"/>
      <c r="C246" s="199"/>
      <c r="D246" s="199"/>
      <c r="E246" s="199"/>
      <c r="F246" s="200"/>
      <c r="G246" s="200"/>
    </row>
    <row r="247" spans="2:7" s="198" customFormat="1" x14ac:dyDescent="0.3">
      <c r="B247" s="199"/>
      <c r="C247" s="199"/>
      <c r="D247" s="199"/>
      <c r="E247" s="199"/>
      <c r="F247" s="200"/>
      <c r="G247" s="200"/>
    </row>
    <row r="248" spans="2:7" s="198" customFormat="1" x14ac:dyDescent="0.3">
      <c r="B248" s="199"/>
      <c r="C248" s="199"/>
      <c r="D248" s="199"/>
      <c r="E248" s="199"/>
      <c r="F248" s="200"/>
      <c r="G248" s="200"/>
    </row>
    <row r="249" spans="2:7" s="198" customFormat="1" x14ac:dyDescent="0.3">
      <c r="B249" s="199"/>
      <c r="C249" s="199"/>
      <c r="D249" s="199"/>
      <c r="E249" s="199"/>
      <c r="F249" s="200"/>
      <c r="G249" s="200"/>
    </row>
    <row r="250" spans="2:7" s="198" customFormat="1" x14ac:dyDescent="0.3">
      <c r="B250" s="199"/>
      <c r="C250" s="199"/>
      <c r="D250" s="199"/>
      <c r="E250" s="199"/>
      <c r="F250" s="200"/>
      <c r="G250" s="200"/>
    </row>
    <row r="251" spans="2:7" s="198" customFormat="1" x14ac:dyDescent="0.3">
      <c r="B251" s="199"/>
      <c r="C251" s="199"/>
      <c r="D251" s="199"/>
      <c r="E251" s="199"/>
      <c r="F251" s="200"/>
      <c r="G251" s="200"/>
    </row>
    <row r="252" spans="2:7" s="198" customFormat="1" x14ac:dyDescent="0.3">
      <c r="B252" s="199"/>
      <c r="C252" s="199"/>
      <c r="D252" s="199"/>
      <c r="E252" s="199"/>
      <c r="F252" s="200"/>
      <c r="G252" s="200"/>
    </row>
    <row r="253" spans="2:7" s="198" customFormat="1" x14ac:dyDescent="0.3">
      <c r="B253" s="199"/>
      <c r="C253" s="199"/>
      <c r="D253" s="199"/>
      <c r="E253" s="199"/>
      <c r="F253" s="200"/>
      <c r="G253" s="200"/>
    </row>
    <row r="254" spans="2:7" s="198" customFormat="1" x14ac:dyDescent="0.3">
      <c r="B254" s="199"/>
      <c r="C254" s="199"/>
      <c r="D254" s="199"/>
      <c r="E254" s="199"/>
      <c r="F254" s="200"/>
      <c r="G254" s="200"/>
    </row>
    <row r="255" spans="2:7" s="198" customFormat="1" x14ac:dyDescent="0.3">
      <c r="B255" s="199"/>
      <c r="C255" s="199"/>
      <c r="D255" s="199"/>
      <c r="E255" s="199"/>
      <c r="F255" s="200"/>
      <c r="G255" s="200"/>
    </row>
    <row r="256" spans="2:7" s="198" customFormat="1" x14ac:dyDescent="0.3">
      <c r="B256" s="199"/>
      <c r="C256" s="199"/>
      <c r="D256" s="199"/>
      <c r="E256" s="199"/>
      <c r="F256" s="200"/>
      <c r="G256" s="200"/>
    </row>
    <row r="257" spans="2:7" s="198" customFormat="1" x14ac:dyDescent="0.3">
      <c r="B257" s="199"/>
      <c r="C257" s="199"/>
      <c r="D257" s="199"/>
      <c r="E257" s="199"/>
      <c r="F257" s="200"/>
      <c r="G257" s="200"/>
    </row>
    <row r="258" spans="2:7" s="198" customFormat="1" x14ac:dyDescent="0.3">
      <c r="B258" s="199"/>
      <c r="C258" s="199"/>
      <c r="D258" s="199"/>
      <c r="E258" s="199"/>
      <c r="F258" s="200"/>
      <c r="G258" s="200"/>
    </row>
    <row r="259" spans="2:7" s="198" customFormat="1" x14ac:dyDescent="0.3">
      <c r="B259" s="199"/>
      <c r="C259" s="199"/>
      <c r="D259" s="199"/>
      <c r="E259" s="199"/>
      <c r="F259" s="200"/>
      <c r="G259" s="200"/>
    </row>
    <row r="260" spans="2:7" s="198" customFormat="1" x14ac:dyDescent="0.3">
      <c r="B260" s="199"/>
      <c r="C260" s="199"/>
      <c r="D260" s="199"/>
      <c r="E260" s="199"/>
      <c r="F260" s="200"/>
      <c r="G260" s="200"/>
    </row>
    <row r="261" spans="2:7" s="198" customFormat="1" x14ac:dyDescent="0.3">
      <c r="B261" s="199"/>
      <c r="C261" s="199"/>
      <c r="D261" s="199"/>
      <c r="E261" s="199"/>
      <c r="F261" s="200"/>
      <c r="G261" s="200"/>
    </row>
    <row r="262" spans="2:7" s="198" customFormat="1" x14ac:dyDescent="0.3">
      <c r="B262" s="199"/>
      <c r="C262" s="199"/>
      <c r="D262" s="199"/>
      <c r="E262" s="199"/>
      <c r="F262" s="200"/>
      <c r="G262" s="200"/>
    </row>
    <row r="263" spans="2:7" s="198" customFormat="1" x14ac:dyDescent="0.3">
      <c r="B263" s="199"/>
      <c r="C263" s="199"/>
      <c r="D263" s="199"/>
      <c r="E263" s="199"/>
      <c r="F263" s="200"/>
      <c r="G263" s="200"/>
    </row>
    <row r="264" spans="2:7" s="198" customFormat="1" x14ac:dyDescent="0.3">
      <c r="B264" s="199"/>
      <c r="C264" s="199"/>
      <c r="D264" s="199"/>
      <c r="E264" s="199"/>
      <c r="F264" s="200"/>
      <c r="G264" s="200"/>
    </row>
    <row r="265" spans="2:7" s="198" customFormat="1" x14ac:dyDescent="0.3">
      <c r="B265" s="199"/>
      <c r="C265" s="199"/>
      <c r="D265" s="199"/>
      <c r="E265" s="199"/>
      <c r="F265" s="200"/>
      <c r="G265" s="200"/>
    </row>
    <row r="266" spans="2:7" s="198" customFormat="1" x14ac:dyDescent="0.3">
      <c r="B266" s="199"/>
      <c r="C266" s="199"/>
      <c r="D266" s="199"/>
      <c r="E266" s="199"/>
      <c r="F266" s="200"/>
      <c r="G266" s="200"/>
    </row>
    <row r="267" spans="2:7" s="198" customFormat="1" x14ac:dyDescent="0.3">
      <c r="B267" s="199"/>
      <c r="C267" s="199"/>
      <c r="D267" s="199"/>
      <c r="E267" s="199"/>
      <c r="F267" s="200"/>
      <c r="G267" s="200"/>
    </row>
    <row r="268" spans="2:7" s="198" customFormat="1" x14ac:dyDescent="0.3">
      <c r="B268" s="199"/>
      <c r="C268" s="199"/>
      <c r="D268" s="199"/>
      <c r="E268" s="199"/>
      <c r="F268" s="200"/>
      <c r="G268" s="200"/>
    </row>
    <row r="269" spans="2:7" s="198" customFormat="1" x14ac:dyDescent="0.3">
      <c r="B269" s="199"/>
      <c r="C269" s="199"/>
      <c r="D269" s="199"/>
      <c r="E269" s="199"/>
      <c r="F269" s="200"/>
      <c r="G269" s="200"/>
    </row>
    <row r="270" spans="2:7" s="198" customFormat="1" x14ac:dyDescent="0.3">
      <c r="B270" s="199"/>
      <c r="C270" s="199"/>
      <c r="D270" s="199"/>
      <c r="E270" s="199"/>
      <c r="F270" s="200"/>
      <c r="G270" s="200"/>
    </row>
    <row r="271" spans="2:7" s="198" customFormat="1" x14ac:dyDescent="0.3">
      <c r="B271" s="199"/>
      <c r="C271" s="199"/>
      <c r="D271" s="199"/>
      <c r="E271" s="199"/>
      <c r="F271" s="200"/>
      <c r="G271" s="200"/>
    </row>
    <row r="272" spans="2:7" s="198" customFormat="1" x14ac:dyDescent="0.3">
      <c r="B272" s="199"/>
      <c r="C272" s="199"/>
      <c r="D272" s="199"/>
      <c r="E272" s="199"/>
      <c r="F272" s="200"/>
      <c r="G272" s="200"/>
    </row>
    <row r="273" spans="2:7" s="198" customFormat="1" x14ac:dyDescent="0.3">
      <c r="B273" s="199"/>
      <c r="C273" s="199"/>
      <c r="D273" s="199"/>
      <c r="E273" s="199"/>
      <c r="F273" s="200"/>
      <c r="G273" s="200"/>
    </row>
  </sheetData>
  <sheetProtection password="DAE1" sheet="1" objects="1" scenarios="1" formatColumns="0" formatRows="0" autoFilter="0"/>
  <mergeCells count="16">
    <mergeCell ref="C15:C17"/>
    <mergeCell ref="B12:B14"/>
    <mergeCell ref="B15:B17"/>
    <mergeCell ref="B2:C2"/>
    <mergeCell ref="I2:K6"/>
    <mergeCell ref="B9:B11"/>
    <mergeCell ref="C9:C11"/>
    <mergeCell ref="D9:D11"/>
    <mergeCell ref="D12:D17"/>
    <mergeCell ref="B3:B5"/>
    <mergeCell ref="C3:C5"/>
    <mergeCell ref="D3:D5"/>
    <mergeCell ref="B6:B8"/>
    <mergeCell ref="C6:C8"/>
    <mergeCell ref="D6:D8"/>
    <mergeCell ref="C12:C1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G47"/>
  <sheetViews>
    <sheetView zoomScale="79" zoomScaleNormal="79" zoomScalePageLayoutView="45" workbookViewId="0">
      <selection activeCell="E5" sqref="E5:G5"/>
    </sheetView>
  </sheetViews>
  <sheetFormatPr defaultRowHeight="14.4" x14ac:dyDescent="0.3"/>
  <cols>
    <col min="1" max="1" width="3" customWidth="1"/>
    <col min="2" max="2" width="19.88671875" customWidth="1"/>
    <col min="3" max="3" width="18.6640625" customWidth="1"/>
    <col min="4" max="4" width="18.5546875" customWidth="1"/>
    <col min="5" max="16" width="19.33203125" customWidth="1"/>
    <col min="17" max="17" width="19.44140625" customWidth="1"/>
    <col min="18" max="22" width="19.33203125" customWidth="1"/>
  </cols>
  <sheetData>
    <row r="1" spans="1:33" x14ac:dyDescent="0.3">
      <c r="A1" s="23" t="s">
        <v>18</v>
      </c>
      <c r="B1" s="15" t="s">
        <v>18</v>
      </c>
    </row>
    <row r="2" spans="1:33" s="3" customFormat="1" ht="25.8" x14ac:dyDescent="0.5">
      <c r="A2" s="143"/>
      <c r="B2" s="344" t="s">
        <v>513</v>
      </c>
      <c r="C2" s="344"/>
      <c r="D2" s="344"/>
      <c r="E2" s="344"/>
      <c r="F2" s="344"/>
      <c r="G2" s="344"/>
      <c r="H2" s="143"/>
      <c r="I2" s="143"/>
      <c r="J2" s="143"/>
      <c r="K2" s="143"/>
    </row>
    <row r="3" spans="1:33" s="1" customFormat="1" ht="7.5" customHeight="1" x14ac:dyDescent="0.35">
      <c r="A3" s="144"/>
      <c r="B3" s="145"/>
      <c r="C3" s="145"/>
      <c r="D3" s="145"/>
      <c r="E3" s="145"/>
      <c r="F3" s="145"/>
      <c r="G3" s="145"/>
      <c r="H3" s="145"/>
      <c r="I3" s="145"/>
      <c r="J3" s="145"/>
      <c r="K3" s="145"/>
    </row>
    <row r="4" spans="1:33" s="1" customFormat="1" ht="15.6" x14ac:dyDescent="0.3">
      <c r="A4" s="345" t="s">
        <v>4</v>
      </c>
      <c r="B4" s="345"/>
      <c r="C4" s="345"/>
      <c r="D4" s="345"/>
      <c r="E4" s="146"/>
      <c r="F4" s="145"/>
      <c r="G4" s="145"/>
      <c r="H4" s="145"/>
      <c r="I4" s="145"/>
      <c r="J4" s="145"/>
      <c r="K4" s="145"/>
    </row>
    <row r="5" spans="1:33" s="1" customFormat="1" ht="15" customHeight="1" x14ac:dyDescent="0.3">
      <c r="A5" s="145"/>
      <c r="B5" s="147"/>
      <c r="C5" s="355" t="s">
        <v>454</v>
      </c>
      <c r="D5" s="356"/>
      <c r="E5" s="352" t="s">
        <v>502</v>
      </c>
      <c r="F5" s="352"/>
      <c r="G5" s="352"/>
      <c r="H5" s="145" t="s">
        <v>445</v>
      </c>
      <c r="I5" s="343" t="s">
        <v>683</v>
      </c>
      <c r="J5" s="343"/>
    </row>
    <row r="6" spans="1:33" s="1" customFormat="1" x14ac:dyDescent="0.3">
      <c r="A6" s="346" t="s">
        <v>443</v>
      </c>
      <c r="B6" s="346"/>
      <c r="C6" s="346"/>
      <c r="D6" s="346"/>
      <c r="E6" s="353" t="s">
        <v>1258</v>
      </c>
      <c r="F6" s="353"/>
      <c r="G6" s="353"/>
      <c r="H6" s="145"/>
    </row>
    <row r="7" spans="1:33" s="1" customFormat="1" x14ac:dyDescent="0.3">
      <c r="A7" s="148"/>
      <c r="B7" s="148"/>
      <c r="C7" s="148"/>
      <c r="D7" s="149" t="s">
        <v>6</v>
      </c>
      <c r="E7" s="354">
        <v>43497</v>
      </c>
      <c r="F7" s="354"/>
      <c r="G7" s="354"/>
      <c r="H7" s="145"/>
      <c r="I7" s="145"/>
      <c r="J7" s="145"/>
      <c r="K7" s="145"/>
    </row>
    <row r="8" spans="1:33" s="1" customFormat="1" x14ac:dyDescent="0.3">
      <c r="A8" s="148"/>
      <c r="B8" s="148"/>
      <c r="C8" s="148"/>
      <c r="D8" s="149" t="s">
        <v>35</v>
      </c>
      <c r="E8" s="353" t="s">
        <v>503</v>
      </c>
      <c r="F8" s="353"/>
      <c r="G8" s="353"/>
      <c r="H8" s="145"/>
      <c r="I8" s="145"/>
      <c r="J8" s="145"/>
      <c r="K8" s="145"/>
    </row>
    <row r="9" spans="1:33" s="1" customFormat="1" ht="17.25" customHeight="1" x14ac:dyDescent="0.35">
      <c r="A9" s="144"/>
      <c r="B9" s="145"/>
      <c r="C9" s="145"/>
      <c r="D9" s="145"/>
      <c r="E9" s="145"/>
      <c r="F9" s="145"/>
      <c r="G9" s="145"/>
      <c r="H9" s="145"/>
      <c r="I9" s="145"/>
      <c r="J9" s="145"/>
      <c r="K9" s="145"/>
    </row>
    <row r="10" spans="1:33" s="23" customFormat="1" ht="15.6" x14ac:dyDescent="0.3">
      <c r="A10" s="151"/>
      <c r="B10" s="358" t="str">
        <f>"Account: "&amp;E5&amp;" Overall OMMi Score"</f>
        <v>Account: A Big Important Account Overall OMMi Score</v>
      </c>
      <c r="C10" s="359"/>
      <c r="D10" s="360"/>
      <c r="E10" s="210" t="str">
        <f>IFERROR(TRUNC(AVERAGE(F12:V12),2), "N/A")</f>
        <v>N/A</v>
      </c>
      <c r="F10" s="145"/>
      <c r="G10" s="145"/>
      <c r="H10" s="271"/>
      <c r="I10" s="146"/>
      <c r="J10" s="271"/>
      <c r="K10" s="271"/>
      <c r="L10" s="272"/>
      <c r="M10" s="272"/>
      <c r="N10" s="272"/>
      <c r="O10" s="272"/>
      <c r="P10" s="272"/>
      <c r="Q10" s="272"/>
      <c r="R10" s="272"/>
      <c r="S10" s="272"/>
      <c r="T10" s="272"/>
      <c r="U10" s="272"/>
      <c r="V10" s="272"/>
    </row>
    <row r="11" spans="1:33" s="1" customFormat="1" ht="18" x14ac:dyDescent="0.35">
      <c r="A11" s="144"/>
      <c r="B11" s="150"/>
      <c r="C11" s="361" t="s">
        <v>507</v>
      </c>
      <c r="D11" s="361"/>
      <c r="E11" s="145"/>
      <c r="F11" s="145"/>
      <c r="G11" s="145"/>
      <c r="H11" s="207" t="str">
        <f t="shared" ref="H11:P11" si="0">IFERROR(AVERAGE(I17:I20),"N/A")</f>
        <v>N/A</v>
      </c>
      <c r="I11" s="207" t="str">
        <f t="shared" si="0"/>
        <v>N/A</v>
      </c>
      <c r="J11" s="207" t="str">
        <f t="shared" si="0"/>
        <v>N/A</v>
      </c>
      <c r="K11" s="207" t="str">
        <f t="shared" si="0"/>
        <v>N/A</v>
      </c>
      <c r="L11" s="207" t="str">
        <f t="shared" si="0"/>
        <v>N/A</v>
      </c>
      <c r="M11" s="207" t="str">
        <f t="shared" si="0"/>
        <v>N/A</v>
      </c>
      <c r="N11" s="207" t="str">
        <f t="shared" si="0"/>
        <v>N/A</v>
      </c>
      <c r="O11" s="207" t="str">
        <f t="shared" si="0"/>
        <v>N/A</v>
      </c>
      <c r="P11" s="207" t="str">
        <f t="shared" si="0"/>
        <v>N/A</v>
      </c>
      <c r="Q11" s="145"/>
      <c r="R11" s="145"/>
      <c r="S11" s="203"/>
    </row>
    <row r="12" spans="1:33" ht="15.6" x14ac:dyDescent="0.3">
      <c r="A12" s="151"/>
      <c r="B12" s="347" t="s">
        <v>662</v>
      </c>
      <c r="C12" s="348"/>
      <c r="D12" s="349"/>
      <c r="E12" s="204" t="s">
        <v>506</v>
      </c>
      <c r="F12" s="142" t="str">
        <f>IFERROR(TRUNC(AVERAGE('4. ODM Scoring (OMMi)'!$J5:'4. ODM Scoring (OMMi)'!$J17),2), "N/A")</f>
        <v>N/A</v>
      </c>
      <c r="G12" s="142" t="str">
        <f>IFERROR(TRUNC(AVERAGE('4.1 Service Desk'!$J5:'4.1 Service Desk'!$J206),2), "N/A")</f>
        <v>N/A</v>
      </c>
      <c r="H12" s="142" t="str">
        <f>IFERROR(TRUNC(AVERAGE('5. Subject 1 Scoring (OMMi)'!$J5:'5. Subject 1 Scoring (OMMi)'!$J100),2), "N/A")</f>
        <v>N/A</v>
      </c>
      <c r="I12" s="142" t="str">
        <f>IFERROR(TRUNC(AVERAGE('6. Subject 2 Scoring (OMMi)'!$J5:'6. Subject 2 Scoring (OMMi)'!$J100),2), "N/A")</f>
        <v>N/A</v>
      </c>
      <c r="J12" s="142" t="str">
        <f>IFERROR(TRUNC(AVERAGE('7. Subject 3 Scoring (OMMi)'!$J5:'7. Subject 3 Scoring (OMMi)'!$J100),2), "N/A")</f>
        <v>N/A</v>
      </c>
      <c r="K12" s="142" t="str">
        <f>IFERROR(TRUNC(AVERAGE('8. Subject 4 Scoring (OMMi)'!$J5:'8. Subject 4 Scoring (OMMi)'!$J100),2), "N/A")</f>
        <v>N/A</v>
      </c>
      <c r="L12" s="142" t="str">
        <f>IFERROR(TRUNC(AVERAGE('9. Subject 5 Scoring (OMMi)'!$J5:'9. Subject 5 Scoring (OMMi)'!$J100),2), "N/A")</f>
        <v>N/A</v>
      </c>
      <c r="M12" s="142" t="str">
        <f>IFERROR(TRUNC(AVERAGE('10. Subject 6 Scoring (OMMi)'!$J5:'10. Subject 6 Scoring (OMMi)'!$J100),2), "N/A")</f>
        <v>N/A</v>
      </c>
      <c r="N12" s="142" t="str">
        <f>IFERROR(TRUNC(AVERAGE('11. Subject 7 Scoring (OMMi)'!$J5:'11. Subject 7 Scoring (OMMi)'!$J100),2), "N/A")</f>
        <v>N/A</v>
      </c>
      <c r="O12" s="142" t="str">
        <f>IFERROR(TRUNC(AVERAGE('12. Subject 8 Scoring (OMMi)'!$J5:'12. Subject 8 Scoring (OMMi)'!$J100),2), "N/A")</f>
        <v>N/A</v>
      </c>
      <c r="P12" s="142" t="str">
        <f>IFERROR(TRUNC(AVERAGE('13. Subject 9 Scoring (OMMi)'!$J5:'13. Subject 9 Scoring (OMMi)'!$J100),2), "N/A")</f>
        <v>N/A</v>
      </c>
      <c r="Q12" s="142" t="str">
        <f>IFERROR(TRUNC(AVERAGE('14. Subject 10 Scoring (OMMi)'!$J5:'14. Subject 10 Scoring (OMMi)'!$J100),2), "N/A")</f>
        <v>N/A</v>
      </c>
      <c r="R12" s="142" t="str">
        <f>IFERROR(TRUNC(AVERAGE('15. Subject 11 Scoring (OMMi)'!$J5:'15. Subject 11 Scoring (OMMi)'!$J100),2), "N/A")</f>
        <v>N/A</v>
      </c>
      <c r="S12" s="142" t="str">
        <f>IFERROR(TRUNC(AVERAGE('16. Subject 12 Scoring (OMMi)'!$J5:'16. Subject 12 Scoring (OMMi)'!$J100),2), "N/A")</f>
        <v>N/A</v>
      </c>
      <c r="T12" s="142" t="str">
        <f>IFERROR(TRUNC(AVERAGE('17. Subject 13 Scoring (OMMi)'!$J5:'17. Subject 13 Scoring (OMMi)'!$J100),2), "N/A")</f>
        <v>N/A</v>
      </c>
      <c r="U12" s="142" t="str">
        <f>IFERROR(TRUNC(AVERAGE('18. Subject 14 Scoring (OMMi)'!$J5:'18. Subject 14 Scoring (OMMi)'!$J100),2), "N/A")</f>
        <v>N/A</v>
      </c>
      <c r="V12" s="142" t="str">
        <f>IFERROR(TRUNC(AVERAGE('19. Subject 15 Scoring (OMMi)'!$J5:'19. Subject 15 Scoring (OMMi)'!$J100),2), "N/A")</f>
        <v>N/A</v>
      </c>
      <c r="W12" s="145"/>
      <c r="X12" s="151"/>
      <c r="Y12" s="151"/>
    </row>
    <row r="13" spans="1:33" s="23" customFormat="1" ht="6.75" customHeight="1" x14ac:dyDescent="0.3">
      <c r="A13" s="151"/>
      <c r="B13" s="152"/>
      <c r="C13" s="152"/>
      <c r="D13" s="152"/>
      <c r="E13" s="153"/>
      <c r="F13" s="153"/>
      <c r="G13" s="153"/>
      <c r="H13" s="153"/>
      <c r="I13" s="145"/>
      <c r="J13" s="145"/>
      <c r="K13" s="145"/>
      <c r="L13" s="145"/>
      <c r="M13" s="145"/>
      <c r="N13" s="145"/>
      <c r="O13" s="145"/>
      <c r="P13" s="145"/>
      <c r="Q13" s="145"/>
      <c r="R13" s="145"/>
      <c r="S13" s="145"/>
      <c r="T13" s="145"/>
      <c r="U13" s="145"/>
      <c r="V13" s="145"/>
      <c r="W13" s="145"/>
      <c r="X13" s="151"/>
      <c r="Y13" s="151"/>
    </row>
    <row r="14" spans="1:33" s="23" customFormat="1" ht="18" x14ac:dyDescent="0.3">
      <c r="A14" s="151"/>
      <c r="B14" s="152"/>
      <c r="C14" s="357"/>
      <c r="D14" s="357"/>
      <c r="E14" s="334" t="s">
        <v>773</v>
      </c>
      <c r="F14" s="205" t="s">
        <v>504</v>
      </c>
      <c r="G14" s="234"/>
      <c r="H14" s="332" t="s">
        <v>684</v>
      </c>
      <c r="I14" s="333"/>
      <c r="J14" s="333"/>
      <c r="K14" s="333"/>
      <c r="L14" s="333"/>
      <c r="M14" s="333"/>
      <c r="N14" s="333"/>
      <c r="O14" s="333"/>
      <c r="P14" s="333"/>
      <c r="Q14" s="333"/>
      <c r="R14" s="333"/>
      <c r="S14" s="333"/>
      <c r="T14" s="333"/>
      <c r="U14" s="333"/>
      <c r="V14" s="333"/>
      <c r="W14" s="145"/>
      <c r="X14" s="151"/>
      <c r="Y14" s="151"/>
    </row>
    <row r="15" spans="1:33" ht="18" x14ac:dyDescent="0.35">
      <c r="A15" s="144"/>
      <c r="B15" s="350"/>
      <c r="C15" s="350"/>
      <c r="D15" s="351"/>
      <c r="E15" s="335"/>
      <c r="F15" s="231" t="s">
        <v>1257</v>
      </c>
      <c r="G15" s="258" t="s">
        <v>844</v>
      </c>
      <c r="H15" s="231" t="s">
        <v>1255</v>
      </c>
      <c r="I15" s="231" t="s">
        <v>1256</v>
      </c>
      <c r="J15" s="231" t="s">
        <v>528</v>
      </c>
      <c r="K15" s="231" t="s">
        <v>529</v>
      </c>
      <c r="L15" s="231" t="s">
        <v>530</v>
      </c>
      <c r="M15" s="231" t="s">
        <v>531</v>
      </c>
      <c r="N15" s="231" t="s">
        <v>532</v>
      </c>
      <c r="O15" s="231" t="s">
        <v>533</v>
      </c>
      <c r="P15" s="231" t="s">
        <v>534</v>
      </c>
      <c r="Q15" s="231" t="s">
        <v>535</v>
      </c>
      <c r="R15" s="231" t="s">
        <v>536</v>
      </c>
      <c r="S15" s="231" t="s">
        <v>537</v>
      </c>
      <c r="T15" s="231" t="s">
        <v>538</v>
      </c>
      <c r="U15" s="231" t="s">
        <v>539</v>
      </c>
      <c r="V15" s="231" t="s">
        <v>540</v>
      </c>
      <c r="W15" s="154"/>
      <c r="X15" s="145"/>
      <c r="Y15" s="151"/>
      <c r="Z15" s="151"/>
    </row>
    <row r="16" spans="1:33" ht="15" customHeight="1" x14ac:dyDescent="0.3">
      <c r="A16" s="151"/>
      <c r="B16" s="340" t="s">
        <v>5</v>
      </c>
      <c r="C16" s="340"/>
      <c r="D16" s="340"/>
      <c r="E16" s="207" t="str">
        <f>IFERROR(TRUNC(AVERAGE(E17:E26),2), "N/A")</f>
        <v>N/A</v>
      </c>
      <c r="F16" s="235"/>
      <c r="G16" s="236"/>
      <c r="H16" s="236"/>
      <c r="I16" s="236"/>
      <c r="J16" s="236"/>
      <c r="K16" s="236"/>
      <c r="L16" s="236"/>
      <c r="M16" s="236"/>
      <c r="N16" s="236"/>
      <c r="O16" s="236"/>
      <c r="P16" s="236"/>
      <c r="Q16" s="236"/>
      <c r="R16" s="236"/>
      <c r="S16" s="236"/>
      <c r="T16" s="236"/>
      <c r="U16" s="236"/>
      <c r="V16" s="236"/>
      <c r="W16" s="336" t="s">
        <v>452</v>
      </c>
      <c r="X16" s="337"/>
      <c r="Y16" s="337"/>
      <c r="Z16" s="337"/>
      <c r="AA16" s="337"/>
      <c r="AB16" s="337"/>
      <c r="AC16" s="337"/>
      <c r="AD16" s="337"/>
      <c r="AE16" s="337"/>
      <c r="AF16" s="337"/>
      <c r="AG16" s="338"/>
    </row>
    <row r="17" spans="1:33" ht="15" customHeight="1" x14ac:dyDescent="0.3">
      <c r="A17" s="151"/>
      <c r="B17" s="329" t="s">
        <v>436</v>
      </c>
      <c r="C17" s="330"/>
      <c r="D17" s="331"/>
      <c r="E17" s="142" t="str">
        <f t="shared" ref="E17:E21" si="1">IFERROR(TRUNC(AVERAGE(F17:V17),2), "N/A")</f>
        <v>N/A</v>
      </c>
      <c r="F17" s="142" t="str">
        <f>IFERROR(TRUNC(AVERAGE('4. ODM Scoring (OMMi)'!$J5:'4. ODM Scoring (OMMi)'!$J9),2), "N/A")</f>
        <v>N/A</v>
      </c>
      <c r="G17" s="228"/>
      <c r="H17" s="142" t="str">
        <f>IFERROR(TRUNC(AVERAGE('5. Subject 1 Scoring (OMMi)'!$J5:'5. Subject 1 Scoring (OMMi)'!$J6),2), "N/A")</f>
        <v>N/A</v>
      </c>
      <c r="I17" s="142" t="str">
        <f>IFERROR(TRUNC(AVERAGE('6. Subject 2 Scoring (OMMi)'!$J5:'6. Subject 2 Scoring (OMMi)'!$J6),2), "N/A")</f>
        <v>N/A</v>
      </c>
      <c r="J17" s="142" t="str">
        <f>IFERROR(TRUNC(AVERAGE('7. Subject 3 Scoring (OMMi)'!$J5:'7. Subject 3 Scoring (OMMi)'!$J6),2), "N/A")</f>
        <v>N/A</v>
      </c>
      <c r="K17" s="142" t="str">
        <f>IFERROR(TRUNC(AVERAGE('8. Subject 4 Scoring (OMMi)'!$J5:'8. Subject 4 Scoring (OMMi)'!$J6),2), "N/A")</f>
        <v>N/A</v>
      </c>
      <c r="L17" s="142" t="str">
        <f>IFERROR(TRUNC(AVERAGE('9. Subject 5 Scoring (OMMi)'!$J5:'9. Subject 5 Scoring (OMMi)'!$J6),2), "N/A")</f>
        <v>N/A</v>
      </c>
      <c r="M17" s="142" t="str">
        <f>IFERROR(TRUNC(AVERAGE('10. Subject 6 Scoring (OMMi)'!$J5:'10. Subject 6 Scoring (OMMi)'!$J6),2), "N/A")</f>
        <v>N/A</v>
      </c>
      <c r="N17" s="142" t="str">
        <f>IFERROR(TRUNC(AVERAGE('11. Subject 7 Scoring (OMMi)'!$J5:'11. Subject 7 Scoring (OMMi)'!$J6),2), "N/A")</f>
        <v>N/A</v>
      </c>
      <c r="O17" s="142" t="str">
        <f>IFERROR(TRUNC(AVERAGE('12. Subject 8 Scoring (OMMi)'!$J5:'12. Subject 8 Scoring (OMMi)'!$J6),2), "N/A")</f>
        <v>N/A</v>
      </c>
      <c r="P17" s="142" t="str">
        <f>IFERROR(TRUNC(AVERAGE('13. Subject 9 Scoring (OMMi)'!$J5:'13. Subject 9 Scoring (OMMi)'!$J6),2), "N/A")</f>
        <v>N/A</v>
      </c>
      <c r="Q17" s="142" t="str">
        <f>IFERROR(TRUNC(AVERAGE('14. Subject 10 Scoring (OMMi)'!$J5:'14. Subject 10 Scoring (OMMi)'!$J6),2), "N/A")</f>
        <v>N/A</v>
      </c>
      <c r="R17" s="142" t="str">
        <f>IFERROR(TRUNC(AVERAGE('15. Subject 11 Scoring (OMMi)'!$J5:'15. Subject 11 Scoring (OMMi)'!$J6),2), "N/A")</f>
        <v>N/A</v>
      </c>
      <c r="S17" s="142" t="str">
        <f>IFERROR(TRUNC(AVERAGE('16. Subject 12 Scoring (OMMi)'!$J5:'16. Subject 12 Scoring (OMMi)'!$J6),2), "N/A")</f>
        <v>N/A</v>
      </c>
      <c r="T17" s="142" t="str">
        <f>IFERROR(TRUNC(AVERAGE('17. Subject 13 Scoring (OMMi)'!$J5:'17. Subject 13 Scoring (OMMi)'!$J6),2), "N/A")</f>
        <v>N/A</v>
      </c>
      <c r="U17" s="142" t="str">
        <f>IFERROR(TRUNC(AVERAGE('18. Subject 14 Scoring (OMMi)'!$J5:'18. Subject 14 Scoring (OMMi)'!$J6),2), "N/A")</f>
        <v>N/A</v>
      </c>
      <c r="V17" s="142" t="str">
        <f>IFERROR(TRUNC(AVERAGE('19. Subject 15 Scoring (OMMi)'!$J5:'19. Subject 15 Scoring (OMMi)'!$J6),2), "N/A")</f>
        <v>N/A</v>
      </c>
      <c r="W17" s="326"/>
      <c r="X17" s="327"/>
      <c r="Y17" s="327"/>
      <c r="Z17" s="327"/>
      <c r="AA17" s="327"/>
      <c r="AB17" s="327"/>
      <c r="AC17" s="327"/>
      <c r="AD17" s="327"/>
      <c r="AE17" s="327"/>
      <c r="AF17" s="327"/>
      <c r="AG17" s="328"/>
    </row>
    <row r="18" spans="1:33" ht="15" customHeight="1" x14ac:dyDescent="0.3">
      <c r="A18" s="151"/>
      <c r="B18" s="329" t="s">
        <v>433</v>
      </c>
      <c r="C18" s="330"/>
      <c r="D18" s="331"/>
      <c r="E18" s="142" t="str">
        <f t="shared" si="1"/>
        <v>N/A</v>
      </c>
      <c r="F18" s="142" t="str">
        <f>IFERROR(TRUNC(AVERAGE('4. ODM Scoring (OMMi)'!$J10:'4. ODM Scoring (OMMi)'!$J11),2), "N/A")</f>
        <v>N/A</v>
      </c>
      <c r="G18" s="228"/>
      <c r="H18" s="142" t="str">
        <f>IFERROR(TRUNC(AVERAGE('5. Subject 1 Scoring (OMMi)'!$J7:'5. Subject 1 Scoring (OMMi)'!$J7),2), "N/A")</f>
        <v>N/A</v>
      </c>
      <c r="I18" s="142" t="str">
        <f>IFERROR(TRUNC(AVERAGE('6. Subject 2 Scoring (OMMi)'!$J7:'6. Subject 2 Scoring (OMMi)'!$J7),2), "N/A")</f>
        <v>N/A</v>
      </c>
      <c r="J18" s="142" t="str">
        <f>IFERROR(TRUNC(AVERAGE('7. Subject 3 Scoring (OMMi)'!$J7:'7. Subject 3 Scoring (OMMi)'!$J7),2), "N/A")</f>
        <v>N/A</v>
      </c>
      <c r="K18" s="142" t="str">
        <f>IFERROR(TRUNC(AVERAGE('8. Subject 4 Scoring (OMMi)'!$J7:'8. Subject 4 Scoring (OMMi)'!$J7),2), "N/A")</f>
        <v>N/A</v>
      </c>
      <c r="L18" s="142" t="str">
        <f>IFERROR(TRUNC(AVERAGE('9. Subject 5 Scoring (OMMi)'!$J7:'9. Subject 5 Scoring (OMMi)'!$J7),2), "N/A")</f>
        <v>N/A</v>
      </c>
      <c r="M18" s="142" t="str">
        <f>IFERROR(TRUNC(AVERAGE('10. Subject 6 Scoring (OMMi)'!$J7:'10. Subject 6 Scoring (OMMi)'!$J7),2), "N/A")</f>
        <v>N/A</v>
      </c>
      <c r="N18" s="142" t="str">
        <f>IFERROR(TRUNC(AVERAGE('11. Subject 7 Scoring (OMMi)'!$J7:'11. Subject 7 Scoring (OMMi)'!$J7),2), "N/A")</f>
        <v>N/A</v>
      </c>
      <c r="O18" s="142" t="str">
        <f>IFERROR(TRUNC(AVERAGE('12. Subject 8 Scoring (OMMi)'!$J7:'12. Subject 8 Scoring (OMMi)'!$J7),2), "N/A")</f>
        <v>N/A</v>
      </c>
      <c r="P18" s="142" t="str">
        <f>IFERROR(TRUNC(AVERAGE('13. Subject 9 Scoring (OMMi)'!$J7:'13. Subject 9 Scoring (OMMi)'!$J7),2), "N/A")</f>
        <v>N/A</v>
      </c>
      <c r="Q18" s="142" t="str">
        <f>IFERROR(TRUNC(AVERAGE('14. Subject 10 Scoring (OMMi)'!$J7:'14. Subject 10 Scoring (OMMi)'!$J7),2), "N/A")</f>
        <v>N/A</v>
      </c>
      <c r="R18" s="142" t="str">
        <f>IFERROR(TRUNC(AVERAGE('15. Subject 11 Scoring (OMMi)'!$J7:'15. Subject 11 Scoring (OMMi)'!$J7),2), "N/A")</f>
        <v>N/A</v>
      </c>
      <c r="S18" s="142" t="str">
        <f>IFERROR(TRUNC(AVERAGE('16. Subject 12 Scoring (OMMi)'!$J7:'16. Subject 12 Scoring (OMMi)'!$J7),2), "N/A")</f>
        <v>N/A</v>
      </c>
      <c r="T18" s="142" t="str">
        <f>IFERROR(TRUNC(AVERAGE('17. Subject 13 Scoring (OMMi)'!$J7:'17. Subject 13 Scoring (OMMi)'!$J7),2), "N/A")</f>
        <v>N/A</v>
      </c>
      <c r="U18" s="142" t="str">
        <f>IFERROR(TRUNC(AVERAGE('18. Subject 14 Scoring (OMMi)'!$J7:'18. Subject 14 Scoring (OMMi)'!$J7),2), "N/A")</f>
        <v>N/A</v>
      </c>
      <c r="V18" s="142" t="str">
        <f>IFERROR(TRUNC(AVERAGE('19. Subject 15 Scoring (OMMi)'!$J7:'19. Subject 15 Scoring (OMMi)'!$J7),2), "N/A")</f>
        <v>N/A</v>
      </c>
      <c r="W18" s="326"/>
      <c r="X18" s="327"/>
      <c r="Y18" s="327"/>
      <c r="Z18" s="327"/>
      <c r="AA18" s="327"/>
      <c r="AB18" s="327"/>
      <c r="AC18" s="327"/>
      <c r="AD18" s="327"/>
      <c r="AE18" s="327"/>
      <c r="AF18" s="327"/>
      <c r="AG18" s="328"/>
    </row>
    <row r="19" spans="1:33" s="18" customFormat="1" ht="15" customHeight="1" x14ac:dyDescent="0.3">
      <c r="A19" s="151"/>
      <c r="B19" s="329" t="s">
        <v>434</v>
      </c>
      <c r="C19" s="330"/>
      <c r="D19" s="331"/>
      <c r="E19" s="142" t="str">
        <f t="shared" si="1"/>
        <v>N/A</v>
      </c>
      <c r="F19" s="142" t="str">
        <f>IFERROR(TRUNC(AVERAGE('4. ODM Scoring (OMMi)'!$J12:'4. ODM Scoring (OMMi)'!$J13),2), "N/A")</f>
        <v>N/A</v>
      </c>
      <c r="G19" s="228"/>
      <c r="H19" s="142" t="str">
        <f>IFERROR(TRUNC(AVERAGE('5. Subject 1 Scoring (OMMi)'!$J8:'5. Subject 1 Scoring (OMMi)'!$J10),2), "N/A")</f>
        <v>N/A</v>
      </c>
      <c r="I19" s="142" t="str">
        <f>IFERROR(TRUNC(AVERAGE('6. Subject 2 Scoring (OMMi)'!$J8:'6. Subject 2 Scoring (OMMi)'!$J10),2), "N/A")</f>
        <v>N/A</v>
      </c>
      <c r="J19" s="142" t="str">
        <f>IFERROR(TRUNC(AVERAGE('7. Subject 3 Scoring (OMMi)'!$J8:'7. Subject 3 Scoring (OMMi)'!$J10),2), "N/A")</f>
        <v>N/A</v>
      </c>
      <c r="K19" s="142" t="str">
        <f>IFERROR(TRUNC(AVERAGE('8. Subject 4 Scoring (OMMi)'!$J8:'8. Subject 4 Scoring (OMMi)'!$J10),2), "N/A")</f>
        <v>N/A</v>
      </c>
      <c r="L19" s="142" t="str">
        <f>IFERROR(TRUNC(AVERAGE('9. Subject 5 Scoring (OMMi)'!$J8:'9. Subject 5 Scoring (OMMi)'!$J10),2), "N/A")</f>
        <v>N/A</v>
      </c>
      <c r="M19" s="142" t="str">
        <f>IFERROR(TRUNC(AVERAGE('10. Subject 6 Scoring (OMMi)'!$J8:'10. Subject 6 Scoring (OMMi)'!$J10),2), "N/A")</f>
        <v>N/A</v>
      </c>
      <c r="N19" s="142" t="str">
        <f>IFERROR(TRUNC(AVERAGE('11. Subject 7 Scoring (OMMi)'!$J8:'11. Subject 7 Scoring (OMMi)'!$J10),2), "N/A")</f>
        <v>N/A</v>
      </c>
      <c r="O19" s="142" t="str">
        <f>IFERROR(TRUNC(AVERAGE('12. Subject 8 Scoring (OMMi)'!$J8:'12. Subject 8 Scoring (OMMi)'!$J10),2), "N/A")</f>
        <v>N/A</v>
      </c>
      <c r="P19" s="142" t="str">
        <f>IFERROR(TRUNC(AVERAGE('13. Subject 9 Scoring (OMMi)'!$J8:'13. Subject 9 Scoring (OMMi)'!$J10),2), "N/A")</f>
        <v>N/A</v>
      </c>
      <c r="Q19" s="142" t="str">
        <f>IFERROR(TRUNC(AVERAGE('14. Subject 10 Scoring (OMMi)'!$J8:'14. Subject 10 Scoring (OMMi)'!$J10),2), "N/A")</f>
        <v>N/A</v>
      </c>
      <c r="R19" s="142" t="str">
        <f>IFERROR(TRUNC(AVERAGE('15. Subject 11 Scoring (OMMi)'!$J8:'15. Subject 11 Scoring (OMMi)'!$J10),2), "N/A")</f>
        <v>N/A</v>
      </c>
      <c r="S19" s="142" t="str">
        <f>IFERROR(TRUNC(AVERAGE('16. Subject 12 Scoring (OMMi)'!$J8:'16. Subject 12 Scoring (OMMi)'!$J10),2), "N/A")</f>
        <v>N/A</v>
      </c>
      <c r="T19" s="142" t="str">
        <f>IFERROR(TRUNC(AVERAGE('17. Subject 13 Scoring (OMMi)'!$J8:'17. Subject 13 Scoring (OMMi)'!$J10),2), "N/A")</f>
        <v>N/A</v>
      </c>
      <c r="U19" s="142" t="str">
        <f>IFERROR(TRUNC(AVERAGE('18. Subject 14 Scoring (OMMi)'!$J8:'18. Subject 14 Scoring (OMMi)'!$J10),2), "N/A")</f>
        <v>N/A</v>
      </c>
      <c r="V19" s="142" t="str">
        <f>IFERROR(TRUNC(AVERAGE('19. Subject 15 Scoring (OMMi)'!$J8:'19. Subject 15 Scoring (OMMi)'!$J10),2), "N/A")</f>
        <v>N/A</v>
      </c>
      <c r="W19" s="326"/>
      <c r="X19" s="327"/>
      <c r="Y19" s="327"/>
      <c r="Z19" s="327"/>
      <c r="AA19" s="327"/>
      <c r="AB19" s="327"/>
      <c r="AC19" s="327"/>
      <c r="AD19" s="327"/>
      <c r="AE19" s="327"/>
      <c r="AF19" s="327"/>
      <c r="AG19" s="328"/>
    </row>
    <row r="20" spans="1:33" s="18" customFormat="1" ht="15" customHeight="1" x14ac:dyDescent="0.3">
      <c r="A20" s="151"/>
      <c r="B20" s="329" t="s">
        <v>435</v>
      </c>
      <c r="C20" s="330"/>
      <c r="D20" s="331"/>
      <c r="E20" s="142" t="str">
        <f t="shared" si="1"/>
        <v>N/A</v>
      </c>
      <c r="F20" s="142" t="str">
        <f>IFERROR(TRUNC(AVERAGE('4. ODM Scoring (OMMi)'!$J14:'4. ODM Scoring (OMMi)'!$J15),2), "N/A")</f>
        <v>N/A</v>
      </c>
      <c r="G20" s="228"/>
      <c r="H20" s="142" t="str">
        <f>IFERROR(TRUNC(AVERAGE('5. Subject 1 Scoring (OMMi)'!$J11:'5. Subject 1 Scoring (OMMi)'!$J12),2), "N/A")</f>
        <v>N/A</v>
      </c>
      <c r="I20" s="142" t="str">
        <f>IFERROR(TRUNC(AVERAGE('6. Subject 2 Scoring (OMMi)'!$J11:'6. Subject 2 Scoring (OMMi)'!$J12),2), "N/A")</f>
        <v>N/A</v>
      </c>
      <c r="J20" s="142" t="str">
        <f>IFERROR(TRUNC(AVERAGE('7. Subject 3 Scoring (OMMi)'!$J11:'7. Subject 3 Scoring (OMMi)'!$J12),2), "N/A")</f>
        <v>N/A</v>
      </c>
      <c r="K20" s="142" t="str">
        <f>IFERROR(TRUNC(AVERAGE('8. Subject 4 Scoring (OMMi)'!$J11:'8. Subject 4 Scoring (OMMi)'!$J12),2), "N/A")</f>
        <v>N/A</v>
      </c>
      <c r="L20" s="142" t="str">
        <f>IFERROR(TRUNC(AVERAGE('9. Subject 5 Scoring (OMMi)'!$J11:'9. Subject 5 Scoring (OMMi)'!$J12),2), "N/A")</f>
        <v>N/A</v>
      </c>
      <c r="M20" s="142" t="str">
        <f>IFERROR(TRUNC(AVERAGE('10. Subject 6 Scoring (OMMi)'!$J11:'10. Subject 6 Scoring (OMMi)'!$J12),2), "N/A")</f>
        <v>N/A</v>
      </c>
      <c r="N20" s="142" t="str">
        <f>IFERROR(TRUNC(AVERAGE('11. Subject 7 Scoring (OMMi)'!$J11:'11. Subject 7 Scoring (OMMi)'!$J12),2), "N/A")</f>
        <v>N/A</v>
      </c>
      <c r="O20" s="142" t="str">
        <f>IFERROR(TRUNC(AVERAGE('12. Subject 8 Scoring (OMMi)'!$J11:'12. Subject 8 Scoring (OMMi)'!$J12),2), "N/A")</f>
        <v>N/A</v>
      </c>
      <c r="P20" s="142" t="str">
        <f>IFERROR(TRUNC(AVERAGE('13. Subject 9 Scoring (OMMi)'!$J11:'13. Subject 9 Scoring (OMMi)'!$J12),2), "N/A")</f>
        <v>N/A</v>
      </c>
      <c r="Q20" s="142" t="str">
        <f>IFERROR(TRUNC(AVERAGE('14. Subject 10 Scoring (OMMi)'!$J11:'14. Subject 10 Scoring (OMMi)'!$J12),2), "N/A")</f>
        <v>N/A</v>
      </c>
      <c r="R20" s="142" t="str">
        <f>IFERROR(TRUNC(AVERAGE('15. Subject 11 Scoring (OMMi)'!$J11:'15. Subject 11 Scoring (OMMi)'!$J12),2), "N/A")</f>
        <v>N/A</v>
      </c>
      <c r="S20" s="142" t="str">
        <f>IFERROR(TRUNC(AVERAGE('16. Subject 12 Scoring (OMMi)'!$J11:'16. Subject 12 Scoring (OMMi)'!$J12),2), "N/A")</f>
        <v>N/A</v>
      </c>
      <c r="T20" s="142" t="str">
        <f>IFERROR(TRUNC(AVERAGE('17. Subject 13 Scoring (OMMi)'!$J11:'17. Subject 13 Scoring (OMMi)'!$J12),2), "N/A")</f>
        <v>N/A</v>
      </c>
      <c r="U20" s="142" t="str">
        <f>IFERROR(TRUNC(AVERAGE('18. Subject 14 Scoring (OMMi)'!$J11:'18. Subject 14 Scoring (OMMi)'!$J12),2), "N/A")</f>
        <v>N/A</v>
      </c>
      <c r="V20" s="142" t="str">
        <f>IFERROR(TRUNC(AVERAGE('19. Subject 15 Scoring (OMMi)'!$J11:'19. Subject 15 Scoring (OMMi)'!$J12),2), "N/A")</f>
        <v>N/A</v>
      </c>
      <c r="W20" s="326"/>
      <c r="X20" s="327"/>
      <c r="Y20" s="327"/>
      <c r="Z20" s="327"/>
      <c r="AA20" s="327"/>
      <c r="AB20" s="327"/>
      <c r="AC20" s="327"/>
      <c r="AD20" s="327"/>
      <c r="AE20" s="327"/>
      <c r="AF20" s="327"/>
      <c r="AG20" s="328"/>
    </row>
    <row r="21" spans="1:33" ht="15" customHeight="1" x14ac:dyDescent="0.3">
      <c r="A21" s="151"/>
      <c r="B21" s="329" t="s">
        <v>651</v>
      </c>
      <c r="C21" s="330"/>
      <c r="D21" s="331"/>
      <c r="E21" s="142" t="str">
        <f t="shared" si="1"/>
        <v>N/A</v>
      </c>
      <c r="F21" s="142" t="str">
        <f>IFERROR(TRUNC(AVERAGE('4. ODM Scoring (OMMi)'!$J16:'4. ODM Scoring (OMMi)'!$J17),2), "N/A")</f>
        <v>N/A</v>
      </c>
      <c r="G21" s="228"/>
      <c r="H21" s="142" t="str">
        <f>IFERROR(TRUNC(AVERAGE('5. Subject 1 Scoring (OMMi)'!$J14:'5. Subject 1 Scoring (OMMi)'!$J15),2), "N/A")</f>
        <v>N/A</v>
      </c>
      <c r="I21" s="142" t="str">
        <f>IFERROR(TRUNC(AVERAGE('6. Subject 2 Scoring (OMMi)'!$J14:'6. Subject 2 Scoring (OMMi)'!$J15),2), "N/A")</f>
        <v>N/A</v>
      </c>
      <c r="J21" s="142" t="str">
        <f>IFERROR(TRUNC(AVERAGE('7. Subject 3 Scoring (OMMi)'!$J14:'7. Subject 3 Scoring (OMMi)'!$J15),2), "N/A")</f>
        <v>N/A</v>
      </c>
      <c r="K21" s="142" t="str">
        <f>IFERROR(TRUNC(AVERAGE('8. Subject 4 Scoring (OMMi)'!$J14:'8. Subject 4 Scoring (OMMi)'!$J15),2), "N/A")</f>
        <v>N/A</v>
      </c>
      <c r="L21" s="142" t="str">
        <f>IFERROR(TRUNC(AVERAGE('9. Subject 5 Scoring (OMMi)'!$J14:'9. Subject 5 Scoring (OMMi)'!$J15),2), "N/A")</f>
        <v>N/A</v>
      </c>
      <c r="M21" s="142" t="str">
        <f>IFERROR(TRUNC(AVERAGE('10. Subject 6 Scoring (OMMi)'!$J14:'10. Subject 6 Scoring (OMMi)'!$J15),2), "N/A")</f>
        <v>N/A</v>
      </c>
      <c r="N21" s="142" t="str">
        <f>IFERROR(TRUNC(AVERAGE('11. Subject 7 Scoring (OMMi)'!$J14:'11. Subject 7 Scoring (OMMi)'!$J15),2), "N/A")</f>
        <v>N/A</v>
      </c>
      <c r="O21" s="142" t="str">
        <f>IFERROR(TRUNC(AVERAGE('12. Subject 8 Scoring (OMMi)'!$J14:'12. Subject 8 Scoring (OMMi)'!$J15),2), "N/A")</f>
        <v>N/A</v>
      </c>
      <c r="P21" s="142" t="str">
        <f>IFERROR(TRUNC(AVERAGE('13. Subject 9 Scoring (OMMi)'!$J14:'13. Subject 9 Scoring (OMMi)'!$J15),2), "N/A")</f>
        <v>N/A</v>
      </c>
      <c r="Q21" s="142" t="str">
        <f>IFERROR(TRUNC(AVERAGE('14. Subject 10 Scoring (OMMi)'!$J14:'14. Subject 10 Scoring (OMMi)'!$J15),2), "N/A")</f>
        <v>N/A</v>
      </c>
      <c r="R21" s="142" t="str">
        <f>IFERROR(TRUNC(AVERAGE('15. Subject 11 Scoring (OMMi)'!$J14:'15. Subject 11 Scoring (OMMi)'!$J15),2), "N/A")</f>
        <v>N/A</v>
      </c>
      <c r="S21" s="142" t="str">
        <f>IFERROR(TRUNC(AVERAGE('16. Subject 12 Scoring (OMMi)'!$J14:'16. Subject 12 Scoring (OMMi)'!$J15),2), "N/A")</f>
        <v>N/A</v>
      </c>
      <c r="T21" s="142" t="str">
        <f>IFERROR(TRUNC(AVERAGE('17. Subject 13 Scoring (OMMi)'!$J14:'17. Subject 13 Scoring (OMMi)'!$J15),2), "N/A")</f>
        <v>N/A</v>
      </c>
      <c r="U21" s="142" t="str">
        <f>IFERROR(TRUNC(AVERAGE('18. Subject 14 Scoring (OMMi)'!$J14:'18. Subject 14 Scoring (OMMi)'!$J15),2), "N/A")</f>
        <v>N/A</v>
      </c>
      <c r="V21" s="142" t="str">
        <f>IFERROR(TRUNC(AVERAGE('19. Subject 15 Scoring (OMMi)'!$J14:'19. Subject 15 Scoring (OMMi)'!$J15),2), "N/A")</f>
        <v>N/A</v>
      </c>
      <c r="W21" s="326"/>
      <c r="X21" s="327"/>
      <c r="Y21" s="327"/>
      <c r="Z21" s="327"/>
      <c r="AA21" s="327"/>
      <c r="AB21" s="327"/>
      <c r="AC21" s="327"/>
      <c r="AD21" s="327"/>
      <c r="AE21" s="327"/>
      <c r="AF21" s="327"/>
      <c r="AG21" s="328"/>
    </row>
    <row r="22" spans="1:33" ht="15" customHeight="1" x14ac:dyDescent="0.3">
      <c r="A22" s="151"/>
      <c r="B22" s="329" t="s">
        <v>830</v>
      </c>
      <c r="C22" s="330"/>
      <c r="D22" s="331"/>
      <c r="E22" s="142" t="str">
        <f t="shared" ref="E22:E29" si="2">IFERROR(TRUNC(AVERAGE(F22:V22),2), "N/A")</f>
        <v>N/A</v>
      </c>
      <c r="F22" s="228"/>
      <c r="G22" s="142" t="str">
        <f>IFERROR(TRUNC(AVERAGE('4.1 Service Desk'!$J52:'4.1 Service Desk'!$J96),2), "N/A")</f>
        <v>N/A</v>
      </c>
      <c r="H22" s="142" t="str">
        <f>IFERROR(TRUNC(AVERAGE('5. Subject 1 Scoring (OMMi)'!$J16:'5. Subject 1 Scoring (OMMi)'!$J22),2), "N/A")</f>
        <v>N/A</v>
      </c>
      <c r="I22" s="142" t="str">
        <f>IFERROR(TRUNC(AVERAGE('6. Subject 2 Scoring (OMMi)'!$J16:'6. Subject 2 Scoring (OMMi)'!$J22),2), "N/A")</f>
        <v>N/A</v>
      </c>
      <c r="J22" s="142" t="str">
        <f>IFERROR(TRUNC(AVERAGE('7. Subject 3 Scoring (OMMi)'!$J16:'7. Subject 3 Scoring (OMMi)'!$J22),2), "N/A")</f>
        <v>N/A</v>
      </c>
      <c r="K22" s="142" t="str">
        <f>IFERROR(TRUNC(AVERAGE('8. Subject 4 Scoring (OMMi)'!$J16:'8. Subject 4 Scoring (OMMi)'!$J22),2), "N/A")</f>
        <v>N/A</v>
      </c>
      <c r="L22" s="142" t="str">
        <f>IFERROR(TRUNC(AVERAGE('9. Subject 5 Scoring (OMMi)'!$J16:'9. Subject 5 Scoring (OMMi)'!$J22),2), "N/A")</f>
        <v>N/A</v>
      </c>
      <c r="M22" s="142" t="str">
        <f>IFERROR(TRUNC(AVERAGE('10. Subject 6 Scoring (OMMi)'!$J16:'10. Subject 6 Scoring (OMMi)'!$J22),2), "N/A")</f>
        <v>N/A</v>
      </c>
      <c r="N22" s="142" t="str">
        <f>IFERROR(TRUNC(AVERAGE('11. Subject 7 Scoring (OMMi)'!$J16:'11. Subject 7 Scoring (OMMi)'!$J22),2), "N/A")</f>
        <v>N/A</v>
      </c>
      <c r="O22" s="142" t="str">
        <f>IFERROR(TRUNC(AVERAGE('12. Subject 8 Scoring (OMMi)'!$J16:'12. Subject 8 Scoring (OMMi)'!$J22),2), "N/A")</f>
        <v>N/A</v>
      </c>
      <c r="P22" s="142" t="str">
        <f>IFERROR(TRUNC(AVERAGE('13. Subject 9 Scoring (OMMi)'!$J16:'13. Subject 9 Scoring (OMMi)'!$J22),2), "N/A")</f>
        <v>N/A</v>
      </c>
      <c r="Q22" s="142" t="str">
        <f>IFERROR(TRUNC(AVERAGE('14. Subject 10 Scoring (OMMi)'!$J16:'14. Subject 10 Scoring (OMMi)'!$J22),2), "N/A")</f>
        <v>N/A</v>
      </c>
      <c r="R22" s="142" t="str">
        <f>IFERROR(TRUNC(AVERAGE('15. Subject 11 Scoring (OMMi)'!$J16:'15. Subject 11 Scoring (OMMi)'!$J22),2), "N/A")</f>
        <v>N/A</v>
      </c>
      <c r="S22" s="142" t="str">
        <f>IFERROR(TRUNC(AVERAGE('16. Subject 12 Scoring (OMMi)'!$J16:'16. Subject 12 Scoring (OMMi)'!$J22),2), "N/A")</f>
        <v>N/A</v>
      </c>
      <c r="T22" s="142" t="str">
        <f>IFERROR(TRUNC(AVERAGE('17. Subject 13 Scoring (OMMi)'!$J16:'17. Subject 13 Scoring (OMMi)'!$J22),2), "N/A")</f>
        <v>N/A</v>
      </c>
      <c r="U22" s="142" t="str">
        <f>IFERROR(TRUNC(AVERAGE('18. Subject 14 Scoring (OMMi)'!$J16:'18. Subject 14 Scoring (OMMi)'!$J22),2), "N/A")</f>
        <v>N/A</v>
      </c>
      <c r="V22" s="142" t="str">
        <f>IFERROR(TRUNC(AVERAGE('19. Subject 15 Scoring (OMMi)'!$J16:'19. Subject 15 Scoring (OMMi)'!$J22),2), "N/A")</f>
        <v>N/A</v>
      </c>
      <c r="W22" s="326"/>
      <c r="X22" s="327"/>
      <c r="Y22" s="327"/>
      <c r="Z22" s="327"/>
      <c r="AA22" s="327"/>
      <c r="AB22" s="327"/>
      <c r="AC22" s="327"/>
      <c r="AD22" s="327"/>
      <c r="AE22" s="327"/>
      <c r="AF22" s="327"/>
      <c r="AG22" s="328"/>
    </row>
    <row r="23" spans="1:33" s="18" customFormat="1" ht="15" customHeight="1" x14ac:dyDescent="0.3">
      <c r="A23" s="151"/>
      <c r="B23" s="329" t="s">
        <v>826</v>
      </c>
      <c r="C23" s="330"/>
      <c r="D23" s="331"/>
      <c r="E23" s="142" t="str">
        <f t="shared" si="2"/>
        <v>N/A</v>
      </c>
      <c r="F23" s="228"/>
      <c r="G23" s="228"/>
      <c r="H23" s="142" t="str">
        <f>IFERROR(TRUNC(AVERAGE('5. Subject 1 Scoring (OMMi)'!$J23:'5. Subject 1 Scoring (OMMi)'!$J26),2), "N/A")</f>
        <v>N/A</v>
      </c>
      <c r="I23" s="142" t="str">
        <f>IFERROR(TRUNC(AVERAGE('6. Subject 2 Scoring (OMMi)'!$J23:'6. Subject 2 Scoring (OMMi)'!$J26),2), "N/A")</f>
        <v>N/A</v>
      </c>
      <c r="J23" s="142" t="str">
        <f>IFERROR(TRUNC(AVERAGE('7. Subject 3 Scoring (OMMi)'!$J23:'7. Subject 3 Scoring (OMMi)'!$J26),2), "N/A")</f>
        <v>N/A</v>
      </c>
      <c r="K23" s="142" t="str">
        <f>IFERROR(TRUNC(AVERAGE('8. Subject 4 Scoring (OMMi)'!$J23:'8. Subject 4 Scoring (OMMi)'!$J26),2), "N/A")</f>
        <v>N/A</v>
      </c>
      <c r="L23" s="142" t="str">
        <f>IFERROR(TRUNC(AVERAGE('9. Subject 5 Scoring (OMMi)'!$J23:'9. Subject 5 Scoring (OMMi)'!$J26),2), "N/A")</f>
        <v>N/A</v>
      </c>
      <c r="M23" s="142" t="str">
        <f>IFERROR(TRUNC(AVERAGE('10. Subject 6 Scoring (OMMi)'!$J23:'10. Subject 6 Scoring (OMMi)'!$J26),2), "N/A")</f>
        <v>N/A</v>
      </c>
      <c r="N23" s="142" t="str">
        <f>IFERROR(TRUNC(AVERAGE('11. Subject 7 Scoring (OMMi)'!$J23:'11. Subject 7 Scoring (OMMi)'!$J26),2), "N/A")</f>
        <v>N/A</v>
      </c>
      <c r="O23" s="142" t="str">
        <f>IFERROR(TRUNC(AVERAGE('12. Subject 8 Scoring (OMMi)'!$J23:'12. Subject 8 Scoring (OMMi)'!$J26),2), "N/A")</f>
        <v>N/A</v>
      </c>
      <c r="P23" s="142" t="str">
        <f>IFERROR(TRUNC(AVERAGE('13. Subject 9 Scoring (OMMi)'!$J23:'13. Subject 9 Scoring (OMMi)'!$J26),2), "N/A")</f>
        <v>N/A</v>
      </c>
      <c r="Q23" s="142" t="str">
        <f>IFERROR(TRUNC(AVERAGE('14. Subject 10 Scoring (OMMi)'!$J23:'14. Subject 10 Scoring (OMMi)'!$J26),2), "N/A")</f>
        <v>N/A</v>
      </c>
      <c r="R23" s="142" t="str">
        <f>IFERROR(TRUNC(AVERAGE('15. Subject 11 Scoring (OMMi)'!$J23:'15. Subject 11 Scoring (OMMi)'!$J26),2), "N/A")</f>
        <v>N/A</v>
      </c>
      <c r="S23" s="142" t="str">
        <f>IFERROR(TRUNC(AVERAGE('16. Subject 12 Scoring (OMMi)'!$J23:'16. Subject 12 Scoring (OMMi)'!$J26),2), "N/A")</f>
        <v>N/A</v>
      </c>
      <c r="T23" s="142" t="str">
        <f>IFERROR(TRUNC(AVERAGE('17. Subject 13 Scoring (OMMi)'!$J23:'17. Subject 13 Scoring (OMMi)'!$J26),2), "N/A")</f>
        <v>N/A</v>
      </c>
      <c r="U23" s="142" t="str">
        <f>IFERROR(TRUNC(AVERAGE('18. Subject 14 Scoring (OMMi)'!$J23:'18. Subject 14 Scoring (OMMi)'!$J26),2), "N/A")</f>
        <v>N/A</v>
      </c>
      <c r="V23" s="142" t="str">
        <f>IFERROR(TRUNC(AVERAGE('19. Subject 15 Scoring (OMMi)'!$J23:'19. Subject 15 Scoring (OMMi)'!$J26),2), "N/A")</f>
        <v>N/A</v>
      </c>
      <c r="W23" s="326"/>
      <c r="X23" s="327"/>
      <c r="Y23" s="327"/>
      <c r="Z23" s="327"/>
      <c r="AA23" s="327"/>
      <c r="AB23" s="327"/>
      <c r="AC23" s="327"/>
      <c r="AD23" s="327"/>
      <c r="AE23" s="327"/>
      <c r="AF23" s="327"/>
      <c r="AG23" s="328"/>
    </row>
    <row r="24" spans="1:33" ht="15" customHeight="1" x14ac:dyDescent="0.3">
      <c r="A24" s="151"/>
      <c r="B24" s="329" t="s">
        <v>661</v>
      </c>
      <c r="C24" s="330"/>
      <c r="D24" s="331"/>
      <c r="E24" s="142" t="str">
        <f t="shared" si="2"/>
        <v>N/A</v>
      </c>
      <c r="F24" s="228"/>
      <c r="G24" s="228"/>
      <c r="H24" s="142" t="str">
        <f>IFERROR(TRUNC(AVERAGE('5. Subject 1 Scoring (OMMi)'!$J27:'5. Subject 1 Scoring (OMMi)'!$J32),2), "N/A")</f>
        <v>N/A</v>
      </c>
      <c r="I24" s="142" t="str">
        <f>IFERROR(TRUNC(AVERAGE('6. Subject 2 Scoring (OMMi)'!$J27:'6. Subject 2 Scoring (OMMi)'!$J32),2), "N/A")</f>
        <v>N/A</v>
      </c>
      <c r="J24" s="142" t="str">
        <f>IFERROR(TRUNC(AVERAGE('7. Subject 3 Scoring (OMMi)'!$J27:'7. Subject 3 Scoring (OMMi)'!$J32),2), "N/A")</f>
        <v>N/A</v>
      </c>
      <c r="K24" s="142" t="str">
        <f>IFERROR(TRUNC(AVERAGE('8. Subject 4 Scoring (OMMi)'!$J27:'8. Subject 4 Scoring (OMMi)'!$J32),2), "N/A")</f>
        <v>N/A</v>
      </c>
      <c r="L24" s="142" t="str">
        <f>IFERROR(TRUNC(AVERAGE('9. Subject 5 Scoring (OMMi)'!$J27:'9. Subject 5 Scoring (OMMi)'!$J32),2), "N/A")</f>
        <v>N/A</v>
      </c>
      <c r="M24" s="142" t="str">
        <f>IFERROR(TRUNC(AVERAGE('10. Subject 6 Scoring (OMMi)'!$J27:'10. Subject 6 Scoring (OMMi)'!$J32),2), "N/A")</f>
        <v>N/A</v>
      </c>
      <c r="N24" s="142" t="str">
        <f>IFERROR(TRUNC(AVERAGE('11. Subject 7 Scoring (OMMi)'!$J27:'11. Subject 7 Scoring (OMMi)'!$J32),2), "N/A")</f>
        <v>N/A</v>
      </c>
      <c r="O24" s="142" t="str">
        <f>IFERROR(TRUNC(AVERAGE('12. Subject 8 Scoring (OMMi)'!$J27:'12. Subject 8 Scoring (OMMi)'!$J32),2), "N/A")</f>
        <v>N/A</v>
      </c>
      <c r="P24" s="142" t="str">
        <f>IFERROR(TRUNC(AVERAGE('13. Subject 9 Scoring (OMMi)'!$J27:'13. Subject 9 Scoring (OMMi)'!$J32),2), "N/A")</f>
        <v>N/A</v>
      </c>
      <c r="Q24" s="142" t="str">
        <f>IFERROR(TRUNC(AVERAGE('14. Subject 10 Scoring (OMMi)'!$J27:'14. Subject 10 Scoring (OMMi)'!$J32),2), "N/A")</f>
        <v>N/A</v>
      </c>
      <c r="R24" s="142" t="str">
        <f>IFERROR(TRUNC(AVERAGE('15. Subject 11 Scoring (OMMi)'!$J27:'15. Subject 11 Scoring (OMMi)'!$J32),2), "N/A")</f>
        <v>N/A</v>
      </c>
      <c r="S24" s="142" t="str">
        <f>IFERROR(TRUNC(AVERAGE('16. Subject 12 Scoring (OMMi)'!$J27:'16. Subject 12 Scoring (OMMi)'!$J32),2), "N/A")</f>
        <v>N/A</v>
      </c>
      <c r="T24" s="142" t="str">
        <f>IFERROR(TRUNC(AVERAGE('17. Subject 13 Scoring (OMMi)'!$J27:'17. Subject 13 Scoring (OMMi)'!$J32),2), "N/A")</f>
        <v>N/A</v>
      </c>
      <c r="U24" s="142" t="str">
        <f>IFERROR(TRUNC(AVERAGE('18. Subject 14 Scoring (OMMi)'!$J27:'18. Subject 14 Scoring (OMMi)'!$J32),2), "N/A")</f>
        <v>N/A</v>
      </c>
      <c r="V24" s="142" t="str">
        <f>IFERROR(TRUNC(AVERAGE('19. Subject 15 Scoring (OMMi)'!$J27:'19. Subject 15 Scoring (OMMi)'!$J32),2), "N/A")</f>
        <v>N/A</v>
      </c>
      <c r="W24" s="326"/>
      <c r="X24" s="327"/>
      <c r="Y24" s="327"/>
      <c r="Z24" s="327"/>
      <c r="AA24" s="327"/>
      <c r="AB24" s="327"/>
      <c r="AC24" s="327"/>
      <c r="AD24" s="327"/>
      <c r="AE24" s="327"/>
      <c r="AF24" s="327"/>
      <c r="AG24" s="328"/>
    </row>
    <row r="25" spans="1:33" s="18" customFormat="1" ht="15" customHeight="1" x14ac:dyDescent="0.3">
      <c r="A25" s="151"/>
      <c r="B25" s="329" t="s">
        <v>831</v>
      </c>
      <c r="C25" s="330"/>
      <c r="D25" s="331"/>
      <c r="E25" s="142" t="str">
        <f t="shared" si="2"/>
        <v>N/A</v>
      </c>
      <c r="F25" s="228"/>
      <c r="G25" s="142" t="str">
        <f>IFERROR(TRUNC(AVERAGE('4.1 Service Desk'!$J5:'4.1 Service Desk'!$J51),2), "N/A")</f>
        <v>N/A</v>
      </c>
      <c r="H25" s="142" t="str">
        <f>IFERROR(TRUNC(AVERAGE('5. Subject 1 Scoring (OMMi)'!$J33:'5. Subject 1 Scoring (OMMi)'!$J33),2), "N/A")</f>
        <v>N/A</v>
      </c>
      <c r="I25" s="142" t="str">
        <f>IFERROR(TRUNC(AVERAGE('6. Subject 2 Scoring (OMMi)'!$J33:'6. Subject 2 Scoring (OMMi)'!$J33),2), "N/A")</f>
        <v>N/A</v>
      </c>
      <c r="J25" s="142" t="str">
        <f>IFERROR(TRUNC(AVERAGE('7. Subject 3 Scoring (OMMi)'!$J33:'7. Subject 3 Scoring (OMMi)'!$J33),2), "N/A")</f>
        <v>N/A</v>
      </c>
      <c r="K25" s="142" t="str">
        <f>IFERROR(TRUNC(AVERAGE('8. Subject 4 Scoring (OMMi)'!$J33:'8. Subject 4 Scoring (OMMi)'!$J33),2), "N/A")</f>
        <v>N/A</v>
      </c>
      <c r="L25" s="142" t="str">
        <f>IFERROR(TRUNC(AVERAGE('9. Subject 5 Scoring (OMMi)'!$J33:'9. Subject 5 Scoring (OMMi)'!$J33),2), "N/A")</f>
        <v>N/A</v>
      </c>
      <c r="M25" s="142" t="str">
        <f>IFERROR(TRUNC(AVERAGE('10. Subject 6 Scoring (OMMi)'!$J33:'10. Subject 6 Scoring (OMMi)'!$J33),2), "N/A")</f>
        <v>N/A</v>
      </c>
      <c r="N25" s="142" t="str">
        <f>IFERROR(TRUNC(AVERAGE('11. Subject 7 Scoring (OMMi)'!$J33:'11. Subject 7 Scoring (OMMi)'!$J33),2), "N/A")</f>
        <v>N/A</v>
      </c>
      <c r="O25" s="142" t="str">
        <f>IFERROR(TRUNC(AVERAGE('12. Subject 8 Scoring (OMMi)'!$J33:'12. Subject 8 Scoring (OMMi)'!$J33),2), "N/A")</f>
        <v>N/A</v>
      </c>
      <c r="P25" s="142" t="str">
        <f>IFERROR(TRUNC(AVERAGE('13. Subject 9 Scoring (OMMi)'!$J33:'13. Subject 9 Scoring (OMMi)'!$J33),2), "N/A")</f>
        <v>N/A</v>
      </c>
      <c r="Q25" s="142" t="str">
        <f>IFERROR(TRUNC(AVERAGE('14. Subject 10 Scoring (OMMi)'!$J33:'14. Subject 10 Scoring (OMMi)'!$J33),2), "N/A")</f>
        <v>N/A</v>
      </c>
      <c r="R25" s="142" t="str">
        <f>IFERROR(TRUNC(AVERAGE('15. Subject 11 Scoring (OMMi)'!$J33:'15. Subject 11 Scoring (OMMi)'!$J33),2), "N/A")</f>
        <v>N/A</v>
      </c>
      <c r="S25" s="142" t="str">
        <f>IFERROR(TRUNC(AVERAGE('16. Subject 12 Scoring (OMMi)'!$J33:'16. Subject 12 Scoring (OMMi)'!$J33),2), "N/A")</f>
        <v>N/A</v>
      </c>
      <c r="T25" s="142" t="str">
        <f>IFERROR(TRUNC(AVERAGE('17. Subject 13 Scoring (OMMi)'!$J33:'17. Subject 13 Scoring (OMMi)'!$J33),2), "N/A")</f>
        <v>N/A</v>
      </c>
      <c r="U25" s="142" t="str">
        <f>IFERROR(TRUNC(AVERAGE('18. Subject 14 Scoring (OMMi)'!$J33:'18. Subject 14 Scoring (OMMi)'!$J33),2), "N/A")</f>
        <v>N/A</v>
      </c>
      <c r="V25" s="142" t="str">
        <f>IFERROR(TRUNC(AVERAGE('19. Subject 15 Scoring (OMMi)'!$J33:'19. Subject 15 Scoring (OMMi)'!$J33),2), "N/A")</f>
        <v>N/A</v>
      </c>
      <c r="W25" s="326"/>
      <c r="X25" s="327"/>
      <c r="Y25" s="327"/>
      <c r="Z25" s="327"/>
      <c r="AA25" s="327"/>
      <c r="AB25" s="327"/>
      <c r="AC25" s="327"/>
      <c r="AD25" s="327"/>
      <c r="AE25" s="327"/>
      <c r="AF25" s="327"/>
      <c r="AG25" s="328"/>
    </row>
    <row r="26" spans="1:33" s="18" customFormat="1" ht="15" customHeight="1" x14ac:dyDescent="0.3">
      <c r="A26" s="151"/>
      <c r="B26" s="329" t="s">
        <v>833</v>
      </c>
      <c r="C26" s="330"/>
      <c r="D26" s="331"/>
      <c r="E26" s="142" t="str">
        <f t="shared" si="2"/>
        <v>N/A</v>
      </c>
      <c r="F26" s="228"/>
      <c r="G26" s="228"/>
      <c r="H26" s="142" t="str">
        <f>IFERROR(TRUNC(AVERAGE('5. Subject 1 Scoring (OMMi)'!$J34:'5. Subject 1 Scoring (OMMi)'!$J35),2), "N/A")</f>
        <v>N/A</v>
      </c>
      <c r="I26" s="142" t="str">
        <f>IFERROR(TRUNC(AVERAGE('6. Subject 2 Scoring (OMMi)'!$J34:'6. Subject 2 Scoring (OMMi)'!$J35),2), "N/A")</f>
        <v>N/A</v>
      </c>
      <c r="J26" s="142" t="str">
        <f>IFERROR(TRUNC(AVERAGE('7. Subject 3 Scoring (OMMi)'!$J34:'7. Subject 3 Scoring (OMMi)'!$J35),2), "N/A")</f>
        <v>N/A</v>
      </c>
      <c r="K26" s="142" t="str">
        <f>IFERROR(TRUNC(AVERAGE('8. Subject 4 Scoring (OMMi)'!$J34:'8. Subject 4 Scoring (OMMi)'!$J35),2), "N/A")</f>
        <v>N/A</v>
      </c>
      <c r="L26" s="142" t="str">
        <f>IFERROR(TRUNC(AVERAGE('9. Subject 5 Scoring (OMMi)'!$J34:'9. Subject 5 Scoring (OMMi)'!$J35),2), "N/A")</f>
        <v>N/A</v>
      </c>
      <c r="M26" s="142" t="str">
        <f>IFERROR(TRUNC(AVERAGE('10. Subject 6 Scoring (OMMi)'!$J34:'10. Subject 6 Scoring (OMMi)'!$J35),2), "N/A")</f>
        <v>N/A</v>
      </c>
      <c r="N26" s="142" t="str">
        <f>IFERROR(TRUNC(AVERAGE('11. Subject 7 Scoring (OMMi)'!$J34:'11. Subject 7 Scoring (OMMi)'!$J35),2), "N/A")</f>
        <v>N/A</v>
      </c>
      <c r="O26" s="142" t="str">
        <f>IFERROR(TRUNC(AVERAGE('12. Subject 8 Scoring (OMMi)'!$J34:'12. Subject 8 Scoring (OMMi)'!$J35),2), "N/A")</f>
        <v>N/A</v>
      </c>
      <c r="P26" s="142" t="str">
        <f>IFERROR(TRUNC(AVERAGE('13. Subject 9 Scoring (OMMi)'!$J34:'13. Subject 9 Scoring (OMMi)'!$J35),2), "N/A")</f>
        <v>N/A</v>
      </c>
      <c r="Q26" s="142" t="str">
        <f>IFERROR(TRUNC(AVERAGE('14. Subject 10 Scoring (OMMi)'!$J34:'14. Subject 10 Scoring (OMMi)'!$J35),2), "N/A")</f>
        <v>N/A</v>
      </c>
      <c r="R26" s="142" t="str">
        <f>IFERROR(TRUNC(AVERAGE('15. Subject 11 Scoring (OMMi)'!$J34:'15. Subject 11 Scoring (OMMi)'!$J35),2), "N/A")</f>
        <v>N/A</v>
      </c>
      <c r="S26" s="142" t="str">
        <f>IFERROR(TRUNC(AVERAGE('16. Subject 12 Scoring (OMMi)'!$J34:'16. Subject 12 Scoring (OMMi)'!$J35),2), "N/A")</f>
        <v>N/A</v>
      </c>
      <c r="T26" s="142" t="str">
        <f>IFERROR(TRUNC(AVERAGE('17. Subject 13 Scoring (OMMi)'!$J34:'17. Subject 13 Scoring (OMMi)'!$J35),2), "N/A")</f>
        <v>N/A</v>
      </c>
      <c r="U26" s="142" t="str">
        <f>IFERROR(TRUNC(AVERAGE('18. Subject 14 Scoring (OMMi)'!$J34:'18. Subject 14 Scoring (OMMi)'!$J35),2), "N/A")</f>
        <v>N/A</v>
      </c>
      <c r="V26" s="142" t="str">
        <f>IFERROR(TRUNC(AVERAGE('19. Subject 15 Scoring (OMMi)'!$J34:'19. Subject 15 Scoring (OMMi)'!$J35),2), "N/A")</f>
        <v>N/A</v>
      </c>
      <c r="W26" s="326"/>
      <c r="X26" s="327"/>
      <c r="Y26" s="327"/>
      <c r="Z26" s="327"/>
      <c r="AA26" s="327"/>
      <c r="AB26" s="327"/>
      <c r="AC26" s="327"/>
      <c r="AD26" s="327"/>
      <c r="AE26" s="327"/>
      <c r="AF26" s="327"/>
      <c r="AG26" s="328"/>
    </row>
    <row r="27" spans="1:33" s="23" customFormat="1" ht="15" customHeight="1" x14ac:dyDescent="0.3">
      <c r="A27" s="151"/>
      <c r="B27" s="329" t="s">
        <v>835</v>
      </c>
      <c r="C27" s="330"/>
      <c r="D27" s="331"/>
      <c r="E27" s="142" t="str">
        <f t="shared" si="2"/>
        <v>N/A</v>
      </c>
      <c r="F27" s="228"/>
      <c r="G27" s="142" t="str">
        <f>IFERROR(TRUNC(AVERAGE('4.1 Service Desk'!$J97:'4.1 Service Desk'!$J138),2), "N/A")</f>
        <v>N/A</v>
      </c>
      <c r="H27" s="228"/>
      <c r="I27" s="228"/>
      <c r="J27" s="228"/>
      <c r="K27" s="228"/>
      <c r="L27" s="228"/>
      <c r="M27" s="228"/>
      <c r="N27" s="228"/>
      <c r="O27" s="228"/>
      <c r="P27" s="228"/>
      <c r="Q27" s="228"/>
      <c r="R27" s="228"/>
      <c r="S27" s="228"/>
      <c r="T27" s="228"/>
      <c r="U27" s="228"/>
      <c r="V27" s="228"/>
      <c r="W27" s="326"/>
      <c r="X27" s="327"/>
      <c r="Y27" s="327"/>
      <c r="Z27" s="327"/>
      <c r="AA27" s="327"/>
      <c r="AB27" s="327"/>
      <c r="AC27" s="327"/>
      <c r="AD27" s="327"/>
      <c r="AE27" s="327"/>
      <c r="AF27" s="327"/>
      <c r="AG27" s="328"/>
    </row>
    <row r="28" spans="1:33" s="23" customFormat="1" ht="15" customHeight="1" x14ac:dyDescent="0.3">
      <c r="A28" s="151"/>
      <c r="B28" s="329" t="s">
        <v>836</v>
      </c>
      <c r="C28" s="330"/>
      <c r="D28" s="331"/>
      <c r="E28" s="142" t="str">
        <f t="shared" si="2"/>
        <v>N/A</v>
      </c>
      <c r="F28" s="228"/>
      <c r="G28" s="228"/>
      <c r="H28" s="142" t="str">
        <f>IFERROR(TRUNC(AVERAGE('5. Subject 1 Scoring (OMMi)'!$J37:'5. Subject 1 Scoring (OMMi)'!$J42),2), "N/A")</f>
        <v>N/A</v>
      </c>
      <c r="I28" s="142" t="str">
        <f>IFERROR(TRUNC(AVERAGE('6. Subject 2 Scoring (OMMi)'!$J37:'6. Subject 2 Scoring (OMMi)'!$J42),2), "N/A")</f>
        <v>N/A</v>
      </c>
      <c r="J28" s="142" t="str">
        <f>IFERROR(TRUNC(AVERAGE('7. Subject 3 Scoring (OMMi)'!$J37:'7. Subject 3 Scoring (OMMi)'!$J42),2), "N/A")</f>
        <v>N/A</v>
      </c>
      <c r="K28" s="142" t="str">
        <f>IFERROR(TRUNC(AVERAGE('8. Subject 4 Scoring (OMMi)'!$J37:'8. Subject 4 Scoring (OMMi)'!$J42),2), "N/A")</f>
        <v>N/A</v>
      </c>
      <c r="L28" s="142" t="str">
        <f>IFERROR(TRUNC(AVERAGE('9. Subject 5 Scoring (OMMi)'!$J37:'9. Subject 5 Scoring (OMMi)'!$J42),2), "N/A")</f>
        <v>N/A</v>
      </c>
      <c r="M28" s="142" t="str">
        <f>IFERROR(TRUNC(AVERAGE('10. Subject 6 Scoring (OMMi)'!$J37:'10. Subject 6 Scoring (OMMi)'!$J42),2), "N/A")</f>
        <v>N/A</v>
      </c>
      <c r="N28" s="142" t="str">
        <f>IFERROR(TRUNC(AVERAGE('11. Subject 7 Scoring (OMMi)'!$J37:'11. Subject 7 Scoring (OMMi)'!$J42),2), "N/A")</f>
        <v>N/A</v>
      </c>
      <c r="O28" s="142" t="str">
        <f>IFERROR(TRUNC(AVERAGE('12. Subject 8 Scoring (OMMi)'!$J37:'12. Subject 8 Scoring (OMMi)'!$J42),2), "N/A")</f>
        <v>N/A</v>
      </c>
      <c r="P28" s="142" t="str">
        <f>IFERROR(TRUNC(AVERAGE('13. Subject 9 Scoring (OMMi)'!$J37:'13. Subject 9 Scoring (OMMi)'!$J42),2), "N/A")</f>
        <v>N/A</v>
      </c>
      <c r="Q28" s="142" t="str">
        <f>IFERROR(TRUNC(AVERAGE('14. Subject 10 Scoring (OMMi)'!$J37:'14. Subject 10 Scoring (OMMi)'!$J42),2), "N/A")</f>
        <v>N/A</v>
      </c>
      <c r="R28" s="142" t="str">
        <f>IFERROR(TRUNC(AVERAGE('15. Subject 11 Scoring (OMMi)'!$J37:'15. Subject 11 Scoring (OMMi)'!$J42),2), "N/A")</f>
        <v>N/A</v>
      </c>
      <c r="S28" s="142" t="str">
        <f>IFERROR(TRUNC(AVERAGE('16. Subject 12 Scoring (OMMi)'!$J37:'16. Subject 12 Scoring (OMMi)'!$J42),2), "N/A")</f>
        <v>N/A</v>
      </c>
      <c r="T28" s="142" t="str">
        <f>IFERROR(TRUNC(AVERAGE('17. Subject 13 Scoring (OMMi)'!$J37:'17. Subject 13 Scoring (OMMi)'!$J42),2), "N/A")</f>
        <v>N/A</v>
      </c>
      <c r="U28" s="142" t="str">
        <f>IFERROR(TRUNC(AVERAGE('18. Subject 14 Scoring (OMMi)'!$J37:'18. Subject 14 Scoring (OMMi)'!$J42),2), "N/A")</f>
        <v>N/A</v>
      </c>
      <c r="V28" s="142" t="str">
        <f>IFERROR(TRUNC(AVERAGE('19. Subject 15 Scoring (OMMi)'!$J37:'19. Subject 15 Scoring (OMMi)'!$J42),2), "N/A")</f>
        <v>N/A</v>
      </c>
      <c r="W28" s="326"/>
      <c r="X28" s="327"/>
      <c r="Y28" s="327"/>
      <c r="Z28" s="327"/>
      <c r="AA28" s="327"/>
      <c r="AB28" s="327"/>
      <c r="AC28" s="327"/>
      <c r="AD28" s="327"/>
      <c r="AE28" s="327"/>
      <c r="AF28" s="327"/>
      <c r="AG28" s="328"/>
    </row>
    <row r="29" spans="1:33" s="23" customFormat="1" ht="15" customHeight="1" x14ac:dyDescent="0.3">
      <c r="A29" s="151"/>
      <c r="B29" s="329" t="s">
        <v>837</v>
      </c>
      <c r="C29" s="330"/>
      <c r="D29" s="331"/>
      <c r="E29" s="142" t="str">
        <f t="shared" si="2"/>
        <v>N/A</v>
      </c>
      <c r="F29" s="228"/>
      <c r="G29" s="142" t="str">
        <f>IFERROR(TRUNC(AVERAGE('4.1 Service Desk'!$J139:'4.1 Service Desk'!$J154),2), "N/A")</f>
        <v>N/A</v>
      </c>
      <c r="H29" s="142" t="str">
        <f>IFERROR(TRUNC(AVERAGE('5. Subject 1 Scoring (OMMi)'!$J44:'5. Subject 1 Scoring (OMMi)'!$J51),2), "N/A")</f>
        <v>N/A</v>
      </c>
      <c r="I29" s="142" t="str">
        <f>IFERROR(TRUNC(AVERAGE('6. Subject 2 Scoring (OMMi)'!$J44:'6. Subject 2 Scoring (OMMi)'!$J51),2), "N/A")</f>
        <v>N/A</v>
      </c>
      <c r="J29" s="142" t="str">
        <f>IFERROR(TRUNC(AVERAGE('7. Subject 3 Scoring (OMMi)'!$J44:'7. Subject 3 Scoring (OMMi)'!$J51),2), "N/A")</f>
        <v>N/A</v>
      </c>
      <c r="K29" s="142" t="str">
        <f>IFERROR(TRUNC(AVERAGE('8. Subject 4 Scoring (OMMi)'!$J44:'8. Subject 4 Scoring (OMMi)'!$J51),2), "N/A")</f>
        <v>N/A</v>
      </c>
      <c r="L29" s="142" t="str">
        <f>IFERROR(TRUNC(AVERAGE('9. Subject 5 Scoring (OMMi)'!$J44:'9. Subject 5 Scoring (OMMi)'!$J51),2), "N/A")</f>
        <v>N/A</v>
      </c>
      <c r="M29" s="142" t="str">
        <f>IFERROR(TRUNC(AVERAGE('10. Subject 6 Scoring (OMMi)'!$J44:'10. Subject 6 Scoring (OMMi)'!$J51),2), "N/A")</f>
        <v>N/A</v>
      </c>
      <c r="N29" s="142" t="str">
        <f>IFERROR(TRUNC(AVERAGE('11. Subject 7 Scoring (OMMi)'!$J44:'11. Subject 7 Scoring (OMMi)'!$J51),2), "N/A")</f>
        <v>N/A</v>
      </c>
      <c r="O29" s="142" t="str">
        <f>IFERROR(TRUNC(AVERAGE('12. Subject 8 Scoring (OMMi)'!$J44:'12. Subject 8 Scoring (OMMi)'!$J51),2), "N/A")</f>
        <v>N/A</v>
      </c>
      <c r="P29" s="142" t="str">
        <f>IFERROR(TRUNC(AVERAGE('13. Subject 9 Scoring (OMMi)'!$J44:'13. Subject 9 Scoring (OMMi)'!$J51),2), "N/A")</f>
        <v>N/A</v>
      </c>
      <c r="Q29" s="142" t="str">
        <f>IFERROR(TRUNC(AVERAGE('14. Subject 10 Scoring (OMMi)'!$J44:'14. Subject 10 Scoring (OMMi)'!$J51),2), "N/A")</f>
        <v>N/A</v>
      </c>
      <c r="R29" s="142" t="str">
        <f>IFERROR(TRUNC(AVERAGE('15. Subject 11 Scoring (OMMi)'!$J44:'15. Subject 11 Scoring (OMMi)'!$J51),2), "N/A")</f>
        <v>N/A</v>
      </c>
      <c r="S29" s="142" t="str">
        <f>IFERROR(TRUNC(AVERAGE('16. Subject 12 Scoring (OMMi)'!$J44:'16. Subject 12 Scoring (OMMi)'!$J51),2), "N/A")</f>
        <v>N/A</v>
      </c>
      <c r="T29" s="142" t="str">
        <f>IFERROR(TRUNC(AVERAGE('17. Subject 13 Scoring (OMMi)'!$J44:'17. Subject 13 Scoring (OMMi)'!$J51),2), "N/A")</f>
        <v>N/A</v>
      </c>
      <c r="U29" s="142" t="str">
        <f>IFERROR(TRUNC(AVERAGE('18. Subject 14 Scoring (OMMi)'!$J44:'18. Subject 14 Scoring (OMMi)'!$J51),2), "N/A")</f>
        <v>N/A</v>
      </c>
      <c r="V29" s="142" t="str">
        <f>IFERROR(TRUNC(AVERAGE('19. Subject 15 Scoring (OMMi)'!$J44:'19. Subject 15 Scoring (OMMi)'!$J51),2), "N/A")</f>
        <v>N/A</v>
      </c>
      <c r="W29" s="326"/>
      <c r="X29" s="327"/>
      <c r="Y29" s="327"/>
      <c r="Z29" s="327"/>
      <c r="AA29" s="327"/>
      <c r="AB29" s="327"/>
      <c r="AC29" s="327"/>
      <c r="AD29" s="327"/>
      <c r="AE29" s="327"/>
      <c r="AF29" s="327"/>
      <c r="AG29" s="328"/>
    </row>
    <row r="30" spans="1:33" s="23" customFormat="1" ht="15" customHeight="1" x14ac:dyDescent="0.3">
      <c r="A30" s="151"/>
      <c r="B30" s="329" t="s">
        <v>838</v>
      </c>
      <c r="C30" s="330"/>
      <c r="D30" s="331"/>
      <c r="E30" s="142" t="str">
        <f t="shared" ref="E30:E31" si="3">IFERROR(TRUNC(AVERAGE(F30:V30),2), "N/A")</f>
        <v>N/A</v>
      </c>
      <c r="F30" s="228"/>
      <c r="G30" s="228"/>
      <c r="H30" s="142" t="str">
        <f>IFERROR(TRUNC(AVERAGE('5. Subject 1 Scoring (OMMi)'!$J53:'5. Subject 1 Scoring (OMMi)'!$J58),2), "N/A")</f>
        <v>N/A</v>
      </c>
      <c r="I30" s="142" t="str">
        <f>IFERROR(TRUNC(AVERAGE('6. Subject 2 Scoring (OMMi)'!$J53:'6. Subject 2 Scoring (OMMi)'!$J58),2), "N/A")</f>
        <v>N/A</v>
      </c>
      <c r="J30" s="142" t="str">
        <f>IFERROR(TRUNC(AVERAGE('7. Subject 3 Scoring (OMMi)'!$J53:'7. Subject 3 Scoring (OMMi)'!$J58),2), "N/A")</f>
        <v>N/A</v>
      </c>
      <c r="K30" s="142" t="str">
        <f>IFERROR(TRUNC(AVERAGE('8. Subject 4 Scoring (OMMi)'!$J53:'8. Subject 4 Scoring (OMMi)'!$J58),2), "N/A")</f>
        <v>N/A</v>
      </c>
      <c r="L30" s="142" t="str">
        <f>IFERROR(TRUNC(AVERAGE('9. Subject 5 Scoring (OMMi)'!$J53:'9. Subject 5 Scoring (OMMi)'!$J58),2), "N/A")</f>
        <v>N/A</v>
      </c>
      <c r="M30" s="142" t="str">
        <f>IFERROR(TRUNC(AVERAGE('10. Subject 6 Scoring (OMMi)'!$J53:'10. Subject 6 Scoring (OMMi)'!$J58),2), "N/A")</f>
        <v>N/A</v>
      </c>
      <c r="N30" s="142" t="str">
        <f>IFERROR(TRUNC(AVERAGE('11. Subject 7 Scoring (OMMi)'!$J53:'11. Subject 7 Scoring (OMMi)'!$J58),2), "N/A")</f>
        <v>N/A</v>
      </c>
      <c r="O30" s="142" t="str">
        <f>IFERROR(TRUNC(AVERAGE('12. Subject 8 Scoring (OMMi)'!$J53:'12. Subject 8 Scoring (OMMi)'!$J58),2), "N/A")</f>
        <v>N/A</v>
      </c>
      <c r="P30" s="142" t="str">
        <f>IFERROR(TRUNC(AVERAGE('13. Subject 9 Scoring (OMMi)'!$J53:'13. Subject 9 Scoring (OMMi)'!$J58),2), "N/A")</f>
        <v>N/A</v>
      </c>
      <c r="Q30" s="142" t="str">
        <f>IFERROR(TRUNC(AVERAGE('14. Subject 10 Scoring (OMMi)'!$J53:'14. Subject 10 Scoring (OMMi)'!$J58),2), "N/A")</f>
        <v>N/A</v>
      </c>
      <c r="R30" s="142" t="str">
        <f>IFERROR(TRUNC(AVERAGE('15. Subject 11 Scoring (OMMi)'!$J53:'15. Subject 11 Scoring (OMMi)'!$J58),2), "N/A")</f>
        <v>N/A</v>
      </c>
      <c r="S30" s="142" t="str">
        <f>IFERROR(TRUNC(AVERAGE('16. Subject 12 Scoring (OMMi)'!$J53:'16. Subject 12 Scoring (OMMi)'!$J58),2), "N/A")</f>
        <v>N/A</v>
      </c>
      <c r="T30" s="142" t="str">
        <f>IFERROR(TRUNC(AVERAGE('17. Subject 13 Scoring (OMMi)'!$J53:'17. Subject 13 Scoring (OMMi)'!$J58),2), "N/A")</f>
        <v>N/A</v>
      </c>
      <c r="U30" s="142" t="str">
        <f>IFERROR(TRUNC(AVERAGE('18. Subject 14 Scoring (OMMi)'!$J53:'18. Subject 14 Scoring (OMMi)'!$J58),2), "N/A")</f>
        <v>N/A</v>
      </c>
      <c r="V30" s="142" t="str">
        <f>IFERROR(TRUNC(AVERAGE('19. Subject 15 Scoring (OMMi)'!$J53:'19. Subject 15 Scoring (OMMi)'!$J58),2), "N/A")</f>
        <v>N/A</v>
      </c>
      <c r="W30" s="326"/>
      <c r="X30" s="327"/>
      <c r="Y30" s="327"/>
      <c r="Z30" s="327"/>
      <c r="AA30" s="327"/>
      <c r="AB30" s="327"/>
      <c r="AC30" s="327"/>
      <c r="AD30" s="327"/>
      <c r="AE30" s="327"/>
      <c r="AF30" s="327"/>
      <c r="AG30" s="328"/>
    </row>
    <row r="31" spans="1:33" s="23" customFormat="1" ht="15" customHeight="1" x14ac:dyDescent="0.3">
      <c r="A31" s="151"/>
      <c r="B31" s="329" t="s">
        <v>839</v>
      </c>
      <c r="C31" s="330"/>
      <c r="D31" s="331"/>
      <c r="E31" s="142" t="str">
        <f t="shared" si="3"/>
        <v>N/A</v>
      </c>
      <c r="F31" s="228"/>
      <c r="G31" s="228"/>
      <c r="H31" s="142" t="str">
        <f>IFERROR(TRUNC(AVERAGE('5. Subject 1 Scoring (OMMi)'!$J60:'5. Subject 1 Scoring (OMMi)'!$J62),2), "N/A")</f>
        <v>N/A</v>
      </c>
      <c r="I31" s="142" t="str">
        <f>IFERROR(TRUNC(AVERAGE('6. Subject 2 Scoring (OMMi)'!$J60:'6. Subject 2 Scoring (OMMi)'!$J62),2), "N/A")</f>
        <v>N/A</v>
      </c>
      <c r="J31" s="142" t="str">
        <f>IFERROR(TRUNC(AVERAGE('7. Subject 3 Scoring (OMMi)'!$J60:'7. Subject 3 Scoring (OMMi)'!$J62),2), "N/A")</f>
        <v>N/A</v>
      </c>
      <c r="K31" s="142" t="str">
        <f>IFERROR(TRUNC(AVERAGE('8. Subject 4 Scoring (OMMi)'!$J60:'8. Subject 4 Scoring (OMMi)'!$J62),2), "N/A")</f>
        <v>N/A</v>
      </c>
      <c r="L31" s="142" t="str">
        <f>IFERROR(TRUNC(AVERAGE('9. Subject 5 Scoring (OMMi)'!$J60:'9. Subject 5 Scoring (OMMi)'!$J62),2), "N/A")</f>
        <v>N/A</v>
      </c>
      <c r="M31" s="142" t="str">
        <f>IFERROR(TRUNC(AVERAGE('10. Subject 6 Scoring (OMMi)'!$J60:'10. Subject 6 Scoring (OMMi)'!$J62),2), "N/A")</f>
        <v>N/A</v>
      </c>
      <c r="N31" s="142" t="str">
        <f>IFERROR(TRUNC(AVERAGE('11. Subject 7 Scoring (OMMi)'!$J60:'11. Subject 7 Scoring (OMMi)'!$J62),2), "N/A")</f>
        <v>N/A</v>
      </c>
      <c r="O31" s="142" t="str">
        <f>IFERROR(TRUNC(AVERAGE('12. Subject 8 Scoring (OMMi)'!$J60:'12. Subject 8 Scoring (OMMi)'!$J62),2), "N/A")</f>
        <v>N/A</v>
      </c>
      <c r="P31" s="142" t="str">
        <f>IFERROR(TRUNC(AVERAGE('13. Subject 9 Scoring (OMMi)'!$J60:'13. Subject 9 Scoring (OMMi)'!$J62),2), "N/A")</f>
        <v>N/A</v>
      </c>
      <c r="Q31" s="142" t="str">
        <f>IFERROR(TRUNC(AVERAGE('14. Subject 10 Scoring (OMMi)'!$J60:'14. Subject 10 Scoring (OMMi)'!$J62),2), "N/A")</f>
        <v>N/A</v>
      </c>
      <c r="R31" s="142" t="str">
        <f>IFERROR(TRUNC(AVERAGE('15. Subject 11 Scoring (OMMi)'!$J60:'15. Subject 11 Scoring (OMMi)'!$J62),2), "N/A")</f>
        <v>N/A</v>
      </c>
      <c r="S31" s="142" t="str">
        <f>IFERROR(TRUNC(AVERAGE('16. Subject 12 Scoring (OMMi)'!$J60:'16. Subject 12 Scoring (OMMi)'!$J62),2), "N/A")</f>
        <v>N/A</v>
      </c>
      <c r="T31" s="142" t="str">
        <f>IFERROR(TRUNC(AVERAGE('17. Subject 13 Scoring (OMMi)'!$J60:'17. Subject 13 Scoring (OMMi)'!$J62),2), "N/A")</f>
        <v>N/A</v>
      </c>
      <c r="U31" s="142" t="str">
        <f>IFERROR(TRUNC(AVERAGE('18. Subject 14 Scoring (OMMi)'!$J60:'18. Subject 14 Scoring (OMMi)'!$J62),2), "N/A")</f>
        <v>N/A</v>
      </c>
      <c r="V31" s="142" t="str">
        <f>IFERROR(TRUNC(AVERAGE('19. Subject 15 Scoring (OMMi)'!$J60:'19. Subject 15 Scoring (OMMi)'!$J62),2), "N/A")</f>
        <v>N/A</v>
      </c>
      <c r="W31" s="326"/>
      <c r="X31" s="327"/>
      <c r="Y31" s="327"/>
      <c r="Z31" s="327"/>
      <c r="AA31" s="327"/>
      <c r="AB31" s="327"/>
      <c r="AC31" s="327"/>
      <c r="AD31" s="327"/>
      <c r="AE31" s="327"/>
      <c r="AF31" s="327"/>
      <c r="AG31" s="328"/>
    </row>
    <row r="32" spans="1:33" s="23" customFormat="1" ht="15" customHeight="1" x14ac:dyDescent="0.3">
      <c r="A32" s="151"/>
      <c r="B32" s="329" t="s">
        <v>827</v>
      </c>
      <c r="C32" s="330"/>
      <c r="D32" s="331"/>
      <c r="E32" s="142" t="str">
        <f>IFERROR(TRUNC(AVERAGE(F32:V32),2), "N/A")</f>
        <v>N/A</v>
      </c>
      <c r="F32" s="228"/>
      <c r="G32" s="228"/>
      <c r="H32" s="142" t="str">
        <f>IFERROR(TRUNC(AVERAGE('5. Subject 1 Scoring (OMMi)'!$J64:'5. Subject 1 Scoring (OMMi)'!$J65),2), "N/A")</f>
        <v>N/A</v>
      </c>
      <c r="I32" s="142" t="str">
        <f>IFERROR(TRUNC(AVERAGE('6. Subject 2 Scoring (OMMi)'!$J64:'6. Subject 2 Scoring (OMMi)'!$J65),2), "N/A")</f>
        <v>N/A</v>
      </c>
      <c r="J32" s="142" t="str">
        <f>IFERROR(TRUNC(AVERAGE('7. Subject 3 Scoring (OMMi)'!$J64:'7. Subject 3 Scoring (OMMi)'!$J65),2), "N/A")</f>
        <v>N/A</v>
      </c>
      <c r="K32" s="142" t="str">
        <f>IFERROR(TRUNC(AVERAGE('8. Subject 4 Scoring (OMMi)'!$J64:'8. Subject 4 Scoring (OMMi)'!$J65),2), "N/A")</f>
        <v>N/A</v>
      </c>
      <c r="L32" s="142" t="str">
        <f>IFERROR(TRUNC(AVERAGE('9. Subject 5 Scoring (OMMi)'!$J64:'9. Subject 5 Scoring (OMMi)'!$J65),2), "N/A")</f>
        <v>N/A</v>
      </c>
      <c r="M32" s="142" t="str">
        <f>IFERROR(TRUNC(AVERAGE('10. Subject 6 Scoring (OMMi)'!$J64:'10. Subject 6 Scoring (OMMi)'!$J65),2), "N/A")</f>
        <v>N/A</v>
      </c>
      <c r="N32" s="142" t="str">
        <f>IFERROR(TRUNC(AVERAGE('11. Subject 7 Scoring (OMMi)'!$J64:'11. Subject 7 Scoring (OMMi)'!$J65),2), "N/A")</f>
        <v>N/A</v>
      </c>
      <c r="O32" s="142" t="str">
        <f>IFERROR(TRUNC(AVERAGE('12. Subject 8 Scoring (OMMi)'!$J64:'12. Subject 8 Scoring (OMMi)'!$J65),2), "N/A")</f>
        <v>N/A</v>
      </c>
      <c r="P32" s="142" t="str">
        <f>IFERROR(TRUNC(AVERAGE('13. Subject 9 Scoring (OMMi)'!$J64:'13. Subject 9 Scoring (OMMi)'!$J65),2), "N/A")</f>
        <v>N/A</v>
      </c>
      <c r="Q32" s="142" t="str">
        <f>IFERROR(TRUNC(AVERAGE('14. Subject 10 Scoring (OMMi)'!$J64:'14. Subject 10 Scoring (OMMi)'!$J65),2), "N/A")</f>
        <v>N/A</v>
      </c>
      <c r="R32" s="142" t="str">
        <f>IFERROR(TRUNC(AVERAGE('15. Subject 11 Scoring (OMMi)'!$J64:'15. Subject 11 Scoring (OMMi)'!$J65),2), "N/A")</f>
        <v>N/A</v>
      </c>
      <c r="S32" s="142" t="str">
        <f>IFERROR(TRUNC(AVERAGE('16. Subject 12 Scoring (OMMi)'!$J64:'16. Subject 12 Scoring (OMMi)'!$J65),2), "N/A")</f>
        <v>N/A</v>
      </c>
      <c r="T32" s="142" t="str">
        <f>IFERROR(TRUNC(AVERAGE('17. Subject 13 Scoring (OMMi)'!$J64:'17. Subject 13 Scoring (OMMi)'!$J65),2), "N/A")</f>
        <v>N/A</v>
      </c>
      <c r="U32" s="142" t="str">
        <f>IFERROR(TRUNC(AVERAGE('18. Subject 14 Scoring (OMMi)'!$J64:'18. Subject 14 Scoring (OMMi)'!$J65),2), "N/A")</f>
        <v>N/A</v>
      </c>
      <c r="V32" s="142" t="str">
        <f>IFERROR(TRUNC(AVERAGE('19. Subject 15 Scoring (OMMi)'!$J64:'19. Subject 15 Scoring (OMMi)'!$J65),2), "N/A")</f>
        <v>N/A</v>
      </c>
      <c r="W32" s="326"/>
      <c r="X32" s="327"/>
      <c r="Y32" s="327"/>
      <c r="Z32" s="327"/>
      <c r="AA32" s="327"/>
      <c r="AB32" s="327"/>
      <c r="AC32" s="327"/>
      <c r="AD32" s="327"/>
      <c r="AE32" s="327"/>
      <c r="AF32" s="327"/>
      <c r="AG32" s="328"/>
    </row>
    <row r="33" spans="1:33" s="23" customFormat="1" ht="15" customHeight="1" x14ac:dyDescent="0.3">
      <c r="A33" s="151"/>
      <c r="B33" s="329" t="s">
        <v>828</v>
      </c>
      <c r="C33" s="330"/>
      <c r="D33" s="331"/>
      <c r="E33" s="142" t="str">
        <f>IFERROR(TRUNC(AVERAGE(F33:V33),2), "N/A")</f>
        <v>N/A</v>
      </c>
      <c r="F33" s="228"/>
      <c r="G33" s="228"/>
      <c r="H33" s="142" t="str">
        <f>IFERROR(TRUNC(AVERAGE('5. Subject 1 Scoring (OMMi)'!$J67:'5. Subject 1 Scoring (OMMi)'!$J72),2), "N/A")</f>
        <v>N/A</v>
      </c>
      <c r="I33" s="142" t="str">
        <f>IFERROR(TRUNC(AVERAGE('6. Subject 2 Scoring (OMMi)'!$J67:'6. Subject 2 Scoring (OMMi)'!$J72),2), "N/A")</f>
        <v>N/A</v>
      </c>
      <c r="J33" s="142" t="str">
        <f>IFERROR(TRUNC(AVERAGE('7. Subject 3 Scoring (OMMi)'!$J67:'7. Subject 3 Scoring (OMMi)'!$J72),2), "N/A")</f>
        <v>N/A</v>
      </c>
      <c r="K33" s="142" t="str">
        <f>IFERROR(TRUNC(AVERAGE('8. Subject 4 Scoring (OMMi)'!$J67:'8. Subject 4 Scoring (OMMi)'!$J72),2), "N/A")</f>
        <v>N/A</v>
      </c>
      <c r="L33" s="142" t="str">
        <f>IFERROR(TRUNC(AVERAGE('9. Subject 5 Scoring (OMMi)'!$J67:'9. Subject 5 Scoring (OMMi)'!$J72),2), "N/A")</f>
        <v>N/A</v>
      </c>
      <c r="M33" s="142" t="str">
        <f>IFERROR(TRUNC(AVERAGE('10. Subject 6 Scoring (OMMi)'!$J67:'10. Subject 6 Scoring (OMMi)'!$J72),2), "N/A")</f>
        <v>N/A</v>
      </c>
      <c r="N33" s="142" t="str">
        <f>IFERROR(TRUNC(AVERAGE('11. Subject 7 Scoring (OMMi)'!$J67:'11. Subject 7 Scoring (OMMi)'!$J72),2), "N/A")</f>
        <v>N/A</v>
      </c>
      <c r="O33" s="142" t="str">
        <f>IFERROR(TRUNC(AVERAGE('12. Subject 8 Scoring (OMMi)'!$J67:'12. Subject 8 Scoring (OMMi)'!$J72),2), "N/A")</f>
        <v>N/A</v>
      </c>
      <c r="P33" s="142" t="str">
        <f>IFERROR(TRUNC(AVERAGE('13. Subject 9 Scoring (OMMi)'!$J67:'13. Subject 9 Scoring (OMMi)'!$J72),2), "N/A")</f>
        <v>N/A</v>
      </c>
      <c r="Q33" s="142" t="str">
        <f>IFERROR(TRUNC(AVERAGE('14. Subject 10 Scoring (OMMi)'!$J67:'14. Subject 10 Scoring (OMMi)'!$J72),2), "N/A")</f>
        <v>N/A</v>
      </c>
      <c r="R33" s="142" t="str">
        <f>IFERROR(TRUNC(AVERAGE('15. Subject 11 Scoring (OMMi)'!$J67:'15. Subject 11 Scoring (OMMi)'!$J72),2), "N/A")</f>
        <v>N/A</v>
      </c>
      <c r="S33" s="142" t="str">
        <f>IFERROR(TRUNC(AVERAGE('16. Subject 12 Scoring (OMMi)'!$J67:'16. Subject 12 Scoring (OMMi)'!$J72),2), "N/A")</f>
        <v>N/A</v>
      </c>
      <c r="T33" s="142" t="str">
        <f>IFERROR(TRUNC(AVERAGE('17. Subject 13 Scoring (OMMi)'!$J67:'17. Subject 13 Scoring (OMMi)'!$J72),2), "N/A")</f>
        <v>N/A</v>
      </c>
      <c r="U33" s="142" t="str">
        <f>IFERROR(TRUNC(AVERAGE('18. Subject 14 Scoring (OMMi)'!$J67:'18. Subject 14 Scoring (OMMi)'!$J72),2), "N/A")</f>
        <v>N/A</v>
      </c>
      <c r="V33" s="142" t="str">
        <f>IFERROR(TRUNC(AVERAGE('19. Subject 15 Scoring (OMMi)'!$J67:'19. Subject 15 Scoring (OMMi)'!$J72),2), "N/A")</f>
        <v>N/A</v>
      </c>
      <c r="W33" s="326"/>
      <c r="X33" s="327"/>
      <c r="Y33" s="327"/>
      <c r="Z33" s="327"/>
      <c r="AA33" s="327"/>
      <c r="AB33" s="327"/>
      <c r="AC33" s="327"/>
      <c r="AD33" s="327"/>
      <c r="AE33" s="327"/>
      <c r="AF33" s="327"/>
      <c r="AG33" s="328"/>
    </row>
    <row r="34" spans="1:33" s="23" customFormat="1" ht="15" customHeight="1" x14ac:dyDescent="0.3">
      <c r="A34" s="151"/>
      <c r="B34" s="329" t="s">
        <v>829</v>
      </c>
      <c r="C34" s="330"/>
      <c r="D34" s="331"/>
      <c r="E34" s="142" t="str">
        <f>IFERROR(TRUNC(AVERAGE(F34:V34),2), "N/A")</f>
        <v>N/A</v>
      </c>
      <c r="F34" s="228"/>
      <c r="G34" s="228"/>
      <c r="H34" s="142" t="str">
        <f>IFERROR(TRUNC(AVERAGE('5. Subject 1 Scoring (OMMi)'!$J74:'5. Subject 1 Scoring (OMMi)'!$J79),2), "N/A")</f>
        <v>N/A</v>
      </c>
      <c r="I34" s="142" t="str">
        <f>IFERROR(TRUNC(AVERAGE('6. Subject 2 Scoring (OMMi)'!$J74:'6. Subject 2 Scoring (OMMi)'!$J79),2), "N/A")</f>
        <v>N/A</v>
      </c>
      <c r="J34" s="142" t="str">
        <f>IFERROR(TRUNC(AVERAGE('7. Subject 3 Scoring (OMMi)'!$J74:'7. Subject 3 Scoring (OMMi)'!$J79),2), "N/A")</f>
        <v>N/A</v>
      </c>
      <c r="K34" s="142" t="str">
        <f>IFERROR(TRUNC(AVERAGE('8. Subject 4 Scoring (OMMi)'!$J74:'8. Subject 4 Scoring (OMMi)'!$J79),2), "N/A")</f>
        <v>N/A</v>
      </c>
      <c r="L34" s="142" t="str">
        <f>IFERROR(TRUNC(AVERAGE('9. Subject 5 Scoring (OMMi)'!$J74:'9. Subject 5 Scoring (OMMi)'!$J79),2), "N/A")</f>
        <v>N/A</v>
      </c>
      <c r="M34" s="142" t="str">
        <f>IFERROR(TRUNC(AVERAGE('10. Subject 6 Scoring (OMMi)'!$J74:'10. Subject 6 Scoring (OMMi)'!$J79),2), "N/A")</f>
        <v>N/A</v>
      </c>
      <c r="N34" s="142" t="str">
        <f>IFERROR(TRUNC(AVERAGE('11. Subject 7 Scoring (OMMi)'!$J74:'11. Subject 7 Scoring (OMMi)'!$J79),2), "N/A")</f>
        <v>N/A</v>
      </c>
      <c r="O34" s="142" t="str">
        <f>IFERROR(TRUNC(AVERAGE('12. Subject 8 Scoring (OMMi)'!$J74:'12. Subject 8 Scoring (OMMi)'!$J79),2), "N/A")</f>
        <v>N/A</v>
      </c>
      <c r="P34" s="142" t="str">
        <f>IFERROR(TRUNC(AVERAGE('13. Subject 9 Scoring (OMMi)'!$J74:'13. Subject 9 Scoring (OMMi)'!$J79),2), "N/A")</f>
        <v>N/A</v>
      </c>
      <c r="Q34" s="142" t="str">
        <f>IFERROR(TRUNC(AVERAGE('14. Subject 10 Scoring (OMMi)'!$J74:'14. Subject 10 Scoring (OMMi)'!$J79),2), "N/A")</f>
        <v>N/A</v>
      </c>
      <c r="R34" s="142" t="str">
        <f>IFERROR(TRUNC(AVERAGE('15. Subject 11 Scoring (OMMi)'!$J74:'15. Subject 11 Scoring (OMMi)'!$J79),2), "N/A")</f>
        <v>N/A</v>
      </c>
      <c r="S34" s="142" t="str">
        <f>IFERROR(TRUNC(AVERAGE('16. Subject 12 Scoring (OMMi)'!$J74:'16. Subject 12 Scoring (OMMi)'!$J79),2), "N/A")</f>
        <v>N/A</v>
      </c>
      <c r="T34" s="142" t="str">
        <f>IFERROR(TRUNC(AVERAGE('17. Subject 13 Scoring (OMMi)'!$J74:'17. Subject 13 Scoring (OMMi)'!$J79),2), "N/A")</f>
        <v>N/A</v>
      </c>
      <c r="U34" s="142" t="str">
        <f>IFERROR(TRUNC(AVERAGE('18. Subject 14 Scoring (OMMi)'!$J74:'18. Subject 14 Scoring (OMMi)'!$J79),2), "N/A")</f>
        <v>N/A</v>
      </c>
      <c r="V34" s="142" t="str">
        <f>IFERROR(TRUNC(AVERAGE('19. Subject 15 Scoring (OMMi)'!$J74:'19. Subject 15 Scoring (OMMi)'!$J79),2), "N/A")</f>
        <v>N/A</v>
      </c>
      <c r="W34" s="326"/>
      <c r="X34" s="327"/>
      <c r="Y34" s="327"/>
      <c r="Z34" s="327"/>
      <c r="AA34" s="327"/>
      <c r="AB34" s="327"/>
      <c r="AC34" s="327"/>
      <c r="AD34" s="327"/>
      <c r="AE34" s="327"/>
      <c r="AF34" s="327"/>
      <c r="AG34" s="328"/>
    </row>
    <row r="35" spans="1:33" s="23" customFormat="1" ht="15" customHeight="1" x14ac:dyDescent="0.3">
      <c r="A35" s="151"/>
      <c r="B35" s="329" t="s">
        <v>824</v>
      </c>
      <c r="C35" s="330"/>
      <c r="D35" s="331"/>
      <c r="E35" s="142" t="str">
        <f>IFERROR(TRUNC(AVERAGE(F35:V35),2), "N/A")</f>
        <v>N/A</v>
      </c>
      <c r="F35" s="228"/>
      <c r="G35" s="228"/>
      <c r="H35" s="142" t="str">
        <f>IFERROR(TRUNC(AVERAGE('5. Subject 1 Scoring (OMMi)'!$J81:'5. Subject 1 Scoring (OMMi)'!$J86),2), "N/A")</f>
        <v>N/A</v>
      </c>
      <c r="I35" s="142" t="str">
        <f>IFERROR(TRUNC(AVERAGE('6. Subject 2 Scoring (OMMi)'!$J81:'6. Subject 2 Scoring (OMMi)'!$J86),2), "N/A")</f>
        <v>N/A</v>
      </c>
      <c r="J35" s="142" t="str">
        <f>IFERROR(TRUNC(AVERAGE('7. Subject 3 Scoring (OMMi)'!$J81:'7. Subject 3 Scoring (OMMi)'!$J86),2), "N/A")</f>
        <v>N/A</v>
      </c>
      <c r="K35" s="142" t="str">
        <f>IFERROR(TRUNC(AVERAGE('8. Subject 4 Scoring (OMMi)'!$J81:'8. Subject 4 Scoring (OMMi)'!$J86),2), "N/A")</f>
        <v>N/A</v>
      </c>
      <c r="L35" s="142" t="str">
        <f>IFERROR(TRUNC(AVERAGE('9. Subject 5 Scoring (OMMi)'!$J81:'9. Subject 5 Scoring (OMMi)'!$J86),2), "N/A")</f>
        <v>N/A</v>
      </c>
      <c r="M35" s="142" t="str">
        <f>IFERROR(TRUNC(AVERAGE('10. Subject 6 Scoring (OMMi)'!$J81:'10. Subject 6 Scoring (OMMi)'!$J86),2), "N/A")</f>
        <v>N/A</v>
      </c>
      <c r="N35" s="142" t="str">
        <f>IFERROR(TRUNC(AVERAGE('11. Subject 7 Scoring (OMMi)'!$J81:'11. Subject 7 Scoring (OMMi)'!$J86),2), "N/A")</f>
        <v>N/A</v>
      </c>
      <c r="O35" s="142" t="str">
        <f>IFERROR(TRUNC(AVERAGE('12. Subject 8 Scoring (OMMi)'!$J81:'12. Subject 8 Scoring (OMMi)'!$J86),2), "N/A")</f>
        <v>N/A</v>
      </c>
      <c r="P35" s="142" t="str">
        <f>IFERROR(TRUNC(AVERAGE('13. Subject 9 Scoring (OMMi)'!$J81:'13. Subject 9 Scoring (OMMi)'!$J86),2), "N/A")</f>
        <v>N/A</v>
      </c>
      <c r="Q35" s="142" t="str">
        <f>IFERROR(TRUNC(AVERAGE('14. Subject 10 Scoring (OMMi)'!$J81:'14. Subject 10 Scoring (OMMi)'!$J86),2), "N/A")</f>
        <v>N/A</v>
      </c>
      <c r="R35" s="142" t="str">
        <f>IFERROR(TRUNC(AVERAGE('15. Subject 11 Scoring (OMMi)'!$J81:'15. Subject 11 Scoring (OMMi)'!$J86),2), "N/A")</f>
        <v>N/A</v>
      </c>
      <c r="S35" s="142" t="str">
        <f>IFERROR(TRUNC(AVERAGE('16. Subject 12 Scoring (OMMi)'!$J81:'16. Subject 12 Scoring (OMMi)'!$J86),2), "N/A")</f>
        <v>N/A</v>
      </c>
      <c r="T35" s="142" t="str">
        <f>IFERROR(TRUNC(AVERAGE('17. Subject 13 Scoring (OMMi)'!$J81:'17. Subject 13 Scoring (OMMi)'!$J86),2), "N/A")</f>
        <v>N/A</v>
      </c>
      <c r="U35" s="142" t="str">
        <f>IFERROR(TRUNC(AVERAGE('18. Subject 14 Scoring (OMMi)'!$J81:'18. Subject 14 Scoring (OMMi)'!$J86),2), "N/A")</f>
        <v>N/A</v>
      </c>
      <c r="V35" s="142" t="str">
        <f>IFERROR(TRUNC(AVERAGE('19. Subject 15 Scoring (OMMi)'!$J81:'19. Subject 15 Scoring (OMMi)'!$J86),2), "N/A")</f>
        <v>N/A</v>
      </c>
      <c r="W35" s="326"/>
      <c r="X35" s="327"/>
      <c r="Y35" s="327"/>
      <c r="Z35" s="327"/>
      <c r="AA35" s="327"/>
      <c r="AB35" s="327"/>
      <c r="AC35" s="327"/>
      <c r="AD35" s="327"/>
      <c r="AE35" s="327"/>
      <c r="AF35" s="327"/>
      <c r="AG35" s="328"/>
    </row>
    <row r="36" spans="1:33" s="23" customFormat="1" ht="15" customHeight="1" x14ac:dyDescent="0.3">
      <c r="A36" s="151"/>
      <c r="B36" s="329" t="s">
        <v>819</v>
      </c>
      <c r="C36" s="330"/>
      <c r="D36" s="331"/>
      <c r="E36" s="142" t="str">
        <f t="shared" ref="E36" si="4">IFERROR(TRUNC(AVERAGE(F36:V36),2), "N/A")</f>
        <v>N/A</v>
      </c>
      <c r="F36" s="228"/>
      <c r="G36" s="228"/>
      <c r="H36" s="142" t="str">
        <f>IFERROR(TRUNC(AVERAGE('5. Subject 1 Scoring (OMMi)'!$J88:'5. Subject 1 Scoring (OMMi)'!$J93),2), "N/A")</f>
        <v>N/A</v>
      </c>
      <c r="I36" s="142" t="str">
        <f>IFERROR(TRUNC(AVERAGE('6. Subject 2 Scoring (OMMi)'!$J88:'6. Subject 2 Scoring (OMMi)'!$J93),2), "N/A")</f>
        <v>N/A</v>
      </c>
      <c r="J36" s="142" t="str">
        <f>IFERROR(TRUNC(AVERAGE('7. Subject 3 Scoring (OMMi)'!$J88:'7. Subject 3 Scoring (OMMi)'!$J93),2), "N/A")</f>
        <v>N/A</v>
      </c>
      <c r="K36" s="142" t="str">
        <f>IFERROR(TRUNC(AVERAGE('8. Subject 4 Scoring (OMMi)'!$J88:'8. Subject 4 Scoring (OMMi)'!$J93),2), "N/A")</f>
        <v>N/A</v>
      </c>
      <c r="L36" s="142" t="str">
        <f>IFERROR(TRUNC(AVERAGE('9. Subject 5 Scoring (OMMi)'!$J88:'9. Subject 5 Scoring (OMMi)'!$J93),2), "N/A")</f>
        <v>N/A</v>
      </c>
      <c r="M36" s="142" t="str">
        <f>IFERROR(TRUNC(AVERAGE('10. Subject 6 Scoring (OMMi)'!$J88:'10. Subject 6 Scoring (OMMi)'!$J93),2), "N/A")</f>
        <v>N/A</v>
      </c>
      <c r="N36" s="142" t="str">
        <f>IFERROR(TRUNC(AVERAGE('11. Subject 7 Scoring (OMMi)'!$J88:'11. Subject 7 Scoring (OMMi)'!$J93),2), "N/A")</f>
        <v>N/A</v>
      </c>
      <c r="O36" s="142" t="str">
        <f>IFERROR(TRUNC(AVERAGE('12. Subject 8 Scoring (OMMi)'!$J88:'12. Subject 8 Scoring (OMMi)'!$J93),2), "N/A")</f>
        <v>N/A</v>
      </c>
      <c r="P36" s="142" t="str">
        <f>IFERROR(TRUNC(AVERAGE('13. Subject 9 Scoring (OMMi)'!$J88:'13. Subject 9 Scoring (OMMi)'!$J93),2), "N/A")</f>
        <v>N/A</v>
      </c>
      <c r="Q36" s="142" t="str">
        <f>IFERROR(TRUNC(AVERAGE('14. Subject 10 Scoring (OMMi)'!$J88:'14. Subject 10 Scoring (OMMi)'!$J93),2), "N/A")</f>
        <v>N/A</v>
      </c>
      <c r="R36" s="142" t="str">
        <f>IFERROR(TRUNC(AVERAGE('15. Subject 11 Scoring (OMMi)'!$J88:'15. Subject 11 Scoring (OMMi)'!$J93),2), "N/A")</f>
        <v>N/A</v>
      </c>
      <c r="S36" s="142" t="str">
        <f>IFERROR(TRUNC(AVERAGE('16. Subject 12 Scoring (OMMi)'!$J88:'16. Subject 12 Scoring (OMMi)'!$J93),2), "N/A")</f>
        <v>N/A</v>
      </c>
      <c r="T36" s="142" t="str">
        <f>IFERROR(TRUNC(AVERAGE('17. Subject 13 Scoring (OMMi)'!$J88:'17. Subject 13 Scoring (OMMi)'!$J93),2), "N/A")</f>
        <v>N/A</v>
      </c>
      <c r="U36" s="142" t="str">
        <f>IFERROR(TRUNC(AVERAGE('18. Subject 14 Scoring (OMMi)'!$J88:'18. Subject 14 Scoring (OMMi)'!$J93),2), "N/A")</f>
        <v>N/A</v>
      </c>
      <c r="V36" s="142" t="str">
        <f>IFERROR(TRUNC(AVERAGE('19. Subject 15 Scoring (OMMi)'!$J88:'19. Subject 15 Scoring (OMMi)'!$J93),2), "N/A")</f>
        <v>N/A</v>
      </c>
      <c r="W36" s="326"/>
      <c r="X36" s="327"/>
      <c r="Y36" s="327"/>
      <c r="Z36" s="327"/>
      <c r="AA36" s="327"/>
      <c r="AB36" s="327"/>
      <c r="AC36" s="327"/>
      <c r="AD36" s="327"/>
      <c r="AE36" s="327"/>
      <c r="AF36" s="327"/>
      <c r="AG36" s="328"/>
    </row>
    <row r="37" spans="1:33" s="23" customFormat="1" ht="15" customHeight="1" x14ac:dyDescent="0.3">
      <c r="A37" s="151"/>
      <c r="B37" s="329" t="s">
        <v>1045</v>
      </c>
      <c r="C37" s="330"/>
      <c r="D37" s="331"/>
      <c r="E37" s="142" t="str">
        <f t="shared" ref="E37" si="5">IFERROR(TRUNC(AVERAGE(F37:V37),2), "N/A")</f>
        <v>N/A</v>
      </c>
      <c r="F37" s="228"/>
      <c r="G37" s="228"/>
      <c r="H37" s="142" t="str">
        <f>IFERROR(TRUNC(AVERAGE('5. Subject 1 Scoring (OMMi)'!$J95:'5. Subject 1 Scoring (OMMi)'!$J100),2), "N/A")</f>
        <v>N/A</v>
      </c>
      <c r="I37" s="142" t="str">
        <f>IFERROR(TRUNC(AVERAGE('6. Subject 2 Scoring (OMMi)'!$J95:'6. Subject 2 Scoring (OMMi)'!$J100),2), "N/A")</f>
        <v>N/A</v>
      </c>
      <c r="J37" s="142" t="str">
        <f>IFERROR(TRUNC(AVERAGE('7. Subject 3 Scoring (OMMi)'!$J95:'7. Subject 3 Scoring (OMMi)'!$J100),2), "N/A")</f>
        <v>N/A</v>
      </c>
      <c r="K37" s="142" t="str">
        <f>IFERROR(TRUNC(AVERAGE('8. Subject 4 Scoring (OMMi)'!$J95:'8. Subject 4 Scoring (OMMi)'!$J100),2), "N/A")</f>
        <v>N/A</v>
      </c>
      <c r="L37" s="142" t="str">
        <f>IFERROR(TRUNC(AVERAGE('9. Subject 5 Scoring (OMMi)'!$J95:'9. Subject 5 Scoring (OMMi)'!$J100),2), "N/A")</f>
        <v>N/A</v>
      </c>
      <c r="M37" s="142" t="str">
        <f>IFERROR(TRUNC(AVERAGE('10. Subject 6 Scoring (OMMi)'!$J95:'10. Subject 6 Scoring (OMMi)'!$J100),2), "N/A")</f>
        <v>N/A</v>
      </c>
      <c r="N37" s="142" t="str">
        <f>IFERROR(TRUNC(AVERAGE('11. Subject 7 Scoring (OMMi)'!$J95:'11. Subject 7 Scoring (OMMi)'!$J100),2), "N/A")</f>
        <v>N/A</v>
      </c>
      <c r="O37" s="142" t="str">
        <f>IFERROR(TRUNC(AVERAGE('12. Subject 8 Scoring (OMMi)'!$J95:'12. Subject 8 Scoring (OMMi)'!$J100),2), "N/A")</f>
        <v>N/A</v>
      </c>
      <c r="P37" s="142" t="str">
        <f>IFERROR(TRUNC(AVERAGE('13. Subject 9 Scoring (OMMi)'!$J95:'13. Subject 9 Scoring (OMMi)'!$J100),2), "N/A")</f>
        <v>N/A</v>
      </c>
      <c r="Q37" s="142" t="str">
        <f>IFERROR(TRUNC(AVERAGE('14. Subject 10 Scoring (OMMi)'!$J95:'14. Subject 10 Scoring (OMMi)'!$J100),2), "N/A")</f>
        <v>N/A</v>
      </c>
      <c r="R37" s="142" t="str">
        <f>IFERROR(TRUNC(AVERAGE('15. Subject 11 Scoring (OMMi)'!$J95:'15. Subject 11 Scoring (OMMi)'!$J100),2), "N/A")</f>
        <v>N/A</v>
      </c>
      <c r="S37" s="142" t="str">
        <f>IFERROR(TRUNC(AVERAGE('16. Subject 12 Scoring (OMMi)'!$J95:'16. Subject 12 Scoring (OMMi)'!$J100),2), "N/A")</f>
        <v>N/A</v>
      </c>
      <c r="T37" s="142" t="str">
        <f>IFERROR(TRUNC(AVERAGE('17. Subject 13 Scoring (OMMi)'!$J95:'17. Subject 13 Scoring (OMMi)'!$J100),2), "N/A")</f>
        <v>N/A</v>
      </c>
      <c r="U37" s="142" t="str">
        <f>IFERROR(TRUNC(AVERAGE('18. Subject 14 Scoring (OMMi)'!$J95:'18. Subject 14 Scoring (OMMi)'!$J100),2), "N/A")</f>
        <v>N/A</v>
      </c>
      <c r="V37" s="142" t="str">
        <f>IFERROR(TRUNC(AVERAGE('19. Subject 15 Scoring (OMMi)'!$J95:'19. Subject 15 Scoring (OMMi)'!$J100),2), "N/A")</f>
        <v>N/A</v>
      </c>
      <c r="W37" s="326"/>
      <c r="X37" s="327"/>
      <c r="Y37" s="327"/>
      <c r="Z37" s="327"/>
      <c r="AA37" s="327"/>
      <c r="AB37" s="327"/>
      <c r="AC37" s="327"/>
      <c r="AD37" s="327"/>
      <c r="AE37" s="327"/>
      <c r="AF37" s="327"/>
      <c r="AG37" s="328"/>
    </row>
    <row r="38" spans="1:33" s="23" customFormat="1" ht="15" customHeight="1" x14ac:dyDescent="0.3">
      <c r="A38" s="151"/>
      <c r="B38" s="329" t="s">
        <v>1153</v>
      </c>
      <c r="C38" s="330"/>
      <c r="D38" s="331"/>
      <c r="E38" s="142" t="str">
        <f t="shared" ref="E38" si="6">IFERROR(TRUNC(AVERAGE(F38:V38),2), "N/A")</f>
        <v>N/A</v>
      </c>
      <c r="F38" s="228"/>
      <c r="G38" s="142" t="str">
        <f>IFERROR(TRUNC(AVERAGE('4.1 Service Desk'!$J156:'4.1 Service Desk'!#REF!),2), "N/A")</f>
        <v>N/A</v>
      </c>
      <c r="H38" s="228"/>
      <c r="I38" s="228"/>
      <c r="J38" s="228"/>
      <c r="K38" s="228"/>
      <c r="L38" s="228"/>
      <c r="M38" s="228"/>
      <c r="N38" s="228"/>
      <c r="O38" s="228"/>
      <c r="P38" s="228"/>
      <c r="Q38" s="228"/>
      <c r="R38" s="228"/>
      <c r="S38" s="228"/>
      <c r="T38" s="228"/>
      <c r="U38" s="228"/>
      <c r="V38" s="228"/>
      <c r="W38" s="326"/>
      <c r="X38" s="327"/>
      <c r="Y38" s="327"/>
      <c r="Z38" s="327"/>
      <c r="AA38" s="327"/>
      <c r="AB38" s="327"/>
      <c r="AC38" s="327"/>
      <c r="AD38" s="327"/>
      <c r="AE38" s="327"/>
      <c r="AF38" s="327"/>
      <c r="AG38" s="328"/>
    </row>
    <row r="39" spans="1:33" s="23" customFormat="1" ht="15" customHeight="1" x14ac:dyDescent="0.3">
      <c r="A39" s="151"/>
      <c r="B39" s="329" t="s">
        <v>1195</v>
      </c>
      <c r="C39" s="330"/>
      <c r="D39" s="331"/>
      <c r="E39" s="142" t="str">
        <f t="shared" ref="E39" si="7">IFERROR(TRUNC(AVERAGE(F39:V39),2), "N/A")</f>
        <v>N/A</v>
      </c>
      <c r="F39" s="228"/>
      <c r="G39" s="142" t="str">
        <f>IFERROR(TRUNC(AVERAGE('4.1 Service Desk'!$J163:'4.1 Service Desk'!$J166),2), "N/A")</f>
        <v>N/A</v>
      </c>
      <c r="H39" s="228"/>
      <c r="I39" s="228"/>
      <c r="J39" s="228"/>
      <c r="K39" s="228"/>
      <c r="L39" s="228"/>
      <c r="M39" s="228"/>
      <c r="N39" s="228"/>
      <c r="O39" s="228"/>
      <c r="P39" s="228"/>
      <c r="Q39" s="228"/>
      <c r="R39" s="228"/>
      <c r="S39" s="228"/>
      <c r="T39" s="228"/>
      <c r="U39" s="228"/>
      <c r="V39" s="228"/>
      <c r="W39" s="326"/>
      <c r="X39" s="327"/>
      <c r="Y39" s="327"/>
      <c r="Z39" s="327"/>
      <c r="AA39" s="327"/>
      <c r="AB39" s="327"/>
      <c r="AC39" s="327"/>
      <c r="AD39" s="327"/>
      <c r="AE39" s="327"/>
      <c r="AF39" s="327"/>
      <c r="AG39" s="328"/>
    </row>
    <row r="40" spans="1:33" s="23" customFormat="1" ht="15" customHeight="1" x14ac:dyDescent="0.3">
      <c r="A40" s="151"/>
      <c r="B40" s="140"/>
      <c r="C40" s="140"/>
      <c r="D40" s="140"/>
      <c r="E40" s="208" t="s">
        <v>453</v>
      </c>
      <c r="F40" s="208" t="s">
        <v>505</v>
      </c>
      <c r="G40" s="208" t="s">
        <v>505</v>
      </c>
      <c r="H40" s="208" t="s">
        <v>505</v>
      </c>
      <c r="I40" s="208" t="s">
        <v>505</v>
      </c>
      <c r="J40" s="208" t="s">
        <v>505</v>
      </c>
      <c r="K40" s="208" t="s">
        <v>505</v>
      </c>
      <c r="L40" s="208" t="s">
        <v>505</v>
      </c>
      <c r="M40" s="208" t="s">
        <v>505</v>
      </c>
      <c r="N40" s="208" t="s">
        <v>505</v>
      </c>
      <c r="O40" s="208" t="s">
        <v>505</v>
      </c>
      <c r="P40" s="208" t="s">
        <v>505</v>
      </c>
      <c r="Q40" s="155"/>
      <c r="R40" s="155"/>
      <c r="S40" s="155"/>
    </row>
    <row r="41" spans="1:33" x14ac:dyDescent="0.3">
      <c r="A41" s="151"/>
      <c r="B41" s="151"/>
      <c r="C41" s="342" t="s">
        <v>23</v>
      </c>
      <c r="D41" s="342"/>
      <c r="E41" s="342"/>
      <c r="F41" s="342"/>
      <c r="G41" s="342"/>
      <c r="H41" s="151"/>
      <c r="I41" s="151"/>
      <c r="J41" s="151"/>
      <c r="K41" s="151"/>
    </row>
    <row r="42" spans="1:33" ht="6.6" customHeight="1" x14ac:dyDescent="0.3">
      <c r="A42" s="151"/>
      <c r="B42" s="156"/>
      <c r="C42" s="156"/>
      <c r="D42" s="156"/>
      <c r="E42" s="156"/>
      <c r="F42" s="156"/>
      <c r="G42" s="151"/>
      <c r="H42" s="151"/>
      <c r="I42" s="151"/>
      <c r="J42" s="151"/>
      <c r="K42" s="151"/>
    </row>
    <row r="43" spans="1:33" x14ac:dyDescent="0.3">
      <c r="A43" s="151"/>
      <c r="B43" s="151"/>
      <c r="C43" s="157" t="s">
        <v>450</v>
      </c>
      <c r="D43" s="217" t="s">
        <v>425</v>
      </c>
      <c r="E43" s="158" t="s">
        <v>426</v>
      </c>
      <c r="F43" s="201" t="s">
        <v>427</v>
      </c>
      <c r="G43" s="202" t="s">
        <v>33</v>
      </c>
      <c r="H43" s="151"/>
      <c r="I43" s="151"/>
      <c r="J43" s="151"/>
      <c r="K43" s="151"/>
    </row>
    <row r="44" spans="1:33" x14ac:dyDescent="0.3">
      <c r="A44" s="151"/>
      <c r="B44" s="151"/>
      <c r="C44" s="151"/>
      <c r="D44" s="151"/>
      <c r="E44" s="151"/>
      <c r="F44" s="151"/>
      <c r="G44" s="151"/>
      <c r="H44" s="151"/>
      <c r="I44" s="151"/>
      <c r="J44" s="151"/>
      <c r="K44" s="151"/>
    </row>
    <row r="45" spans="1:33" x14ac:dyDescent="0.3">
      <c r="A45" s="151"/>
      <c r="B45" s="151"/>
      <c r="C45" s="341" t="s">
        <v>22</v>
      </c>
      <c r="D45" s="341"/>
      <c r="E45" s="341"/>
      <c r="F45" s="341"/>
      <c r="G45" s="341"/>
      <c r="H45" s="147"/>
      <c r="I45" s="147"/>
      <c r="J45" s="147"/>
      <c r="K45" s="151"/>
    </row>
    <row r="46" spans="1:33" x14ac:dyDescent="0.3">
      <c r="A46" s="151"/>
      <c r="B46" s="151"/>
      <c r="C46" s="151"/>
      <c r="D46" s="151"/>
      <c r="E46" s="151"/>
      <c r="F46" s="151"/>
      <c r="G46" s="151"/>
      <c r="H46" s="151"/>
      <c r="I46" s="151"/>
      <c r="J46" s="151"/>
      <c r="K46" s="151"/>
    </row>
    <row r="47" spans="1:33" x14ac:dyDescent="0.3">
      <c r="A47" s="151"/>
      <c r="B47" s="339"/>
      <c r="C47" s="339"/>
      <c r="D47" s="339"/>
      <c r="E47" s="339"/>
      <c r="F47" s="339"/>
      <c r="G47" s="159"/>
      <c r="H47" s="151"/>
      <c r="I47" s="151"/>
      <c r="J47" s="151"/>
      <c r="K47" s="151"/>
    </row>
  </sheetData>
  <sheetProtection password="DAE1" sheet="1" objects="1" scenarios="1" formatColumns="0" formatRows="0" autoFilter="0"/>
  <mergeCells count="67">
    <mergeCell ref="I5:J5"/>
    <mergeCell ref="B2:G2"/>
    <mergeCell ref="B25:D25"/>
    <mergeCell ref="B26:D26"/>
    <mergeCell ref="A4:D4"/>
    <mergeCell ref="A6:D6"/>
    <mergeCell ref="B12:D12"/>
    <mergeCell ref="B15:D15"/>
    <mergeCell ref="E5:G5"/>
    <mergeCell ref="E6:G6"/>
    <mergeCell ref="E7:G7"/>
    <mergeCell ref="C5:D5"/>
    <mergeCell ref="E8:G8"/>
    <mergeCell ref="C14:D14"/>
    <mergeCell ref="B10:D10"/>
    <mergeCell ref="C11:D11"/>
    <mergeCell ref="B47:F47"/>
    <mergeCell ref="B16:D16"/>
    <mergeCell ref="B17:D17"/>
    <mergeCell ref="B18:D18"/>
    <mergeCell ref="B24:D24"/>
    <mergeCell ref="B21:D21"/>
    <mergeCell ref="B22:D22"/>
    <mergeCell ref="B19:D19"/>
    <mergeCell ref="B20:D20"/>
    <mergeCell ref="B23:D23"/>
    <mergeCell ref="C45:G45"/>
    <mergeCell ref="C41:G41"/>
    <mergeCell ref="B27:D27"/>
    <mergeCell ref="B28:D28"/>
    <mergeCell ref="B37:D37"/>
    <mergeCell ref="B38:D38"/>
    <mergeCell ref="W33:AG33"/>
    <mergeCell ref="W23:AG23"/>
    <mergeCell ref="W24:AG24"/>
    <mergeCell ref="W25:AG25"/>
    <mergeCell ref="W26:AG26"/>
    <mergeCell ref="W29:AG29"/>
    <mergeCell ref="W28:AG28"/>
    <mergeCell ref="B30:D30"/>
    <mergeCell ref="W32:AG32"/>
    <mergeCell ref="B32:D32"/>
    <mergeCell ref="H14:V14"/>
    <mergeCell ref="E14:E15"/>
    <mergeCell ref="W19:AG19"/>
    <mergeCell ref="W20:AG20"/>
    <mergeCell ref="W21:AG21"/>
    <mergeCell ref="W22:AG22"/>
    <mergeCell ref="W16:AG16"/>
    <mergeCell ref="W17:AG17"/>
    <mergeCell ref="W18:AG18"/>
    <mergeCell ref="W38:AG38"/>
    <mergeCell ref="B39:D39"/>
    <mergeCell ref="W39:AG39"/>
    <mergeCell ref="W37:AG37"/>
    <mergeCell ref="W27:AG27"/>
    <mergeCell ref="B36:D36"/>
    <mergeCell ref="B31:D31"/>
    <mergeCell ref="W31:AG31"/>
    <mergeCell ref="B33:D33"/>
    <mergeCell ref="W34:AG34"/>
    <mergeCell ref="B34:D34"/>
    <mergeCell ref="W35:AG35"/>
    <mergeCell ref="B35:D35"/>
    <mergeCell ref="W36:AG36"/>
    <mergeCell ref="B29:D29"/>
    <mergeCell ref="W30:AG30"/>
  </mergeCells>
  <conditionalFormatting sqref="H13:H14 E13:F14">
    <cfRule type="cellIs" dxfId="6635" priority="3802" operator="between">
      <formula>13</formula>
      <formula>15.9999</formula>
    </cfRule>
    <cfRule type="cellIs" dxfId="6634" priority="3803" operator="between">
      <formula>10</formula>
      <formula>12.9999</formula>
    </cfRule>
    <cfRule type="cellIs" dxfId="6633" priority="3804" operator="between">
      <formula>7</formula>
      <formula>9.9999</formula>
    </cfRule>
    <cfRule type="cellIs" dxfId="6632" priority="3805" operator="between">
      <formula>4</formula>
      <formula>6.9999</formula>
    </cfRule>
    <cfRule type="cellIs" dxfId="6631" priority="3806" operator="between">
      <formula>0.1</formula>
      <formula>3.9999</formula>
    </cfRule>
  </conditionalFormatting>
  <conditionalFormatting sqref="E10 E17:E22 H17:H24">
    <cfRule type="cellIs" dxfId="6630" priority="3157" operator="equal">
      <formula>"N/A"</formula>
    </cfRule>
    <cfRule type="cellIs" dxfId="6629" priority="3176" operator="between">
      <formula>2.45</formula>
      <formula>2.94</formula>
    </cfRule>
    <cfRule type="cellIs" dxfId="6628" priority="3472" operator="greaterThanOrEqual">
      <formula>4.55</formula>
    </cfRule>
    <cfRule type="cellIs" dxfId="6627" priority="3473" operator="between">
      <formula>3.95</formula>
      <formula>4.94</formula>
    </cfRule>
    <cfRule type="cellIs" dxfId="6626" priority="3474" operator="between">
      <formula>2.95</formula>
      <formula>3.94</formula>
    </cfRule>
    <cfRule type="cellIs" dxfId="6625" priority="3475" operator="between">
      <formula>1.95</formula>
      <formula>2.44</formula>
    </cfRule>
    <cfRule type="cellIs" dxfId="6624" priority="3476" operator="lessThanOrEqual">
      <formula>1.94</formula>
    </cfRule>
  </conditionalFormatting>
  <conditionalFormatting sqref="F17:F20">
    <cfRule type="cellIs" dxfId="6623" priority="3143" operator="equal">
      <formula>"N/A"</formula>
    </cfRule>
    <cfRule type="cellIs" dxfId="6622" priority="3144" operator="between">
      <formula>2.45</formula>
      <formula>2.94</formula>
    </cfRule>
    <cfRule type="cellIs" dxfId="6621" priority="3145" operator="greaterThanOrEqual">
      <formula>4.55</formula>
    </cfRule>
    <cfRule type="cellIs" dxfId="6620" priority="3146" operator="between">
      <formula>3.95</formula>
      <formula>4.94</formula>
    </cfRule>
    <cfRule type="cellIs" dxfId="6619" priority="3147" operator="between">
      <formula>2.95</formula>
      <formula>3.94</formula>
    </cfRule>
    <cfRule type="cellIs" dxfId="6618" priority="3148" operator="between">
      <formula>1.95</formula>
      <formula>2.44</formula>
    </cfRule>
    <cfRule type="cellIs" dxfId="6617" priority="3149" operator="lessThanOrEqual">
      <formula>1.94</formula>
    </cfRule>
  </conditionalFormatting>
  <conditionalFormatting sqref="H28">
    <cfRule type="cellIs" dxfId="6616" priority="3115" operator="equal">
      <formula>"N/A"</formula>
    </cfRule>
    <cfRule type="cellIs" dxfId="6615" priority="3116" operator="between">
      <formula>2.45</formula>
      <formula>2.94</formula>
    </cfRule>
    <cfRule type="cellIs" dxfId="6614" priority="3117" operator="greaterThanOrEqual">
      <formula>4.55</formula>
    </cfRule>
    <cfRule type="cellIs" dxfId="6613" priority="3118" operator="between">
      <formula>3.95</formula>
      <formula>4.94</formula>
    </cfRule>
    <cfRule type="cellIs" dxfId="6612" priority="3119" operator="between">
      <formula>2.95</formula>
      <formula>3.94</formula>
    </cfRule>
    <cfRule type="cellIs" dxfId="6611" priority="3120" operator="between">
      <formula>1.95</formula>
      <formula>2.44</formula>
    </cfRule>
    <cfRule type="cellIs" dxfId="6610" priority="3121" operator="lessThanOrEqual">
      <formula>1.94</formula>
    </cfRule>
  </conditionalFormatting>
  <conditionalFormatting sqref="G13:G14">
    <cfRule type="cellIs" dxfId="6609" priority="3048" operator="between">
      <formula>13</formula>
      <formula>15.9999</formula>
    </cfRule>
    <cfRule type="cellIs" dxfId="6608" priority="3049" operator="between">
      <formula>10</formula>
      <formula>12.9999</formula>
    </cfRule>
    <cfRule type="cellIs" dxfId="6607" priority="3050" operator="between">
      <formula>7</formula>
      <formula>9.9999</formula>
    </cfRule>
    <cfRule type="cellIs" dxfId="6606" priority="3051" operator="between">
      <formula>4</formula>
      <formula>6.9999</formula>
    </cfRule>
    <cfRule type="cellIs" dxfId="6605" priority="3052" operator="between">
      <formula>0.1</formula>
      <formula>3.9999</formula>
    </cfRule>
  </conditionalFormatting>
  <conditionalFormatting sqref="H29">
    <cfRule type="cellIs" dxfId="6604" priority="3015" operator="equal">
      <formula>"N/A"</formula>
    </cfRule>
    <cfRule type="cellIs" dxfId="6603" priority="3016" operator="between">
      <formula>2.45</formula>
      <formula>2.94</formula>
    </cfRule>
    <cfRule type="cellIs" dxfId="6602" priority="3017" operator="greaterThanOrEqual">
      <formula>4.55</formula>
    </cfRule>
    <cfRule type="cellIs" dxfId="6601" priority="3018" operator="between">
      <formula>3.95</formula>
      <formula>4.94</formula>
    </cfRule>
    <cfRule type="cellIs" dxfId="6600" priority="3019" operator="between">
      <formula>2.95</formula>
      <formula>3.94</formula>
    </cfRule>
    <cfRule type="cellIs" dxfId="6599" priority="3020" operator="between">
      <formula>1.95</formula>
      <formula>2.44</formula>
    </cfRule>
    <cfRule type="cellIs" dxfId="6598" priority="3021" operator="lessThanOrEqual">
      <formula>1.94</formula>
    </cfRule>
  </conditionalFormatting>
  <conditionalFormatting sqref="E23:E26 E28:E29">
    <cfRule type="cellIs" dxfId="6597" priority="2973" operator="equal">
      <formula>"N/A"</formula>
    </cfRule>
    <cfRule type="cellIs" dxfId="6596" priority="2974" operator="between">
      <formula>2.45</formula>
      <formula>2.94</formula>
    </cfRule>
    <cfRule type="cellIs" dxfId="6595" priority="2975" operator="greaterThanOrEqual">
      <formula>4.55</formula>
    </cfRule>
    <cfRule type="cellIs" dxfId="6594" priority="2976" operator="between">
      <formula>3.95</formula>
      <formula>4.94</formula>
    </cfRule>
    <cfRule type="cellIs" dxfId="6593" priority="2977" operator="between">
      <formula>2.95</formula>
      <formula>3.94</formula>
    </cfRule>
    <cfRule type="cellIs" dxfId="6592" priority="2978" operator="between">
      <formula>1.95</formula>
      <formula>2.44</formula>
    </cfRule>
    <cfRule type="cellIs" dxfId="6591" priority="2979" operator="lessThanOrEqual">
      <formula>1.94</formula>
    </cfRule>
  </conditionalFormatting>
  <conditionalFormatting sqref="E30">
    <cfRule type="cellIs" dxfId="6590" priority="2647" operator="equal">
      <formula>"N/A"</formula>
    </cfRule>
    <cfRule type="cellIs" dxfId="6589" priority="2648" operator="between">
      <formula>2.45</formula>
      <formula>2.94</formula>
    </cfRule>
    <cfRule type="cellIs" dxfId="6588" priority="2649" operator="greaterThanOrEqual">
      <formula>4.55</formula>
    </cfRule>
    <cfRule type="cellIs" dxfId="6587" priority="2650" operator="between">
      <formula>3.95</formula>
      <formula>4.94</formula>
    </cfRule>
    <cfRule type="cellIs" dxfId="6586" priority="2651" operator="between">
      <formula>2.95</formula>
      <formula>3.94</formula>
    </cfRule>
    <cfRule type="cellIs" dxfId="6585" priority="2652" operator="between">
      <formula>1.95</formula>
      <formula>2.44</formula>
    </cfRule>
    <cfRule type="cellIs" dxfId="6584" priority="2653" operator="lessThanOrEqual">
      <formula>1.94</formula>
    </cfRule>
  </conditionalFormatting>
  <conditionalFormatting sqref="H30">
    <cfRule type="cellIs" dxfId="6583" priority="2640" operator="equal">
      <formula>"N/A"</formula>
    </cfRule>
    <cfRule type="cellIs" dxfId="6582" priority="2641" operator="between">
      <formula>2.45</formula>
      <formula>2.94</formula>
    </cfRule>
    <cfRule type="cellIs" dxfId="6581" priority="2642" operator="greaterThanOrEqual">
      <formula>4.55</formula>
    </cfRule>
    <cfRule type="cellIs" dxfId="6580" priority="2643" operator="between">
      <formula>3.95</formula>
      <formula>4.94</formula>
    </cfRule>
    <cfRule type="cellIs" dxfId="6579" priority="2644" operator="between">
      <formula>2.95</formula>
      <formula>3.94</formula>
    </cfRule>
    <cfRule type="cellIs" dxfId="6578" priority="2645" operator="between">
      <formula>1.95</formula>
      <formula>2.44</formula>
    </cfRule>
    <cfRule type="cellIs" dxfId="6577" priority="2646" operator="lessThanOrEqual">
      <formula>1.94</formula>
    </cfRule>
  </conditionalFormatting>
  <conditionalFormatting sqref="E32:E35">
    <cfRule type="cellIs" dxfId="6576" priority="2493" operator="equal">
      <formula>"N/A"</formula>
    </cfRule>
    <cfRule type="cellIs" dxfId="6575" priority="2494" operator="between">
      <formula>2.45</formula>
      <formula>2.94</formula>
    </cfRule>
    <cfRule type="cellIs" dxfId="6574" priority="2495" operator="greaterThanOrEqual">
      <formula>4.55</formula>
    </cfRule>
    <cfRule type="cellIs" dxfId="6573" priority="2496" operator="between">
      <formula>3.95</formula>
      <formula>4.94</formula>
    </cfRule>
    <cfRule type="cellIs" dxfId="6572" priority="2497" operator="between">
      <formula>2.95</formula>
      <formula>3.94</formula>
    </cfRule>
    <cfRule type="cellIs" dxfId="6571" priority="2498" operator="between">
      <formula>1.95</formula>
      <formula>2.44</formula>
    </cfRule>
    <cfRule type="cellIs" dxfId="6570" priority="2499" operator="lessThanOrEqual">
      <formula>1.94</formula>
    </cfRule>
  </conditionalFormatting>
  <conditionalFormatting sqref="E36">
    <cfRule type="cellIs" dxfId="6569" priority="2192" operator="equal">
      <formula>"N/A"</formula>
    </cfRule>
    <cfRule type="cellIs" dxfId="6568" priority="2193" operator="between">
      <formula>2.45</formula>
      <formula>2.94</formula>
    </cfRule>
    <cfRule type="cellIs" dxfId="6567" priority="2194" operator="greaterThanOrEqual">
      <formula>4.55</formula>
    </cfRule>
    <cfRule type="cellIs" dxfId="6566" priority="2195" operator="between">
      <formula>3.95</formula>
      <formula>4.94</formula>
    </cfRule>
    <cfRule type="cellIs" dxfId="6565" priority="2196" operator="between">
      <formula>2.95</formula>
      <formula>3.94</formula>
    </cfRule>
    <cfRule type="cellIs" dxfId="6564" priority="2197" operator="between">
      <formula>1.95</formula>
      <formula>2.44</formula>
    </cfRule>
    <cfRule type="cellIs" dxfId="6563" priority="2198" operator="lessThanOrEqual">
      <formula>1.94</formula>
    </cfRule>
  </conditionalFormatting>
  <conditionalFormatting sqref="E27">
    <cfRule type="cellIs" dxfId="6562" priority="2059" operator="equal">
      <formula>"N/A"</formula>
    </cfRule>
    <cfRule type="cellIs" dxfId="6561" priority="2060" operator="between">
      <formula>2.45</formula>
      <formula>2.94</formula>
    </cfRule>
    <cfRule type="cellIs" dxfId="6560" priority="2061" operator="greaterThanOrEqual">
      <formula>4.55</formula>
    </cfRule>
    <cfRule type="cellIs" dxfId="6559" priority="2062" operator="between">
      <formula>3.95</formula>
      <formula>4.94</formula>
    </cfRule>
    <cfRule type="cellIs" dxfId="6558" priority="2063" operator="between">
      <formula>2.95</formula>
      <formula>3.94</formula>
    </cfRule>
    <cfRule type="cellIs" dxfId="6557" priority="2064" operator="between">
      <formula>1.95</formula>
      <formula>2.44</formula>
    </cfRule>
    <cfRule type="cellIs" dxfId="6556" priority="2065" operator="lessThanOrEqual">
      <formula>1.94</formula>
    </cfRule>
  </conditionalFormatting>
  <conditionalFormatting sqref="E31">
    <cfRule type="cellIs" dxfId="6555" priority="1954" operator="equal">
      <formula>"N/A"</formula>
    </cfRule>
    <cfRule type="cellIs" dxfId="6554" priority="1955" operator="between">
      <formula>2.45</formula>
      <formula>2.94</formula>
    </cfRule>
    <cfRule type="cellIs" dxfId="6553" priority="1956" operator="greaterThanOrEqual">
      <formula>4.55</formula>
    </cfRule>
    <cfRule type="cellIs" dxfId="6552" priority="1957" operator="between">
      <formula>3.95</formula>
      <formula>4.94</formula>
    </cfRule>
    <cfRule type="cellIs" dxfId="6551" priority="1958" operator="between">
      <formula>2.95</formula>
      <formula>3.94</formula>
    </cfRule>
    <cfRule type="cellIs" dxfId="6550" priority="1959" operator="between">
      <formula>1.95</formula>
      <formula>2.44</formula>
    </cfRule>
    <cfRule type="cellIs" dxfId="6549" priority="1960" operator="lessThanOrEqual">
      <formula>1.94</formula>
    </cfRule>
  </conditionalFormatting>
  <conditionalFormatting sqref="H31">
    <cfRule type="cellIs" dxfId="6548" priority="1940" operator="equal">
      <formula>"N/A"</formula>
    </cfRule>
    <cfRule type="cellIs" dxfId="6547" priority="1941" operator="between">
      <formula>2.45</formula>
      <formula>2.94</formula>
    </cfRule>
    <cfRule type="cellIs" dxfId="6546" priority="1942" operator="greaterThanOrEqual">
      <formula>4.55</formula>
    </cfRule>
    <cfRule type="cellIs" dxfId="6545" priority="1943" operator="between">
      <formula>3.95</formula>
      <formula>4.94</formula>
    </cfRule>
    <cfRule type="cellIs" dxfId="6544" priority="1944" operator="between">
      <formula>2.95</formula>
      <formula>3.94</formula>
    </cfRule>
    <cfRule type="cellIs" dxfId="6543" priority="1945" operator="between">
      <formula>1.95</formula>
      <formula>2.44</formula>
    </cfRule>
    <cfRule type="cellIs" dxfId="6542" priority="1946" operator="lessThanOrEqual">
      <formula>1.94</formula>
    </cfRule>
  </conditionalFormatting>
  <conditionalFormatting sqref="F21">
    <cfRule type="cellIs" dxfId="6541" priority="1821" operator="equal">
      <formula>"N/A"</formula>
    </cfRule>
    <cfRule type="cellIs" dxfId="6540" priority="1822" operator="between">
      <formula>2.45</formula>
      <formula>2.94</formula>
    </cfRule>
    <cfRule type="cellIs" dxfId="6539" priority="1823" operator="greaterThanOrEqual">
      <formula>4.55</formula>
    </cfRule>
    <cfRule type="cellIs" dxfId="6538" priority="1824" operator="between">
      <formula>3.95</formula>
      <formula>4.94</formula>
    </cfRule>
    <cfRule type="cellIs" dxfId="6537" priority="1825" operator="between">
      <formula>2.95</formula>
      <formula>3.94</formula>
    </cfRule>
    <cfRule type="cellIs" dxfId="6536" priority="1826" operator="between">
      <formula>1.95</formula>
      <formula>2.44</formula>
    </cfRule>
    <cfRule type="cellIs" dxfId="6535" priority="1827" operator="lessThanOrEqual">
      <formula>1.94</formula>
    </cfRule>
  </conditionalFormatting>
  <conditionalFormatting sqref="G22">
    <cfRule type="cellIs" dxfId="6534" priority="1807" operator="equal">
      <formula>"N/A"</formula>
    </cfRule>
    <cfRule type="cellIs" dxfId="6533" priority="1808" operator="between">
      <formula>2.45</formula>
      <formula>2.94</formula>
    </cfRule>
    <cfRule type="cellIs" dxfId="6532" priority="1809" operator="greaterThanOrEqual">
      <formula>4.55</formula>
    </cfRule>
    <cfRule type="cellIs" dxfId="6531" priority="1810" operator="between">
      <formula>3.95</formula>
      <formula>4.94</formula>
    </cfRule>
    <cfRule type="cellIs" dxfId="6530" priority="1811" operator="between">
      <formula>2.95</formula>
      <formula>3.94</formula>
    </cfRule>
    <cfRule type="cellIs" dxfId="6529" priority="1812" operator="between">
      <formula>1.95</formula>
      <formula>2.44</formula>
    </cfRule>
    <cfRule type="cellIs" dxfId="6528" priority="1813" operator="lessThanOrEqual">
      <formula>1.94</formula>
    </cfRule>
  </conditionalFormatting>
  <conditionalFormatting sqref="G25">
    <cfRule type="cellIs" dxfId="6527" priority="1786" operator="equal">
      <formula>"N/A"</formula>
    </cfRule>
    <cfRule type="cellIs" dxfId="6526" priority="1787" operator="between">
      <formula>2.45</formula>
      <formula>2.94</formula>
    </cfRule>
    <cfRule type="cellIs" dxfId="6525" priority="1788" operator="greaterThanOrEqual">
      <formula>4.55</formula>
    </cfRule>
    <cfRule type="cellIs" dxfId="6524" priority="1789" operator="between">
      <formula>3.95</formula>
      <formula>4.94</formula>
    </cfRule>
    <cfRule type="cellIs" dxfId="6523" priority="1790" operator="between">
      <formula>2.95</formula>
      <formula>3.94</formula>
    </cfRule>
    <cfRule type="cellIs" dxfId="6522" priority="1791" operator="between">
      <formula>1.95</formula>
      <formula>2.44</formula>
    </cfRule>
    <cfRule type="cellIs" dxfId="6521" priority="1792" operator="lessThanOrEqual">
      <formula>1.94</formula>
    </cfRule>
  </conditionalFormatting>
  <conditionalFormatting sqref="G27">
    <cfRule type="cellIs" dxfId="6520" priority="1779" operator="equal">
      <formula>"N/A"</formula>
    </cfRule>
    <cfRule type="cellIs" dxfId="6519" priority="1780" operator="between">
      <formula>2.45</formula>
      <formula>2.94</formula>
    </cfRule>
    <cfRule type="cellIs" dxfId="6518" priority="1781" operator="greaterThanOrEqual">
      <formula>4.55</formula>
    </cfRule>
    <cfRule type="cellIs" dxfId="6517" priority="1782" operator="between">
      <formula>3.95</formula>
      <formula>4.94</formula>
    </cfRule>
    <cfRule type="cellIs" dxfId="6516" priority="1783" operator="between">
      <formula>2.95</formula>
      <formula>3.94</formula>
    </cfRule>
    <cfRule type="cellIs" dxfId="6515" priority="1784" operator="between">
      <formula>1.95</formula>
      <formula>2.44</formula>
    </cfRule>
    <cfRule type="cellIs" dxfId="6514" priority="1785" operator="lessThanOrEqual">
      <formula>1.94</formula>
    </cfRule>
  </conditionalFormatting>
  <conditionalFormatting sqref="H25:H26">
    <cfRule type="cellIs" dxfId="6513" priority="1765" operator="equal">
      <formula>"N/A"</formula>
    </cfRule>
    <cfRule type="cellIs" dxfId="6512" priority="1766" operator="between">
      <formula>2.45</formula>
      <formula>2.94</formula>
    </cfRule>
    <cfRule type="cellIs" dxfId="6511" priority="1767" operator="greaterThanOrEqual">
      <formula>4.55</formula>
    </cfRule>
    <cfRule type="cellIs" dxfId="6510" priority="1768" operator="between">
      <formula>3.95</formula>
      <formula>4.94</formula>
    </cfRule>
    <cfRule type="cellIs" dxfId="6509" priority="1769" operator="between">
      <formula>2.95</formula>
      <formula>3.94</formula>
    </cfRule>
    <cfRule type="cellIs" dxfId="6508" priority="1770" operator="between">
      <formula>1.95</formula>
      <formula>2.44</formula>
    </cfRule>
    <cfRule type="cellIs" dxfId="6507" priority="1771" operator="lessThanOrEqual">
      <formula>1.94</formula>
    </cfRule>
  </conditionalFormatting>
  <conditionalFormatting sqref="H32:H36">
    <cfRule type="cellIs" dxfId="6506" priority="1758" operator="equal">
      <formula>"N/A"</formula>
    </cfRule>
    <cfRule type="cellIs" dxfId="6505" priority="1759" operator="between">
      <formula>2.45</formula>
      <formula>2.94</formula>
    </cfRule>
    <cfRule type="cellIs" dxfId="6504" priority="1760" operator="greaterThanOrEqual">
      <formula>4.55</formula>
    </cfRule>
    <cfRule type="cellIs" dxfId="6503" priority="1761" operator="between">
      <formula>3.95</formula>
      <formula>4.94</formula>
    </cfRule>
    <cfRule type="cellIs" dxfId="6502" priority="1762" operator="between">
      <formula>2.95</formula>
      <formula>3.94</formula>
    </cfRule>
    <cfRule type="cellIs" dxfId="6501" priority="1763" operator="between">
      <formula>1.95</formula>
      <formula>2.44</formula>
    </cfRule>
    <cfRule type="cellIs" dxfId="6500" priority="1764" operator="lessThanOrEqual">
      <formula>1.94</formula>
    </cfRule>
  </conditionalFormatting>
  <conditionalFormatting sqref="F12">
    <cfRule type="cellIs" dxfId="6499" priority="1744" operator="equal">
      <formula>"N/A"</formula>
    </cfRule>
    <cfRule type="cellIs" dxfId="6498" priority="1745" operator="between">
      <formula>2.45</formula>
      <formula>2.94</formula>
    </cfRule>
    <cfRule type="cellIs" dxfId="6497" priority="1746" operator="greaterThanOrEqual">
      <formula>4.55</formula>
    </cfRule>
    <cfRule type="cellIs" dxfId="6496" priority="1747" operator="between">
      <formula>3.95</formula>
      <formula>4.94</formula>
    </cfRule>
    <cfRule type="cellIs" dxfId="6495" priority="1748" operator="between">
      <formula>2.95</formula>
      <formula>3.94</formula>
    </cfRule>
    <cfRule type="cellIs" dxfId="6494" priority="1749" operator="between">
      <formula>1.95</formula>
      <formula>2.44</formula>
    </cfRule>
    <cfRule type="cellIs" dxfId="6493" priority="1750" operator="lessThanOrEqual">
      <formula>1.94</formula>
    </cfRule>
  </conditionalFormatting>
  <conditionalFormatting sqref="G12:V12">
    <cfRule type="cellIs" dxfId="6492" priority="1737" operator="equal">
      <formula>"N/A"</formula>
    </cfRule>
    <cfRule type="cellIs" dxfId="6491" priority="1738" operator="between">
      <formula>2.45</formula>
      <formula>2.94</formula>
    </cfRule>
    <cfRule type="cellIs" dxfId="6490" priority="1739" operator="greaterThanOrEqual">
      <formula>4.55</formula>
    </cfRule>
    <cfRule type="cellIs" dxfId="6489" priority="1740" operator="between">
      <formula>3.95</formula>
      <formula>4.94</formula>
    </cfRule>
    <cfRule type="cellIs" dxfId="6488" priority="1741" operator="between">
      <formula>2.95</formula>
      <formula>3.94</formula>
    </cfRule>
    <cfRule type="cellIs" dxfId="6487" priority="1742" operator="between">
      <formula>1.95</formula>
      <formula>2.44</formula>
    </cfRule>
    <cfRule type="cellIs" dxfId="6486" priority="1743" operator="lessThanOrEqual">
      <formula>1.94</formula>
    </cfRule>
  </conditionalFormatting>
  <conditionalFormatting sqref="G29">
    <cfRule type="cellIs" dxfId="6485" priority="1730" operator="equal">
      <formula>"N/A"</formula>
    </cfRule>
    <cfRule type="cellIs" dxfId="6484" priority="1731" operator="between">
      <formula>2.45</formula>
      <formula>2.94</formula>
    </cfRule>
    <cfRule type="cellIs" dxfId="6483" priority="1732" operator="greaterThanOrEqual">
      <formula>4.55</formula>
    </cfRule>
    <cfRule type="cellIs" dxfId="6482" priority="1733" operator="between">
      <formula>3.95</formula>
      <formula>4.94</formula>
    </cfRule>
    <cfRule type="cellIs" dxfId="6481" priority="1734" operator="between">
      <formula>2.95</formula>
      <formula>3.94</formula>
    </cfRule>
    <cfRule type="cellIs" dxfId="6480" priority="1735" operator="between">
      <formula>1.95</formula>
      <formula>2.44</formula>
    </cfRule>
    <cfRule type="cellIs" dxfId="6479" priority="1736" operator="lessThanOrEqual">
      <formula>1.94</formula>
    </cfRule>
  </conditionalFormatting>
  <conditionalFormatting sqref="E37">
    <cfRule type="cellIs" dxfId="6478" priority="1723" operator="equal">
      <formula>"N/A"</formula>
    </cfRule>
    <cfRule type="cellIs" dxfId="6477" priority="1724" operator="between">
      <formula>2.45</formula>
      <formula>2.94</formula>
    </cfRule>
    <cfRule type="cellIs" dxfId="6476" priority="1725" operator="greaterThanOrEqual">
      <formula>4.55</formula>
    </cfRule>
    <cfRule type="cellIs" dxfId="6475" priority="1726" operator="between">
      <formula>3.95</formula>
      <formula>4.94</formula>
    </cfRule>
    <cfRule type="cellIs" dxfId="6474" priority="1727" operator="between">
      <formula>2.95</formula>
      <formula>3.94</formula>
    </cfRule>
    <cfRule type="cellIs" dxfId="6473" priority="1728" operator="between">
      <formula>1.95</formula>
      <formula>2.44</formula>
    </cfRule>
    <cfRule type="cellIs" dxfId="6472" priority="1729" operator="lessThanOrEqual">
      <formula>1.94</formula>
    </cfRule>
  </conditionalFormatting>
  <conditionalFormatting sqref="E38">
    <cfRule type="cellIs" dxfId="6471" priority="1611" operator="equal">
      <formula>"N/A"</formula>
    </cfRule>
    <cfRule type="cellIs" dxfId="6470" priority="1612" operator="between">
      <formula>2.45</formula>
      <formula>2.94</formula>
    </cfRule>
    <cfRule type="cellIs" dxfId="6469" priority="1613" operator="greaterThanOrEqual">
      <formula>4.55</formula>
    </cfRule>
    <cfRule type="cellIs" dxfId="6468" priority="1614" operator="between">
      <formula>3.95</formula>
      <formula>4.94</formula>
    </cfRule>
    <cfRule type="cellIs" dxfId="6467" priority="1615" operator="between">
      <formula>2.95</formula>
      <formula>3.94</formula>
    </cfRule>
    <cfRule type="cellIs" dxfId="6466" priority="1616" operator="between">
      <formula>1.95</formula>
      <formula>2.44</formula>
    </cfRule>
    <cfRule type="cellIs" dxfId="6465" priority="1617" operator="lessThanOrEqual">
      <formula>1.94</formula>
    </cfRule>
  </conditionalFormatting>
  <conditionalFormatting sqref="G38">
    <cfRule type="cellIs" dxfId="6464" priority="1499" operator="equal">
      <formula>"N/A"</formula>
    </cfRule>
    <cfRule type="cellIs" dxfId="6463" priority="1500" operator="between">
      <formula>2.45</formula>
      <formula>2.94</formula>
    </cfRule>
    <cfRule type="cellIs" dxfId="6462" priority="1501" operator="greaterThanOrEqual">
      <formula>4.55</formula>
    </cfRule>
    <cfRule type="cellIs" dxfId="6461" priority="1502" operator="between">
      <formula>3.95</formula>
      <formula>4.94</formula>
    </cfRule>
    <cfRule type="cellIs" dxfId="6460" priority="1503" operator="between">
      <formula>2.95</formula>
      <formula>3.94</formula>
    </cfRule>
    <cfRule type="cellIs" dxfId="6459" priority="1504" operator="between">
      <formula>1.95</formula>
      <formula>2.44</formula>
    </cfRule>
    <cfRule type="cellIs" dxfId="6458" priority="1505" operator="lessThanOrEqual">
      <formula>1.94</formula>
    </cfRule>
  </conditionalFormatting>
  <conditionalFormatting sqref="E39">
    <cfRule type="cellIs" dxfId="6457" priority="1492" operator="equal">
      <formula>"N/A"</formula>
    </cfRule>
    <cfRule type="cellIs" dxfId="6456" priority="1493" operator="between">
      <formula>2.45</formula>
      <formula>2.94</formula>
    </cfRule>
    <cfRule type="cellIs" dxfId="6455" priority="1494" operator="greaterThanOrEqual">
      <formula>4.55</formula>
    </cfRule>
    <cfRule type="cellIs" dxfId="6454" priority="1495" operator="between">
      <formula>3.95</formula>
      <formula>4.94</formula>
    </cfRule>
    <cfRule type="cellIs" dxfId="6453" priority="1496" operator="between">
      <formula>2.95</formula>
      <formula>3.94</formula>
    </cfRule>
    <cfRule type="cellIs" dxfId="6452" priority="1497" operator="between">
      <formula>1.95</formula>
      <formula>2.44</formula>
    </cfRule>
    <cfRule type="cellIs" dxfId="6451" priority="1498" operator="lessThanOrEqual">
      <formula>1.94</formula>
    </cfRule>
  </conditionalFormatting>
  <conditionalFormatting sqref="G39">
    <cfRule type="cellIs" dxfId="6450" priority="1380" operator="equal">
      <formula>"N/A"</formula>
    </cfRule>
    <cfRule type="cellIs" dxfId="6449" priority="1381" operator="between">
      <formula>2.45</formula>
      <formula>2.94</formula>
    </cfRule>
    <cfRule type="cellIs" dxfId="6448" priority="1382" operator="greaterThanOrEqual">
      <formula>4.55</formula>
    </cfRule>
    <cfRule type="cellIs" dxfId="6447" priority="1383" operator="between">
      <formula>3.95</formula>
      <formula>4.94</formula>
    </cfRule>
    <cfRule type="cellIs" dxfId="6446" priority="1384" operator="between">
      <formula>2.95</formula>
      <formula>3.94</formula>
    </cfRule>
    <cfRule type="cellIs" dxfId="6445" priority="1385" operator="between">
      <formula>1.95</formula>
      <formula>2.44</formula>
    </cfRule>
    <cfRule type="cellIs" dxfId="6444" priority="1386" operator="lessThanOrEqual">
      <formula>1.94</formula>
    </cfRule>
  </conditionalFormatting>
  <conditionalFormatting sqref="H37">
    <cfRule type="cellIs" dxfId="6443" priority="897" operator="equal">
      <formula>"N/A"</formula>
    </cfRule>
    <cfRule type="cellIs" dxfId="6442" priority="898" operator="between">
      <formula>2.45</formula>
      <formula>2.94</formula>
    </cfRule>
    <cfRule type="cellIs" dxfId="6441" priority="899" operator="greaterThanOrEqual">
      <formula>4.55</formula>
    </cfRule>
    <cfRule type="cellIs" dxfId="6440" priority="900" operator="between">
      <formula>3.95</formula>
      <formula>4.94</formula>
    </cfRule>
    <cfRule type="cellIs" dxfId="6439" priority="901" operator="between">
      <formula>2.95</formula>
      <formula>3.94</formula>
    </cfRule>
    <cfRule type="cellIs" dxfId="6438" priority="902" operator="between">
      <formula>1.95</formula>
      <formula>2.44</formula>
    </cfRule>
    <cfRule type="cellIs" dxfId="6437" priority="903" operator="lessThanOrEqual">
      <formula>1.94</formula>
    </cfRule>
  </conditionalFormatting>
  <conditionalFormatting sqref="I17:I24">
    <cfRule type="cellIs" dxfId="6436" priority="778" operator="equal">
      <formula>"N/A"</formula>
    </cfRule>
    <cfRule type="cellIs" dxfId="6435" priority="779" operator="between">
      <formula>2.45</formula>
      <formula>2.94</formula>
    </cfRule>
    <cfRule type="cellIs" dxfId="6434" priority="780" operator="greaterThanOrEqual">
      <formula>4.55</formula>
    </cfRule>
    <cfRule type="cellIs" dxfId="6433" priority="781" operator="between">
      <formula>3.95</formula>
      <formula>4.94</formula>
    </cfRule>
    <cfRule type="cellIs" dxfId="6432" priority="782" operator="between">
      <formula>2.95</formula>
      <formula>3.94</formula>
    </cfRule>
    <cfRule type="cellIs" dxfId="6431" priority="783" operator="between">
      <formula>1.95</formula>
      <formula>2.44</formula>
    </cfRule>
    <cfRule type="cellIs" dxfId="6430" priority="784" operator="lessThanOrEqual">
      <formula>1.94</formula>
    </cfRule>
  </conditionalFormatting>
  <conditionalFormatting sqref="I28">
    <cfRule type="cellIs" dxfId="6429" priority="771" operator="equal">
      <formula>"N/A"</formula>
    </cfRule>
    <cfRule type="cellIs" dxfId="6428" priority="772" operator="between">
      <formula>2.45</formula>
      <formula>2.94</formula>
    </cfRule>
    <cfRule type="cellIs" dxfId="6427" priority="773" operator="greaterThanOrEqual">
      <formula>4.55</formula>
    </cfRule>
    <cfRule type="cellIs" dxfId="6426" priority="774" operator="between">
      <formula>3.95</formula>
      <formula>4.94</formula>
    </cfRule>
    <cfRule type="cellIs" dxfId="6425" priority="775" operator="between">
      <formula>2.95</formula>
      <formula>3.94</formula>
    </cfRule>
    <cfRule type="cellIs" dxfId="6424" priority="776" operator="between">
      <formula>1.95</formula>
      <formula>2.44</formula>
    </cfRule>
    <cfRule type="cellIs" dxfId="6423" priority="777" operator="lessThanOrEqual">
      <formula>1.94</formula>
    </cfRule>
  </conditionalFormatting>
  <conditionalFormatting sqref="I29">
    <cfRule type="cellIs" dxfId="6422" priority="764" operator="equal">
      <formula>"N/A"</formula>
    </cfRule>
    <cfRule type="cellIs" dxfId="6421" priority="765" operator="between">
      <formula>2.45</formula>
      <formula>2.94</formula>
    </cfRule>
    <cfRule type="cellIs" dxfId="6420" priority="766" operator="greaterThanOrEqual">
      <formula>4.55</formula>
    </cfRule>
    <cfRule type="cellIs" dxfId="6419" priority="767" operator="between">
      <formula>3.95</formula>
      <formula>4.94</formula>
    </cfRule>
    <cfRule type="cellIs" dxfId="6418" priority="768" operator="between">
      <formula>2.95</formula>
      <formula>3.94</formula>
    </cfRule>
    <cfRule type="cellIs" dxfId="6417" priority="769" operator="between">
      <formula>1.95</formula>
      <formula>2.44</formula>
    </cfRule>
    <cfRule type="cellIs" dxfId="6416" priority="770" operator="lessThanOrEqual">
      <formula>1.94</formula>
    </cfRule>
  </conditionalFormatting>
  <conditionalFormatting sqref="I30">
    <cfRule type="cellIs" dxfId="6415" priority="757" operator="equal">
      <formula>"N/A"</formula>
    </cfRule>
    <cfRule type="cellIs" dxfId="6414" priority="758" operator="between">
      <formula>2.45</formula>
      <formula>2.94</formula>
    </cfRule>
    <cfRule type="cellIs" dxfId="6413" priority="759" operator="greaterThanOrEqual">
      <formula>4.55</formula>
    </cfRule>
    <cfRule type="cellIs" dxfId="6412" priority="760" operator="between">
      <formula>3.95</formula>
      <formula>4.94</formula>
    </cfRule>
    <cfRule type="cellIs" dxfId="6411" priority="761" operator="between">
      <formula>2.95</formula>
      <formula>3.94</formula>
    </cfRule>
    <cfRule type="cellIs" dxfId="6410" priority="762" operator="between">
      <formula>1.95</formula>
      <formula>2.44</formula>
    </cfRule>
    <cfRule type="cellIs" dxfId="6409" priority="763" operator="lessThanOrEqual">
      <formula>1.94</formula>
    </cfRule>
  </conditionalFormatting>
  <conditionalFormatting sqref="I31">
    <cfRule type="cellIs" dxfId="6408" priority="750" operator="equal">
      <formula>"N/A"</formula>
    </cfRule>
    <cfRule type="cellIs" dxfId="6407" priority="751" operator="between">
      <formula>2.45</formula>
      <formula>2.94</formula>
    </cfRule>
    <cfRule type="cellIs" dxfId="6406" priority="752" operator="greaterThanOrEqual">
      <formula>4.55</formula>
    </cfRule>
    <cfRule type="cellIs" dxfId="6405" priority="753" operator="between">
      <formula>3.95</formula>
      <formula>4.94</formula>
    </cfRule>
    <cfRule type="cellIs" dxfId="6404" priority="754" operator="between">
      <formula>2.95</formula>
      <formula>3.94</formula>
    </cfRule>
    <cfRule type="cellIs" dxfId="6403" priority="755" operator="between">
      <formula>1.95</formula>
      <formula>2.44</formula>
    </cfRule>
    <cfRule type="cellIs" dxfId="6402" priority="756" operator="lessThanOrEqual">
      <formula>1.94</formula>
    </cfRule>
  </conditionalFormatting>
  <conditionalFormatting sqref="I25:I26">
    <cfRule type="cellIs" dxfId="6401" priority="743" operator="equal">
      <formula>"N/A"</formula>
    </cfRule>
    <cfRule type="cellIs" dxfId="6400" priority="744" operator="between">
      <formula>2.45</formula>
      <formula>2.94</formula>
    </cfRule>
    <cfRule type="cellIs" dxfId="6399" priority="745" operator="greaterThanOrEqual">
      <formula>4.55</formula>
    </cfRule>
    <cfRule type="cellIs" dxfId="6398" priority="746" operator="between">
      <formula>3.95</formula>
      <formula>4.94</formula>
    </cfRule>
    <cfRule type="cellIs" dxfId="6397" priority="747" operator="between">
      <formula>2.95</formula>
      <formula>3.94</formula>
    </cfRule>
    <cfRule type="cellIs" dxfId="6396" priority="748" operator="between">
      <formula>1.95</formula>
      <formula>2.44</formula>
    </cfRule>
    <cfRule type="cellIs" dxfId="6395" priority="749" operator="lessThanOrEqual">
      <formula>1.94</formula>
    </cfRule>
  </conditionalFormatting>
  <conditionalFormatting sqref="I32:I36">
    <cfRule type="cellIs" dxfId="6394" priority="736" operator="equal">
      <formula>"N/A"</formula>
    </cfRule>
    <cfRule type="cellIs" dxfId="6393" priority="737" operator="between">
      <formula>2.45</formula>
      <formula>2.94</formula>
    </cfRule>
    <cfRule type="cellIs" dxfId="6392" priority="738" operator="greaterThanOrEqual">
      <formula>4.55</formula>
    </cfRule>
    <cfRule type="cellIs" dxfId="6391" priority="739" operator="between">
      <formula>3.95</formula>
      <formula>4.94</formula>
    </cfRule>
    <cfRule type="cellIs" dxfId="6390" priority="740" operator="between">
      <formula>2.95</formula>
      <formula>3.94</formula>
    </cfRule>
    <cfRule type="cellIs" dxfId="6389" priority="741" operator="between">
      <formula>1.95</formula>
      <formula>2.44</formula>
    </cfRule>
    <cfRule type="cellIs" dxfId="6388" priority="742" operator="lessThanOrEqual">
      <formula>1.94</formula>
    </cfRule>
  </conditionalFormatting>
  <conditionalFormatting sqref="I37">
    <cfRule type="cellIs" dxfId="6387" priority="729" operator="equal">
      <formula>"N/A"</formula>
    </cfRule>
    <cfRule type="cellIs" dxfId="6386" priority="730" operator="between">
      <formula>2.45</formula>
      <formula>2.94</formula>
    </cfRule>
    <cfRule type="cellIs" dxfId="6385" priority="731" operator="greaterThanOrEqual">
      <formula>4.55</formula>
    </cfRule>
    <cfRule type="cellIs" dxfId="6384" priority="732" operator="between">
      <formula>3.95</formula>
      <formula>4.94</formula>
    </cfRule>
    <cfRule type="cellIs" dxfId="6383" priority="733" operator="between">
      <formula>2.95</formula>
      <formula>3.94</formula>
    </cfRule>
    <cfRule type="cellIs" dxfId="6382" priority="734" operator="between">
      <formula>1.95</formula>
      <formula>2.44</formula>
    </cfRule>
    <cfRule type="cellIs" dxfId="6381" priority="735" operator="lessThanOrEqual">
      <formula>1.94</formula>
    </cfRule>
  </conditionalFormatting>
  <conditionalFormatting sqref="J17:J24">
    <cfRule type="cellIs" dxfId="6380" priority="722" operator="equal">
      <formula>"N/A"</formula>
    </cfRule>
    <cfRule type="cellIs" dxfId="6379" priority="723" operator="between">
      <formula>2.45</formula>
      <formula>2.94</formula>
    </cfRule>
    <cfRule type="cellIs" dxfId="6378" priority="724" operator="greaterThanOrEqual">
      <formula>4.55</formula>
    </cfRule>
    <cfRule type="cellIs" dxfId="6377" priority="725" operator="between">
      <formula>3.95</formula>
      <formula>4.94</formula>
    </cfRule>
    <cfRule type="cellIs" dxfId="6376" priority="726" operator="between">
      <formula>2.95</formula>
      <formula>3.94</formula>
    </cfRule>
    <cfRule type="cellIs" dxfId="6375" priority="727" operator="between">
      <formula>1.95</formula>
      <formula>2.44</formula>
    </cfRule>
    <cfRule type="cellIs" dxfId="6374" priority="728" operator="lessThanOrEqual">
      <formula>1.94</formula>
    </cfRule>
  </conditionalFormatting>
  <conditionalFormatting sqref="J28">
    <cfRule type="cellIs" dxfId="6373" priority="715" operator="equal">
      <formula>"N/A"</formula>
    </cfRule>
    <cfRule type="cellIs" dxfId="6372" priority="716" operator="between">
      <formula>2.45</formula>
      <formula>2.94</formula>
    </cfRule>
    <cfRule type="cellIs" dxfId="6371" priority="717" operator="greaterThanOrEqual">
      <formula>4.55</formula>
    </cfRule>
    <cfRule type="cellIs" dxfId="6370" priority="718" operator="between">
      <formula>3.95</formula>
      <formula>4.94</formula>
    </cfRule>
    <cfRule type="cellIs" dxfId="6369" priority="719" operator="between">
      <formula>2.95</formula>
      <formula>3.94</formula>
    </cfRule>
    <cfRule type="cellIs" dxfId="6368" priority="720" operator="between">
      <formula>1.95</formula>
      <formula>2.44</formula>
    </cfRule>
    <cfRule type="cellIs" dxfId="6367" priority="721" operator="lessThanOrEqual">
      <formula>1.94</formula>
    </cfRule>
  </conditionalFormatting>
  <conditionalFormatting sqref="J29">
    <cfRule type="cellIs" dxfId="6366" priority="708" operator="equal">
      <formula>"N/A"</formula>
    </cfRule>
    <cfRule type="cellIs" dxfId="6365" priority="709" operator="between">
      <formula>2.45</formula>
      <formula>2.94</formula>
    </cfRule>
    <cfRule type="cellIs" dxfId="6364" priority="710" operator="greaterThanOrEqual">
      <formula>4.55</formula>
    </cfRule>
    <cfRule type="cellIs" dxfId="6363" priority="711" operator="between">
      <formula>3.95</formula>
      <formula>4.94</formula>
    </cfRule>
    <cfRule type="cellIs" dxfId="6362" priority="712" operator="between">
      <formula>2.95</formula>
      <formula>3.94</formula>
    </cfRule>
    <cfRule type="cellIs" dxfId="6361" priority="713" operator="between">
      <formula>1.95</formula>
      <formula>2.44</formula>
    </cfRule>
    <cfRule type="cellIs" dxfId="6360" priority="714" operator="lessThanOrEqual">
      <formula>1.94</formula>
    </cfRule>
  </conditionalFormatting>
  <conditionalFormatting sqref="J30">
    <cfRule type="cellIs" dxfId="6359" priority="701" operator="equal">
      <formula>"N/A"</formula>
    </cfRule>
    <cfRule type="cellIs" dxfId="6358" priority="702" operator="between">
      <formula>2.45</formula>
      <formula>2.94</formula>
    </cfRule>
    <cfRule type="cellIs" dxfId="6357" priority="703" operator="greaterThanOrEqual">
      <formula>4.55</formula>
    </cfRule>
    <cfRule type="cellIs" dxfId="6356" priority="704" operator="between">
      <formula>3.95</formula>
      <formula>4.94</formula>
    </cfRule>
    <cfRule type="cellIs" dxfId="6355" priority="705" operator="between">
      <formula>2.95</formula>
      <formula>3.94</formula>
    </cfRule>
    <cfRule type="cellIs" dxfId="6354" priority="706" operator="between">
      <formula>1.95</formula>
      <formula>2.44</formula>
    </cfRule>
    <cfRule type="cellIs" dxfId="6353" priority="707" operator="lessThanOrEqual">
      <formula>1.94</formula>
    </cfRule>
  </conditionalFormatting>
  <conditionalFormatting sqref="J31">
    <cfRule type="cellIs" dxfId="6352" priority="694" operator="equal">
      <formula>"N/A"</formula>
    </cfRule>
    <cfRule type="cellIs" dxfId="6351" priority="695" operator="between">
      <formula>2.45</formula>
      <formula>2.94</formula>
    </cfRule>
    <cfRule type="cellIs" dxfId="6350" priority="696" operator="greaterThanOrEqual">
      <formula>4.55</formula>
    </cfRule>
    <cfRule type="cellIs" dxfId="6349" priority="697" operator="between">
      <formula>3.95</formula>
      <formula>4.94</formula>
    </cfRule>
    <cfRule type="cellIs" dxfId="6348" priority="698" operator="between">
      <formula>2.95</formula>
      <formula>3.94</formula>
    </cfRule>
    <cfRule type="cellIs" dxfId="6347" priority="699" operator="between">
      <formula>1.95</formula>
      <formula>2.44</formula>
    </cfRule>
    <cfRule type="cellIs" dxfId="6346" priority="700" operator="lessThanOrEqual">
      <formula>1.94</formula>
    </cfRule>
  </conditionalFormatting>
  <conditionalFormatting sqref="J25:J26">
    <cfRule type="cellIs" dxfId="6345" priority="687" operator="equal">
      <formula>"N/A"</formula>
    </cfRule>
    <cfRule type="cellIs" dxfId="6344" priority="688" operator="between">
      <formula>2.45</formula>
      <formula>2.94</formula>
    </cfRule>
    <cfRule type="cellIs" dxfId="6343" priority="689" operator="greaterThanOrEqual">
      <formula>4.55</formula>
    </cfRule>
    <cfRule type="cellIs" dxfId="6342" priority="690" operator="between">
      <formula>3.95</formula>
      <formula>4.94</formula>
    </cfRule>
    <cfRule type="cellIs" dxfId="6341" priority="691" operator="between">
      <formula>2.95</formula>
      <formula>3.94</formula>
    </cfRule>
    <cfRule type="cellIs" dxfId="6340" priority="692" operator="between">
      <formula>1.95</formula>
      <formula>2.44</formula>
    </cfRule>
    <cfRule type="cellIs" dxfId="6339" priority="693" operator="lessThanOrEqual">
      <formula>1.94</formula>
    </cfRule>
  </conditionalFormatting>
  <conditionalFormatting sqref="J32:J36">
    <cfRule type="cellIs" dxfId="6338" priority="680" operator="equal">
      <formula>"N/A"</formula>
    </cfRule>
    <cfRule type="cellIs" dxfId="6337" priority="681" operator="between">
      <formula>2.45</formula>
      <formula>2.94</formula>
    </cfRule>
    <cfRule type="cellIs" dxfId="6336" priority="682" operator="greaterThanOrEqual">
      <formula>4.55</formula>
    </cfRule>
    <cfRule type="cellIs" dxfId="6335" priority="683" operator="between">
      <formula>3.95</formula>
      <formula>4.94</formula>
    </cfRule>
    <cfRule type="cellIs" dxfId="6334" priority="684" operator="between">
      <formula>2.95</formula>
      <formula>3.94</formula>
    </cfRule>
    <cfRule type="cellIs" dxfId="6333" priority="685" operator="between">
      <formula>1.95</formula>
      <formula>2.44</formula>
    </cfRule>
    <cfRule type="cellIs" dxfId="6332" priority="686" operator="lessThanOrEqual">
      <formula>1.94</formula>
    </cfRule>
  </conditionalFormatting>
  <conditionalFormatting sqref="J37">
    <cfRule type="cellIs" dxfId="6331" priority="673" operator="equal">
      <formula>"N/A"</formula>
    </cfRule>
    <cfRule type="cellIs" dxfId="6330" priority="674" operator="between">
      <formula>2.45</formula>
      <formula>2.94</formula>
    </cfRule>
    <cfRule type="cellIs" dxfId="6329" priority="675" operator="greaterThanOrEqual">
      <formula>4.55</formula>
    </cfRule>
    <cfRule type="cellIs" dxfId="6328" priority="676" operator="between">
      <formula>3.95</formula>
      <formula>4.94</formula>
    </cfRule>
    <cfRule type="cellIs" dxfId="6327" priority="677" operator="between">
      <formula>2.95</formula>
      <formula>3.94</formula>
    </cfRule>
    <cfRule type="cellIs" dxfId="6326" priority="678" operator="between">
      <formula>1.95</formula>
      <formula>2.44</formula>
    </cfRule>
    <cfRule type="cellIs" dxfId="6325" priority="679" operator="lessThanOrEqual">
      <formula>1.94</formula>
    </cfRule>
  </conditionalFormatting>
  <conditionalFormatting sqref="K17:K24">
    <cfRule type="cellIs" dxfId="6324" priority="666" operator="equal">
      <formula>"N/A"</formula>
    </cfRule>
    <cfRule type="cellIs" dxfId="6323" priority="667" operator="between">
      <formula>2.45</formula>
      <formula>2.94</formula>
    </cfRule>
    <cfRule type="cellIs" dxfId="6322" priority="668" operator="greaterThanOrEqual">
      <formula>4.55</formula>
    </cfRule>
    <cfRule type="cellIs" dxfId="6321" priority="669" operator="between">
      <formula>3.95</formula>
      <formula>4.94</formula>
    </cfRule>
    <cfRule type="cellIs" dxfId="6320" priority="670" operator="between">
      <formula>2.95</formula>
      <formula>3.94</formula>
    </cfRule>
    <cfRule type="cellIs" dxfId="6319" priority="671" operator="between">
      <formula>1.95</formula>
      <formula>2.44</formula>
    </cfRule>
    <cfRule type="cellIs" dxfId="6318" priority="672" operator="lessThanOrEqual">
      <formula>1.94</formula>
    </cfRule>
  </conditionalFormatting>
  <conditionalFormatting sqref="K28">
    <cfRule type="cellIs" dxfId="6317" priority="659" operator="equal">
      <formula>"N/A"</formula>
    </cfRule>
    <cfRule type="cellIs" dxfId="6316" priority="660" operator="between">
      <formula>2.45</formula>
      <formula>2.94</formula>
    </cfRule>
    <cfRule type="cellIs" dxfId="6315" priority="661" operator="greaterThanOrEqual">
      <formula>4.55</formula>
    </cfRule>
    <cfRule type="cellIs" dxfId="6314" priority="662" operator="between">
      <formula>3.95</formula>
      <formula>4.94</formula>
    </cfRule>
    <cfRule type="cellIs" dxfId="6313" priority="663" operator="between">
      <formula>2.95</formula>
      <formula>3.94</formula>
    </cfRule>
    <cfRule type="cellIs" dxfId="6312" priority="664" operator="between">
      <formula>1.95</formula>
      <formula>2.44</formula>
    </cfRule>
    <cfRule type="cellIs" dxfId="6311" priority="665" operator="lessThanOrEqual">
      <formula>1.94</formula>
    </cfRule>
  </conditionalFormatting>
  <conditionalFormatting sqref="K29">
    <cfRule type="cellIs" dxfId="6310" priority="652" operator="equal">
      <formula>"N/A"</formula>
    </cfRule>
    <cfRule type="cellIs" dxfId="6309" priority="653" operator="between">
      <formula>2.45</formula>
      <formula>2.94</formula>
    </cfRule>
    <cfRule type="cellIs" dxfId="6308" priority="654" operator="greaterThanOrEqual">
      <formula>4.55</formula>
    </cfRule>
    <cfRule type="cellIs" dxfId="6307" priority="655" operator="between">
      <formula>3.95</formula>
      <formula>4.94</formula>
    </cfRule>
    <cfRule type="cellIs" dxfId="6306" priority="656" operator="between">
      <formula>2.95</formula>
      <formula>3.94</formula>
    </cfRule>
    <cfRule type="cellIs" dxfId="6305" priority="657" operator="between">
      <formula>1.95</formula>
      <formula>2.44</formula>
    </cfRule>
    <cfRule type="cellIs" dxfId="6304" priority="658" operator="lessThanOrEqual">
      <formula>1.94</formula>
    </cfRule>
  </conditionalFormatting>
  <conditionalFormatting sqref="K30">
    <cfRule type="cellIs" dxfId="6303" priority="645" operator="equal">
      <formula>"N/A"</formula>
    </cfRule>
    <cfRule type="cellIs" dxfId="6302" priority="646" operator="between">
      <formula>2.45</formula>
      <formula>2.94</formula>
    </cfRule>
    <cfRule type="cellIs" dxfId="6301" priority="647" operator="greaterThanOrEqual">
      <formula>4.55</formula>
    </cfRule>
    <cfRule type="cellIs" dxfId="6300" priority="648" operator="between">
      <formula>3.95</formula>
      <formula>4.94</formula>
    </cfRule>
    <cfRule type="cellIs" dxfId="6299" priority="649" operator="between">
      <formula>2.95</formula>
      <formula>3.94</formula>
    </cfRule>
    <cfRule type="cellIs" dxfId="6298" priority="650" operator="between">
      <formula>1.95</formula>
      <formula>2.44</formula>
    </cfRule>
    <cfRule type="cellIs" dxfId="6297" priority="651" operator="lessThanOrEqual">
      <formula>1.94</formula>
    </cfRule>
  </conditionalFormatting>
  <conditionalFormatting sqref="K31">
    <cfRule type="cellIs" dxfId="6296" priority="638" operator="equal">
      <formula>"N/A"</formula>
    </cfRule>
    <cfRule type="cellIs" dxfId="6295" priority="639" operator="between">
      <formula>2.45</formula>
      <formula>2.94</formula>
    </cfRule>
    <cfRule type="cellIs" dxfId="6294" priority="640" operator="greaterThanOrEqual">
      <formula>4.55</formula>
    </cfRule>
    <cfRule type="cellIs" dxfId="6293" priority="641" operator="between">
      <formula>3.95</formula>
      <formula>4.94</formula>
    </cfRule>
    <cfRule type="cellIs" dxfId="6292" priority="642" operator="between">
      <formula>2.95</formula>
      <formula>3.94</formula>
    </cfRule>
    <cfRule type="cellIs" dxfId="6291" priority="643" operator="between">
      <formula>1.95</formula>
      <formula>2.44</formula>
    </cfRule>
    <cfRule type="cellIs" dxfId="6290" priority="644" operator="lessThanOrEqual">
      <formula>1.94</formula>
    </cfRule>
  </conditionalFormatting>
  <conditionalFormatting sqref="K25:K26">
    <cfRule type="cellIs" dxfId="6289" priority="631" operator="equal">
      <formula>"N/A"</formula>
    </cfRule>
    <cfRule type="cellIs" dxfId="6288" priority="632" operator="between">
      <formula>2.45</formula>
      <formula>2.94</formula>
    </cfRule>
    <cfRule type="cellIs" dxfId="6287" priority="633" operator="greaterThanOrEqual">
      <formula>4.55</formula>
    </cfRule>
    <cfRule type="cellIs" dxfId="6286" priority="634" operator="between">
      <formula>3.95</formula>
      <formula>4.94</formula>
    </cfRule>
    <cfRule type="cellIs" dxfId="6285" priority="635" operator="between">
      <formula>2.95</formula>
      <formula>3.94</formula>
    </cfRule>
    <cfRule type="cellIs" dxfId="6284" priority="636" operator="between">
      <formula>1.95</formula>
      <formula>2.44</formula>
    </cfRule>
    <cfRule type="cellIs" dxfId="6283" priority="637" operator="lessThanOrEqual">
      <formula>1.94</formula>
    </cfRule>
  </conditionalFormatting>
  <conditionalFormatting sqref="K32:K36">
    <cfRule type="cellIs" dxfId="6282" priority="624" operator="equal">
      <formula>"N/A"</formula>
    </cfRule>
    <cfRule type="cellIs" dxfId="6281" priority="625" operator="between">
      <formula>2.45</formula>
      <formula>2.94</formula>
    </cfRule>
    <cfRule type="cellIs" dxfId="6280" priority="626" operator="greaterThanOrEqual">
      <formula>4.55</formula>
    </cfRule>
    <cfRule type="cellIs" dxfId="6279" priority="627" operator="between">
      <formula>3.95</formula>
      <formula>4.94</formula>
    </cfRule>
    <cfRule type="cellIs" dxfId="6278" priority="628" operator="between">
      <formula>2.95</formula>
      <formula>3.94</formula>
    </cfRule>
    <cfRule type="cellIs" dxfId="6277" priority="629" operator="between">
      <formula>1.95</formula>
      <formula>2.44</formula>
    </cfRule>
    <cfRule type="cellIs" dxfId="6276" priority="630" operator="lessThanOrEqual">
      <formula>1.94</formula>
    </cfRule>
  </conditionalFormatting>
  <conditionalFormatting sqref="K37">
    <cfRule type="cellIs" dxfId="6275" priority="617" operator="equal">
      <formula>"N/A"</formula>
    </cfRule>
    <cfRule type="cellIs" dxfId="6274" priority="618" operator="between">
      <formula>2.45</formula>
      <formula>2.94</formula>
    </cfRule>
    <cfRule type="cellIs" dxfId="6273" priority="619" operator="greaterThanOrEqual">
      <formula>4.55</formula>
    </cfRule>
    <cfRule type="cellIs" dxfId="6272" priority="620" operator="between">
      <formula>3.95</formula>
      <formula>4.94</formula>
    </cfRule>
    <cfRule type="cellIs" dxfId="6271" priority="621" operator="between">
      <formula>2.95</formula>
      <formula>3.94</formula>
    </cfRule>
    <cfRule type="cellIs" dxfId="6270" priority="622" operator="between">
      <formula>1.95</formula>
      <formula>2.44</formula>
    </cfRule>
    <cfRule type="cellIs" dxfId="6269" priority="623" operator="lessThanOrEqual">
      <formula>1.94</formula>
    </cfRule>
  </conditionalFormatting>
  <conditionalFormatting sqref="L17:L24">
    <cfRule type="cellIs" dxfId="6268" priority="610" operator="equal">
      <formula>"N/A"</formula>
    </cfRule>
    <cfRule type="cellIs" dxfId="6267" priority="611" operator="between">
      <formula>2.45</formula>
      <formula>2.94</formula>
    </cfRule>
    <cfRule type="cellIs" dxfId="6266" priority="612" operator="greaterThanOrEqual">
      <formula>4.55</formula>
    </cfRule>
    <cfRule type="cellIs" dxfId="6265" priority="613" operator="between">
      <formula>3.95</formula>
      <formula>4.94</formula>
    </cfRule>
    <cfRule type="cellIs" dxfId="6264" priority="614" operator="between">
      <formula>2.95</formula>
      <formula>3.94</formula>
    </cfRule>
    <cfRule type="cellIs" dxfId="6263" priority="615" operator="between">
      <formula>1.95</formula>
      <formula>2.44</formula>
    </cfRule>
    <cfRule type="cellIs" dxfId="6262" priority="616" operator="lessThanOrEqual">
      <formula>1.94</formula>
    </cfRule>
  </conditionalFormatting>
  <conditionalFormatting sqref="L28">
    <cfRule type="cellIs" dxfId="6261" priority="603" operator="equal">
      <formula>"N/A"</formula>
    </cfRule>
    <cfRule type="cellIs" dxfId="6260" priority="604" operator="between">
      <formula>2.45</formula>
      <formula>2.94</formula>
    </cfRule>
    <cfRule type="cellIs" dxfId="6259" priority="605" operator="greaterThanOrEqual">
      <formula>4.55</formula>
    </cfRule>
    <cfRule type="cellIs" dxfId="6258" priority="606" operator="between">
      <formula>3.95</formula>
      <formula>4.94</formula>
    </cfRule>
    <cfRule type="cellIs" dxfId="6257" priority="607" operator="between">
      <formula>2.95</formula>
      <formula>3.94</formula>
    </cfRule>
    <cfRule type="cellIs" dxfId="6256" priority="608" operator="between">
      <formula>1.95</formula>
      <formula>2.44</formula>
    </cfRule>
    <cfRule type="cellIs" dxfId="6255" priority="609" operator="lessThanOrEqual">
      <formula>1.94</formula>
    </cfRule>
  </conditionalFormatting>
  <conditionalFormatting sqref="L29">
    <cfRule type="cellIs" dxfId="6254" priority="596" operator="equal">
      <formula>"N/A"</formula>
    </cfRule>
    <cfRule type="cellIs" dxfId="6253" priority="597" operator="between">
      <formula>2.45</formula>
      <formula>2.94</formula>
    </cfRule>
    <cfRule type="cellIs" dxfId="6252" priority="598" operator="greaterThanOrEqual">
      <formula>4.55</formula>
    </cfRule>
    <cfRule type="cellIs" dxfId="6251" priority="599" operator="between">
      <formula>3.95</formula>
      <formula>4.94</formula>
    </cfRule>
    <cfRule type="cellIs" dxfId="6250" priority="600" operator="between">
      <formula>2.95</formula>
      <formula>3.94</formula>
    </cfRule>
    <cfRule type="cellIs" dxfId="6249" priority="601" operator="between">
      <formula>1.95</formula>
      <formula>2.44</formula>
    </cfRule>
    <cfRule type="cellIs" dxfId="6248" priority="602" operator="lessThanOrEqual">
      <formula>1.94</formula>
    </cfRule>
  </conditionalFormatting>
  <conditionalFormatting sqref="L30">
    <cfRule type="cellIs" dxfId="6247" priority="589" operator="equal">
      <formula>"N/A"</formula>
    </cfRule>
    <cfRule type="cellIs" dxfId="6246" priority="590" operator="between">
      <formula>2.45</formula>
      <formula>2.94</formula>
    </cfRule>
    <cfRule type="cellIs" dxfId="6245" priority="591" operator="greaterThanOrEqual">
      <formula>4.55</formula>
    </cfRule>
    <cfRule type="cellIs" dxfId="6244" priority="592" operator="between">
      <formula>3.95</formula>
      <formula>4.94</formula>
    </cfRule>
    <cfRule type="cellIs" dxfId="6243" priority="593" operator="between">
      <formula>2.95</formula>
      <formula>3.94</formula>
    </cfRule>
    <cfRule type="cellIs" dxfId="6242" priority="594" operator="between">
      <formula>1.95</formula>
      <formula>2.44</formula>
    </cfRule>
    <cfRule type="cellIs" dxfId="6241" priority="595" operator="lessThanOrEqual">
      <formula>1.94</formula>
    </cfRule>
  </conditionalFormatting>
  <conditionalFormatting sqref="L31">
    <cfRule type="cellIs" dxfId="6240" priority="582" operator="equal">
      <formula>"N/A"</formula>
    </cfRule>
    <cfRule type="cellIs" dxfId="6239" priority="583" operator="between">
      <formula>2.45</formula>
      <formula>2.94</formula>
    </cfRule>
    <cfRule type="cellIs" dxfId="6238" priority="584" operator="greaterThanOrEqual">
      <formula>4.55</formula>
    </cfRule>
    <cfRule type="cellIs" dxfId="6237" priority="585" operator="between">
      <formula>3.95</formula>
      <formula>4.94</formula>
    </cfRule>
    <cfRule type="cellIs" dxfId="6236" priority="586" operator="between">
      <formula>2.95</formula>
      <formula>3.94</formula>
    </cfRule>
    <cfRule type="cellIs" dxfId="6235" priority="587" operator="between">
      <formula>1.95</formula>
      <formula>2.44</formula>
    </cfRule>
    <cfRule type="cellIs" dxfId="6234" priority="588" operator="lessThanOrEqual">
      <formula>1.94</formula>
    </cfRule>
  </conditionalFormatting>
  <conditionalFormatting sqref="L25:L26">
    <cfRule type="cellIs" dxfId="6233" priority="575" operator="equal">
      <formula>"N/A"</formula>
    </cfRule>
    <cfRule type="cellIs" dxfId="6232" priority="576" operator="between">
      <formula>2.45</formula>
      <formula>2.94</formula>
    </cfRule>
    <cfRule type="cellIs" dxfId="6231" priority="577" operator="greaterThanOrEqual">
      <formula>4.55</formula>
    </cfRule>
    <cfRule type="cellIs" dxfId="6230" priority="578" operator="between">
      <formula>3.95</formula>
      <formula>4.94</formula>
    </cfRule>
    <cfRule type="cellIs" dxfId="6229" priority="579" operator="between">
      <formula>2.95</formula>
      <formula>3.94</formula>
    </cfRule>
    <cfRule type="cellIs" dxfId="6228" priority="580" operator="between">
      <formula>1.95</formula>
      <formula>2.44</formula>
    </cfRule>
    <cfRule type="cellIs" dxfId="6227" priority="581" operator="lessThanOrEqual">
      <formula>1.94</formula>
    </cfRule>
  </conditionalFormatting>
  <conditionalFormatting sqref="L32:L36">
    <cfRule type="cellIs" dxfId="6226" priority="568" operator="equal">
      <formula>"N/A"</formula>
    </cfRule>
    <cfRule type="cellIs" dxfId="6225" priority="569" operator="between">
      <formula>2.45</formula>
      <formula>2.94</formula>
    </cfRule>
    <cfRule type="cellIs" dxfId="6224" priority="570" operator="greaterThanOrEqual">
      <formula>4.55</formula>
    </cfRule>
    <cfRule type="cellIs" dxfId="6223" priority="571" operator="between">
      <formula>3.95</formula>
      <formula>4.94</formula>
    </cfRule>
    <cfRule type="cellIs" dxfId="6222" priority="572" operator="between">
      <formula>2.95</formula>
      <formula>3.94</formula>
    </cfRule>
    <cfRule type="cellIs" dxfId="6221" priority="573" operator="between">
      <formula>1.95</formula>
      <formula>2.44</formula>
    </cfRule>
    <cfRule type="cellIs" dxfId="6220" priority="574" operator="lessThanOrEqual">
      <formula>1.94</formula>
    </cfRule>
  </conditionalFormatting>
  <conditionalFormatting sqref="L37">
    <cfRule type="cellIs" dxfId="6219" priority="561" operator="equal">
      <formula>"N/A"</formula>
    </cfRule>
    <cfRule type="cellIs" dxfId="6218" priority="562" operator="between">
      <formula>2.45</formula>
      <formula>2.94</formula>
    </cfRule>
    <cfRule type="cellIs" dxfId="6217" priority="563" operator="greaterThanOrEqual">
      <formula>4.55</formula>
    </cfRule>
    <cfRule type="cellIs" dxfId="6216" priority="564" operator="between">
      <formula>3.95</formula>
      <formula>4.94</formula>
    </cfRule>
    <cfRule type="cellIs" dxfId="6215" priority="565" operator="between">
      <formula>2.95</formula>
      <formula>3.94</formula>
    </cfRule>
    <cfRule type="cellIs" dxfId="6214" priority="566" operator="between">
      <formula>1.95</formula>
      <formula>2.44</formula>
    </cfRule>
    <cfRule type="cellIs" dxfId="6213" priority="567" operator="lessThanOrEqual">
      <formula>1.94</formula>
    </cfRule>
  </conditionalFormatting>
  <conditionalFormatting sqref="M17:M24">
    <cfRule type="cellIs" dxfId="6212" priority="554" operator="equal">
      <formula>"N/A"</formula>
    </cfRule>
    <cfRule type="cellIs" dxfId="6211" priority="555" operator="between">
      <formula>2.45</formula>
      <formula>2.94</formula>
    </cfRule>
    <cfRule type="cellIs" dxfId="6210" priority="556" operator="greaterThanOrEqual">
      <formula>4.55</formula>
    </cfRule>
    <cfRule type="cellIs" dxfId="6209" priority="557" operator="between">
      <formula>3.95</formula>
      <formula>4.94</formula>
    </cfRule>
    <cfRule type="cellIs" dxfId="6208" priority="558" operator="between">
      <formula>2.95</formula>
      <formula>3.94</formula>
    </cfRule>
    <cfRule type="cellIs" dxfId="6207" priority="559" operator="between">
      <formula>1.95</formula>
      <formula>2.44</formula>
    </cfRule>
    <cfRule type="cellIs" dxfId="6206" priority="560" operator="lessThanOrEqual">
      <formula>1.94</formula>
    </cfRule>
  </conditionalFormatting>
  <conditionalFormatting sqref="M28">
    <cfRule type="cellIs" dxfId="6205" priority="547" operator="equal">
      <formula>"N/A"</formula>
    </cfRule>
    <cfRule type="cellIs" dxfId="6204" priority="548" operator="between">
      <formula>2.45</formula>
      <formula>2.94</formula>
    </cfRule>
    <cfRule type="cellIs" dxfId="6203" priority="549" operator="greaterThanOrEqual">
      <formula>4.55</formula>
    </cfRule>
    <cfRule type="cellIs" dxfId="6202" priority="550" operator="between">
      <formula>3.95</formula>
      <formula>4.94</formula>
    </cfRule>
    <cfRule type="cellIs" dxfId="6201" priority="551" operator="between">
      <formula>2.95</formula>
      <formula>3.94</formula>
    </cfRule>
    <cfRule type="cellIs" dxfId="6200" priority="552" operator="between">
      <formula>1.95</formula>
      <formula>2.44</formula>
    </cfRule>
    <cfRule type="cellIs" dxfId="6199" priority="553" operator="lessThanOrEqual">
      <formula>1.94</formula>
    </cfRule>
  </conditionalFormatting>
  <conditionalFormatting sqref="M29">
    <cfRule type="cellIs" dxfId="6198" priority="540" operator="equal">
      <formula>"N/A"</formula>
    </cfRule>
    <cfRule type="cellIs" dxfId="6197" priority="541" operator="between">
      <formula>2.45</formula>
      <formula>2.94</formula>
    </cfRule>
    <cfRule type="cellIs" dxfId="6196" priority="542" operator="greaterThanOrEqual">
      <formula>4.55</formula>
    </cfRule>
    <cfRule type="cellIs" dxfId="6195" priority="543" operator="between">
      <formula>3.95</formula>
      <formula>4.94</formula>
    </cfRule>
    <cfRule type="cellIs" dxfId="6194" priority="544" operator="between">
      <formula>2.95</formula>
      <formula>3.94</formula>
    </cfRule>
    <cfRule type="cellIs" dxfId="6193" priority="545" operator="between">
      <formula>1.95</formula>
      <formula>2.44</formula>
    </cfRule>
    <cfRule type="cellIs" dxfId="6192" priority="546" operator="lessThanOrEqual">
      <formula>1.94</formula>
    </cfRule>
  </conditionalFormatting>
  <conditionalFormatting sqref="M30">
    <cfRule type="cellIs" dxfId="6191" priority="533" operator="equal">
      <formula>"N/A"</formula>
    </cfRule>
    <cfRule type="cellIs" dxfId="6190" priority="534" operator="between">
      <formula>2.45</formula>
      <formula>2.94</formula>
    </cfRule>
    <cfRule type="cellIs" dxfId="6189" priority="535" operator="greaterThanOrEqual">
      <formula>4.55</formula>
    </cfRule>
    <cfRule type="cellIs" dxfId="6188" priority="536" operator="between">
      <formula>3.95</formula>
      <formula>4.94</formula>
    </cfRule>
    <cfRule type="cellIs" dxfId="6187" priority="537" operator="between">
      <formula>2.95</formula>
      <formula>3.94</formula>
    </cfRule>
    <cfRule type="cellIs" dxfId="6186" priority="538" operator="between">
      <formula>1.95</formula>
      <formula>2.44</formula>
    </cfRule>
    <cfRule type="cellIs" dxfId="6185" priority="539" operator="lessThanOrEqual">
      <formula>1.94</formula>
    </cfRule>
  </conditionalFormatting>
  <conditionalFormatting sqref="M31">
    <cfRule type="cellIs" dxfId="6184" priority="526" operator="equal">
      <formula>"N/A"</formula>
    </cfRule>
    <cfRule type="cellIs" dxfId="6183" priority="527" operator="between">
      <formula>2.45</formula>
      <formula>2.94</formula>
    </cfRule>
    <cfRule type="cellIs" dxfId="6182" priority="528" operator="greaterThanOrEqual">
      <formula>4.55</formula>
    </cfRule>
    <cfRule type="cellIs" dxfId="6181" priority="529" operator="between">
      <formula>3.95</formula>
      <formula>4.94</formula>
    </cfRule>
    <cfRule type="cellIs" dxfId="6180" priority="530" operator="between">
      <formula>2.95</formula>
      <formula>3.94</formula>
    </cfRule>
    <cfRule type="cellIs" dxfId="6179" priority="531" operator="between">
      <formula>1.95</formula>
      <formula>2.44</formula>
    </cfRule>
    <cfRule type="cellIs" dxfId="6178" priority="532" operator="lessThanOrEqual">
      <formula>1.94</formula>
    </cfRule>
  </conditionalFormatting>
  <conditionalFormatting sqref="M25:M26">
    <cfRule type="cellIs" dxfId="6177" priority="519" operator="equal">
      <formula>"N/A"</formula>
    </cfRule>
    <cfRule type="cellIs" dxfId="6176" priority="520" operator="between">
      <formula>2.45</formula>
      <formula>2.94</formula>
    </cfRule>
    <cfRule type="cellIs" dxfId="6175" priority="521" operator="greaterThanOrEqual">
      <formula>4.55</formula>
    </cfRule>
    <cfRule type="cellIs" dxfId="6174" priority="522" operator="between">
      <formula>3.95</formula>
      <formula>4.94</formula>
    </cfRule>
    <cfRule type="cellIs" dxfId="6173" priority="523" operator="between">
      <formula>2.95</formula>
      <formula>3.94</formula>
    </cfRule>
    <cfRule type="cellIs" dxfId="6172" priority="524" operator="between">
      <formula>1.95</formula>
      <formula>2.44</formula>
    </cfRule>
    <cfRule type="cellIs" dxfId="6171" priority="525" operator="lessThanOrEqual">
      <formula>1.94</formula>
    </cfRule>
  </conditionalFormatting>
  <conditionalFormatting sqref="M32:M36">
    <cfRule type="cellIs" dxfId="6170" priority="512" operator="equal">
      <formula>"N/A"</formula>
    </cfRule>
    <cfRule type="cellIs" dxfId="6169" priority="513" operator="between">
      <formula>2.45</formula>
      <formula>2.94</formula>
    </cfRule>
    <cfRule type="cellIs" dxfId="6168" priority="514" operator="greaterThanOrEqual">
      <formula>4.55</formula>
    </cfRule>
    <cfRule type="cellIs" dxfId="6167" priority="515" operator="between">
      <formula>3.95</formula>
      <formula>4.94</formula>
    </cfRule>
    <cfRule type="cellIs" dxfId="6166" priority="516" operator="between">
      <formula>2.95</formula>
      <formula>3.94</formula>
    </cfRule>
    <cfRule type="cellIs" dxfId="6165" priority="517" operator="between">
      <formula>1.95</formula>
      <formula>2.44</formula>
    </cfRule>
    <cfRule type="cellIs" dxfId="6164" priority="518" operator="lessThanOrEqual">
      <formula>1.94</formula>
    </cfRule>
  </conditionalFormatting>
  <conditionalFormatting sqref="M37">
    <cfRule type="cellIs" dxfId="6163" priority="505" operator="equal">
      <formula>"N/A"</formula>
    </cfRule>
    <cfRule type="cellIs" dxfId="6162" priority="506" operator="between">
      <formula>2.45</formula>
      <formula>2.94</formula>
    </cfRule>
    <cfRule type="cellIs" dxfId="6161" priority="507" operator="greaterThanOrEqual">
      <formula>4.55</formula>
    </cfRule>
    <cfRule type="cellIs" dxfId="6160" priority="508" operator="between">
      <formula>3.95</formula>
      <formula>4.94</formula>
    </cfRule>
    <cfRule type="cellIs" dxfId="6159" priority="509" operator="between">
      <formula>2.95</formula>
      <formula>3.94</formula>
    </cfRule>
    <cfRule type="cellIs" dxfId="6158" priority="510" operator="between">
      <formula>1.95</formula>
      <formula>2.44</formula>
    </cfRule>
    <cfRule type="cellIs" dxfId="6157" priority="511" operator="lessThanOrEqual">
      <formula>1.94</formula>
    </cfRule>
  </conditionalFormatting>
  <conditionalFormatting sqref="N17:N24">
    <cfRule type="cellIs" dxfId="6156" priority="498" operator="equal">
      <formula>"N/A"</formula>
    </cfRule>
    <cfRule type="cellIs" dxfId="6155" priority="499" operator="between">
      <formula>2.45</formula>
      <formula>2.94</formula>
    </cfRule>
    <cfRule type="cellIs" dxfId="6154" priority="500" operator="greaterThanOrEqual">
      <formula>4.55</formula>
    </cfRule>
    <cfRule type="cellIs" dxfId="6153" priority="501" operator="between">
      <formula>3.95</formula>
      <formula>4.94</formula>
    </cfRule>
    <cfRule type="cellIs" dxfId="6152" priority="502" operator="between">
      <formula>2.95</formula>
      <formula>3.94</formula>
    </cfRule>
    <cfRule type="cellIs" dxfId="6151" priority="503" operator="between">
      <formula>1.95</formula>
      <formula>2.44</formula>
    </cfRule>
    <cfRule type="cellIs" dxfId="6150" priority="504" operator="lessThanOrEqual">
      <formula>1.94</formula>
    </cfRule>
  </conditionalFormatting>
  <conditionalFormatting sqref="N28">
    <cfRule type="cellIs" dxfId="6149" priority="491" operator="equal">
      <formula>"N/A"</formula>
    </cfRule>
    <cfRule type="cellIs" dxfId="6148" priority="492" operator="between">
      <formula>2.45</formula>
      <formula>2.94</formula>
    </cfRule>
    <cfRule type="cellIs" dxfId="6147" priority="493" operator="greaterThanOrEqual">
      <formula>4.55</formula>
    </cfRule>
    <cfRule type="cellIs" dxfId="6146" priority="494" operator="between">
      <formula>3.95</formula>
      <formula>4.94</formula>
    </cfRule>
    <cfRule type="cellIs" dxfId="6145" priority="495" operator="between">
      <formula>2.95</formula>
      <formula>3.94</formula>
    </cfRule>
    <cfRule type="cellIs" dxfId="6144" priority="496" operator="between">
      <formula>1.95</formula>
      <formula>2.44</formula>
    </cfRule>
    <cfRule type="cellIs" dxfId="6143" priority="497" operator="lessThanOrEqual">
      <formula>1.94</formula>
    </cfRule>
  </conditionalFormatting>
  <conditionalFormatting sqref="N29">
    <cfRule type="cellIs" dxfId="6142" priority="484" operator="equal">
      <formula>"N/A"</formula>
    </cfRule>
    <cfRule type="cellIs" dxfId="6141" priority="485" operator="between">
      <formula>2.45</formula>
      <formula>2.94</formula>
    </cfRule>
    <cfRule type="cellIs" dxfId="6140" priority="486" operator="greaterThanOrEqual">
      <formula>4.55</formula>
    </cfRule>
    <cfRule type="cellIs" dxfId="6139" priority="487" operator="between">
      <formula>3.95</formula>
      <formula>4.94</formula>
    </cfRule>
    <cfRule type="cellIs" dxfId="6138" priority="488" operator="between">
      <formula>2.95</formula>
      <formula>3.94</formula>
    </cfRule>
    <cfRule type="cellIs" dxfId="6137" priority="489" operator="between">
      <formula>1.95</formula>
      <formula>2.44</formula>
    </cfRule>
    <cfRule type="cellIs" dxfId="6136" priority="490" operator="lessThanOrEqual">
      <formula>1.94</formula>
    </cfRule>
  </conditionalFormatting>
  <conditionalFormatting sqref="N30">
    <cfRule type="cellIs" dxfId="6135" priority="477" operator="equal">
      <formula>"N/A"</formula>
    </cfRule>
    <cfRule type="cellIs" dxfId="6134" priority="478" operator="between">
      <formula>2.45</formula>
      <formula>2.94</formula>
    </cfRule>
    <cfRule type="cellIs" dxfId="6133" priority="479" operator="greaterThanOrEqual">
      <formula>4.55</formula>
    </cfRule>
    <cfRule type="cellIs" dxfId="6132" priority="480" operator="between">
      <formula>3.95</formula>
      <formula>4.94</formula>
    </cfRule>
    <cfRule type="cellIs" dxfId="6131" priority="481" operator="between">
      <formula>2.95</formula>
      <formula>3.94</formula>
    </cfRule>
    <cfRule type="cellIs" dxfId="6130" priority="482" operator="between">
      <formula>1.95</formula>
      <formula>2.44</formula>
    </cfRule>
    <cfRule type="cellIs" dxfId="6129" priority="483" operator="lessThanOrEqual">
      <formula>1.94</formula>
    </cfRule>
  </conditionalFormatting>
  <conditionalFormatting sqref="N31">
    <cfRule type="cellIs" dxfId="6128" priority="470" operator="equal">
      <formula>"N/A"</formula>
    </cfRule>
    <cfRule type="cellIs" dxfId="6127" priority="471" operator="between">
      <formula>2.45</formula>
      <formula>2.94</formula>
    </cfRule>
    <cfRule type="cellIs" dxfId="6126" priority="472" operator="greaterThanOrEqual">
      <formula>4.55</formula>
    </cfRule>
    <cfRule type="cellIs" dxfId="6125" priority="473" operator="between">
      <formula>3.95</formula>
      <formula>4.94</formula>
    </cfRule>
    <cfRule type="cellIs" dxfId="6124" priority="474" operator="between">
      <formula>2.95</formula>
      <formula>3.94</formula>
    </cfRule>
    <cfRule type="cellIs" dxfId="6123" priority="475" operator="between">
      <formula>1.95</formula>
      <formula>2.44</formula>
    </cfRule>
    <cfRule type="cellIs" dxfId="6122" priority="476" operator="lessThanOrEqual">
      <formula>1.94</formula>
    </cfRule>
  </conditionalFormatting>
  <conditionalFormatting sqref="N25:N26">
    <cfRule type="cellIs" dxfId="6121" priority="463" operator="equal">
      <formula>"N/A"</formula>
    </cfRule>
    <cfRule type="cellIs" dxfId="6120" priority="464" operator="between">
      <formula>2.45</formula>
      <formula>2.94</formula>
    </cfRule>
    <cfRule type="cellIs" dxfId="6119" priority="465" operator="greaterThanOrEqual">
      <formula>4.55</formula>
    </cfRule>
    <cfRule type="cellIs" dxfId="6118" priority="466" operator="between">
      <formula>3.95</formula>
      <formula>4.94</formula>
    </cfRule>
    <cfRule type="cellIs" dxfId="6117" priority="467" operator="between">
      <formula>2.95</formula>
      <formula>3.94</formula>
    </cfRule>
    <cfRule type="cellIs" dxfId="6116" priority="468" operator="between">
      <formula>1.95</formula>
      <formula>2.44</formula>
    </cfRule>
    <cfRule type="cellIs" dxfId="6115" priority="469" operator="lessThanOrEqual">
      <formula>1.94</formula>
    </cfRule>
  </conditionalFormatting>
  <conditionalFormatting sqref="N32:N36">
    <cfRule type="cellIs" dxfId="6114" priority="456" operator="equal">
      <formula>"N/A"</formula>
    </cfRule>
    <cfRule type="cellIs" dxfId="6113" priority="457" operator="between">
      <formula>2.45</formula>
      <formula>2.94</formula>
    </cfRule>
    <cfRule type="cellIs" dxfId="6112" priority="458" operator="greaterThanOrEqual">
      <formula>4.55</formula>
    </cfRule>
    <cfRule type="cellIs" dxfId="6111" priority="459" operator="between">
      <formula>3.95</formula>
      <formula>4.94</formula>
    </cfRule>
    <cfRule type="cellIs" dxfId="6110" priority="460" operator="between">
      <formula>2.95</formula>
      <formula>3.94</formula>
    </cfRule>
    <cfRule type="cellIs" dxfId="6109" priority="461" operator="between">
      <formula>1.95</formula>
      <formula>2.44</formula>
    </cfRule>
    <cfRule type="cellIs" dxfId="6108" priority="462" operator="lessThanOrEqual">
      <formula>1.94</formula>
    </cfRule>
  </conditionalFormatting>
  <conditionalFormatting sqref="N37">
    <cfRule type="cellIs" dxfId="6107" priority="449" operator="equal">
      <formula>"N/A"</formula>
    </cfRule>
    <cfRule type="cellIs" dxfId="6106" priority="450" operator="between">
      <formula>2.45</formula>
      <formula>2.94</formula>
    </cfRule>
    <cfRule type="cellIs" dxfId="6105" priority="451" operator="greaterThanOrEqual">
      <formula>4.55</formula>
    </cfRule>
    <cfRule type="cellIs" dxfId="6104" priority="452" operator="between">
      <formula>3.95</formula>
      <formula>4.94</formula>
    </cfRule>
    <cfRule type="cellIs" dxfId="6103" priority="453" operator="between">
      <formula>2.95</formula>
      <formula>3.94</formula>
    </cfRule>
    <cfRule type="cellIs" dxfId="6102" priority="454" operator="between">
      <formula>1.95</formula>
      <formula>2.44</formula>
    </cfRule>
    <cfRule type="cellIs" dxfId="6101" priority="455" operator="lessThanOrEqual">
      <formula>1.94</formula>
    </cfRule>
  </conditionalFormatting>
  <conditionalFormatting sqref="O17:O24">
    <cfRule type="cellIs" dxfId="6100" priority="442" operator="equal">
      <formula>"N/A"</formula>
    </cfRule>
    <cfRule type="cellIs" dxfId="6099" priority="443" operator="between">
      <formula>2.45</formula>
      <formula>2.94</formula>
    </cfRule>
    <cfRule type="cellIs" dxfId="6098" priority="444" operator="greaterThanOrEqual">
      <formula>4.55</formula>
    </cfRule>
    <cfRule type="cellIs" dxfId="6097" priority="445" operator="between">
      <formula>3.95</formula>
      <formula>4.94</formula>
    </cfRule>
    <cfRule type="cellIs" dxfId="6096" priority="446" operator="between">
      <formula>2.95</formula>
      <formula>3.94</formula>
    </cfRule>
    <cfRule type="cellIs" dxfId="6095" priority="447" operator="between">
      <formula>1.95</formula>
      <formula>2.44</formula>
    </cfRule>
    <cfRule type="cellIs" dxfId="6094" priority="448" operator="lessThanOrEqual">
      <formula>1.94</formula>
    </cfRule>
  </conditionalFormatting>
  <conditionalFormatting sqref="O28">
    <cfRule type="cellIs" dxfId="6093" priority="435" operator="equal">
      <formula>"N/A"</formula>
    </cfRule>
    <cfRule type="cellIs" dxfId="6092" priority="436" operator="between">
      <formula>2.45</formula>
      <formula>2.94</formula>
    </cfRule>
    <cfRule type="cellIs" dxfId="6091" priority="437" operator="greaterThanOrEqual">
      <formula>4.55</formula>
    </cfRule>
    <cfRule type="cellIs" dxfId="6090" priority="438" operator="between">
      <formula>3.95</formula>
      <formula>4.94</formula>
    </cfRule>
    <cfRule type="cellIs" dxfId="6089" priority="439" operator="between">
      <formula>2.95</formula>
      <formula>3.94</formula>
    </cfRule>
    <cfRule type="cellIs" dxfId="6088" priority="440" operator="between">
      <formula>1.95</formula>
      <formula>2.44</formula>
    </cfRule>
    <cfRule type="cellIs" dxfId="6087" priority="441" operator="lessThanOrEqual">
      <formula>1.94</formula>
    </cfRule>
  </conditionalFormatting>
  <conditionalFormatting sqref="O29">
    <cfRule type="cellIs" dxfId="6086" priority="428" operator="equal">
      <formula>"N/A"</formula>
    </cfRule>
    <cfRule type="cellIs" dxfId="6085" priority="429" operator="between">
      <formula>2.45</formula>
      <formula>2.94</formula>
    </cfRule>
    <cfRule type="cellIs" dxfId="6084" priority="430" operator="greaterThanOrEqual">
      <formula>4.55</formula>
    </cfRule>
    <cfRule type="cellIs" dxfId="6083" priority="431" operator="between">
      <formula>3.95</formula>
      <formula>4.94</formula>
    </cfRule>
    <cfRule type="cellIs" dxfId="6082" priority="432" operator="between">
      <formula>2.95</formula>
      <formula>3.94</formula>
    </cfRule>
    <cfRule type="cellIs" dxfId="6081" priority="433" operator="between">
      <formula>1.95</formula>
      <formula>2.44</formula>
    </cfRule>
    <cfRule type="cellIs" dxfId="6080" priority="434" operator="lessThanOrEqual">
      <formula>1.94</formula>
    </cfRule>
  </conditionalFormatting>
  <conditionalFormatting sqref="O30">
    <cfRule type="cellIs" dxfId="6079" priority="421" operator="equal">
      <formula>"N/A"</formula>
    </cfRule>
    <cfRule type="cellIs" dxfId="6078" priority="422" operator="between">
      <formula>2.45</formula>
      <formula>2.94</formula>
    </cfRule>
    <cfRule type="cellIs" dxfId="6077" priority="423" operator="greaterThanOrEqual">
      <formula>4.55</formula>
    </cfRule>
    <cfRule type="cellIs" dxfId="6076" priority="424" operator="between">
      <formula>3.95</formula>
      <formula>4.94</formula>
    </cfRule>
    <cfRule type="cellIs" dxfId="6075" priority="425" operator="between">
      <formula>2.95</formula>
      <formula>3.94</formula>
    </cfRule>
    <cfRule type="cellIs" dxfId="6074" priority="426" operator="between">
      <formula>1.95</formula>
      <formula>2.44</formula>
    </cfRule>
    <cfRule type="cellIs" dxfId="6073" priority="427" operator="lessThanOrEqual">
      <formula>1.94</formula>
    </cfRule>
  </conditionalFormatting>
  <conditionalFormatting sqref="O31">
    <cfRule type="cellIs" dxfId="6072" priority="414" operator="equal">
      <formula>"N/A"</formula>
    </cfRule>
    <cfRule type="cellIs" dxfId="6071" priority="415" operator="between">
      <formula>2.45</formula>
      <formula>2.94</formula>
    </cfRule>
    <cfRule type="cellIs" dxfId="6070" priority="416" operator="greaterThanOrEqual">
      <formula>4.55</formula>
    </cfRule>
    <cfRule type="cellIs" dxfId="6069" priority="417" operator="between">
      <formula>3.95</formula>
      <formula>4.94</formula>
    </cfRule>
    <cfRule type="cellIs" dxfId="6068" priority="418" operator="between">
      <formula>2.95</formula>
      <formula>3.94</formula>
    </cfRule>
    <cfRule type="cellIs" dxfId="6067" priority="419" operator="between">
      <formula>1.95</formula>
      <formula>2.44</formula>
    </cfRule>
    <cfRule type="cellIs" dxfId="6066" priority="420" operator="lessThanOrEqual">
      <formula>1.94</formula>
    </cfRule>
  </conditionalFormatting>
  <conditionalFormatting sqref="O25:O26">
    <cfRule type="cellIs" dxfId="6065" priority="407" operator="equal">
      <formula>"N/A"</formula>
    </cfRule>
    <cfRule type="cellIs" dxfId="6064" priority="408" operator="between">
      <formula>2.45</formula>
      <formula>2.94</formula>
    </cfRule>
    <cfRule type="cellIs" dxfId="6063" priority="409" operator="greaterThanOrEqual">
      <formula>4.55</formula>
    </cfRule>
    <cfRule type="cellIs" dxfId="6062" priority="410" operator="between">
      <formula>3.95</formula>
      <formula>4.94</formula>
    </cfRule>
    <cfRule type="cellIs" dxfId="6061" priority="411" operator="between">
      <formula>2.95</formula>
      <formula>3.94</formula>
    </cfRule>
    <cfRule type="cellIs" dxfId="6060" priority="412" operator="between">
      <formula>1.95</formula>
      <formula>2.44</formula>
    </cfRule>
    <cfRule type="cellIs" dxfId="6059" priority="413" operator="lessThanOrEqual">
      <formula>1.94</formula>
    </cfRule>
  </conditionalFormatting>
  <conditionalFormatting sqref="O32:O36">
    <cfRule type="cellIs" dxfId="6058" priority="400" operator="equal">
      <formula>"N/A"</formula>
    </cfRule>
    <cfRule type="cellIs" dxfId="6057" priority="401" operator="between">
      <formula>2.45</formula>
      <formula>2.94</formula>
    </cfRule>
    <cfRule type="cellIs" dxfId="6056" priority="402" operator="greaterThanOrEqual">
      <formula>4.55</formula>
    </cfRule>
    <cfRule type="cellIs" dxfId="6055" priority="403" operator="between">
      <formula>3.95</formula>
      <formula>4.94</formula>
    </cfRule>
    <cfRule type="cellIs" dxfId="6054" priority="404" operator="between">
      <formula>2.95</formula>
      <formula>3.94</formula>
    </cfRule>
    <cfRule type="cellIs" dxfId="6053" priority="405" operator="between">
      <formula>1.95</formula>
      <formula>2.44</formula>
    </cfRule>
    <cfRule type="cellIs" dxfId="6052" priority="406" operator="lessThanOrEqual">
      <formula>1.94</formula>
    </cfRule>
  </conditionalFormatting>
  <conditionalFormatting sqref="O37">
    <cfRule type="cellIs" dxfId="6051" priority="393" operator="equal">
      <formula>"N/A"</formula>
    </cfRule>
    <cfRule type="cellIs" dxfId="6050" priority="394" operator="between">
      <formula>2.45</formula>
      <formula>2.94</formula>
    </cfRule>
    <cfRule type="cellIs" dxfId="6049" priority="395" operator="greaterThanOrEqual">
      <formula>4.55</formula>
    </cfRule>
    <cfRule type="cellIs" dxfId="6048" priority="396" operator="between">
      <formula>3.95</formula>
      <formula>4.94</formula>
    </cfRule>
    <cfRule type="cellIs" dxfId="6047" priority="397" operator="between">
      <formula>2.95</formula>
      <formula>3.94</formula>
    </cfRule>
    <cfRule type="cellIs" dxfId="6046" priority="398" operator="between">
      <formula>1.95</formula>
      <formula>2.44</formula>
    </cfRule>
    <cfRule type="cellIs" dxfId="6045" priority="399" operator="lessThanOrEqual">
      <formula>1.94</formula>
    </cfRule>
  </conditionalFormatting>
  <conditionalFormatting sqref="P17:P24">
    <cfRule type="cellIs" dxfId="6044" priority="386" operator="equal">
      <formula>"N/A"</formula>
    </cfRule>
    <cfRule type="cellIs" dxfId="6043" priority="387" operator="between">
      <formula>2.45</formula>
      <formula>2.94</formula>
    </cfRule>
    <cfRule type="cellIs" dxfId="6042" priority="388" operator="greaterThanOrEqual">
      <formula>4.55</formula>
    </cfRule>
    <cfRule type="cellIs" dxfId="6041" priority="389" operator="between">
      <formula>3.95</formula>
      <formula>4.94</formula>
    </cfRule>
    <cfRule type="cellIs" dxfId="6040" priority="390" operator="between">
      <formula>2.95</formula>
      <formula>3.94</formula>
    </cfRule>
    <cfRule type="cellIs" dxfId="6039" priority="391" operator="between">
      <formula>1.95</formula>
      <formula>2.44</formula>
    </cfRule>
    <cfRule type="cellIs" dxfId="6038" priority="392" operator="lessThanOrEqual">
      <formula>1.94</formula>
    </cfRule>
  </conditionalFormatting>
  <conditionalFormatting sqref="P28">
    <cfRule type="cellIs" dxfId="6037" priority="379" operator="equal">
      <formula>"N/A"</formula>
    </cfRule>
    <cfRule type="cellIs" dxfId="6036" priority="380" operator="between">
      <formula>2.45</formula>
      <formula>2.94</formula>
    </cfRule>
    <cfRule type="cellIs" dxfId="6035" priority="381" operator="greaterThanOrEqual">
      <formula>4.55</formula>
    </cfRule>
    <cfRule type="cellIs" dxfId="6034" priority="382" operator="between">
      <formula>3.95</formula>
      <formula>4.94</formula>
    </cfRule>
    <cfRule type="cellIs" dxfId="6033" priority="383" operator="between">
      <formula>2.95</formula>
      <formula>3.94</formula>
    </cfRule>
    <cfRule type="cellIs" dxfId="6032" priority="384" operator="between">
      <formula>1.95</formula>
      <formula>2.44</formula>
    </cfRule>
    <cfRule type="cellIs" dxfId="6031" priority="385" operator="lessThanOrEqual">
      <formula>1.94</formula>
    </cfRule>
  </conditionalFormatting>
  <conditionalFormatting sqref="P29">
    <cfRule type="cellIs" dxfId="6030" priority="372" operator="equal">
      <formula>"N/A"</formula>
    </cfRule>
    <cfRule type="cellIs" dxfId="6029" priority="373" operator="between">
      <formula>2.45</formula>
      <formula>2.94</formula>
    </cfRule>
    <cfRule type="cellIs" dxfId="6028" priority="374" operator="greaterThanOrEqual">
      <formula>4.55</formula>
    </cfRule>
    <cfRule type="cellIs" dxfId="6027" priority="375" operator="between">
      <formula>3.95</formula>
      <formula>4.94</formula>
    </cfRule>
    <cfRule type="cellIs" dxfId="6026" priority="376" operator="between">
      <formula>2.95</formula>
      <formula>3.94</formula>
    </cfRule>
    <cfRule type="cellIs" dxfId="6025" priority="377" operator="between">
      <formula>1.95</formula>
      <formula>2.44</formula>
    </cfRule>
    <cfRule type="cellIs" dxfId="6024" priority="378" operator="lessThanOrEqual">
      <formula>1.94</formula>
    </cfRule>
  </conditionalFormatting>
  <conditionalFormatting sqref="P30">
    <cfRule type="cellIs" dxfId="6023" priority="365" operator="equal">
      <formula>"N/A"</formula>
    </cfRule>
    <cfRule type="cellIs" dxfId="6022" priority="366" operator="between">
      <formula>2.45</formula>
      <formula>2.94</formula>
    </cfRule>
    <cfRule type="cellIs" dxfId="6021" priority="367" operator="greaterThanOrEqual">
      <formula>4.55</formula>
    </cfRule>
    <cfRule type="cellIs" dxfId="6020" priority="368" operator="between">
      <formula>3.95</formula>
      <formula>4.94</formula>
    </cfRule>
    <cfRule type="cellIs" dxfId="6019" priority="369" operator="between">
      <formula>2.95</formula>
      <formula>3.94</formula>
    </cfRule>
    <cfRule type="cellIs" dxfId="6018" priority="370" operator="between">
      <formula>1.95</formula>
      <formula>2.44</formula>
    </cfRule>
    <cfRule type="cellIs" dxfId="6017" priority="371" operator="lessThanOrEqual">
      <formula>1.94</formula>
    </cfRule>
  </conditionalFormatting>
  <conditionalFormatting sqref="P31">
    <cfRule type="cellIs" dxfId="6016" priority="358" operator="equal">
      <formula>"N/A"</formula>
    </cfRule>
    <cfRule type="cellIs" dxfId="6015" priority="359" operator="between">
      <formula>2.45</formula>
      <formula>2.94</formula>
    </cfRule>
    <cfRule type="cellIs" dxfId="6014" priority="360" operator="greaterThanOrEqual">
      <formula>4.55</formula>
    </cfRule>
    <cfRule type="cellIs" dxfId="6013" priority="361" operator="between">
      <formula>3.95</formula>
      <formula>4.94</formula>
    </cfRule>
    <cfRule type="cellIs" dxfId="6012" priority="362" operator="between">
      <formula>2.95</formula>
      <formula>3.94</formula>
    </cfRule>
    <cfRule type="cellIs" dxfId="6011" priority="363" operator="between">
      <formula>1.95</formula>
      <formula>2.44</formula>
    </cfRule>
    <cfRule type="cellIs" dxfId="6010" priority="364" operator="lessThanOrEqual">
      <formula>1.94</formula>
    </cfRule>
  </conditionalFormatting>
  <conditionalFormatting sqref="P25:P26">
    <cfRule type="cellIs" dxfId="6009" priority="351" operator="equal">
      <formula>"N/A"</formula>
    </cfRule>
    <cfRule type="cellIs" dxfId="6008" priority="352" operator="between">
      <formula>2.45</formula>
      <formula>2.94</formula>
    </cfRule>
    <cfRule type="cellIs" dxfId="6007" priority="353" operator="greaterThanOrEqual">
      <formula>4.55</formula>
    </cfRule>
    <cfRule type="cellIs" dxfId="6006" priority="354" operator="between">
      <formula>3.95</formula>
      <formula>4.94</formula>
    </cfRule>
    <cfRule type="cellIs" dxfId="6005" priority="355" operator="between">
      <formula>2.95</formula>
      <formula>3.94</formula>
    </cfRule>
    <cfRule type="cellIs" dxfId="6004" priority="356" operator="between">
      <formula>1.95</formula>
      <formula>2.44</formula>
    </cfRule>
    <cfRule type="cellIs" dxfId="6003" priority="357" operator="lessThanOrEqual">
      <formula>1.94</formula>
    </cfRule>
  </conditionalFormatting>
  <conditionalFormatting sqref="P32:P36">
    <cfRule type="cellIs" dxfId="6002" priority="344" operator="equal">
      <formula>"N/A"</formula>
    </cfRule>
    <cfRule type="cellIs" dxfId="6001" priority="345" operator="between">
      <formula>2.45</formula>
      <formula>2.94</formula>
    </cfRule>
    <cfRule type="cellIs" dxfId="6000" priority="346" operator="greaterThanOrEqual">
      <formula>4.55</formula>
    </cfRule>
    <cfRule type="cellIs" dxfId="5999" priority="347" operator="between">
      <formula>3.95</formula>
      <formula>4.94</formula>
    </cfRule>
    <cfRule type="cellIs" dxfId="5998" priority="348" operator="between">
      <formula>2.95</formula>
      <formula>3.94</formula>
    </cfRule>
    <cfRule type="cellIs" dxfId="5997" priority="349" operator="between">
      <formula>1.95</formula>
      <formula>2.44</formula>
    </cfRule>
    <cfRule type="cellIs" dxfId="5996" priority="350" operator="lessThanOrEqual">
      <formula>1.94</formula>
    </cfRule>
  </conditionalFormatting>
  <conditionalFormatting sqref="P37">
    <cfRule type="cellIs" dxfId="5995" priority="337" operator="equal">
      <formula>"N/A"</formula>
    </cfRule>
    <cfRule type="cellIs" dxfId="5994" priority="338" operator="between">
      <formula>2.45</formula>
      <formula>2.94</formula>
    </cfRule>
    <cfRule type="cellIs" dxfId="5993" priority="339" operator="greaterThanOrEqual">
      <formula>4.55</formula>
    </cfRule>
    <cfRule type="cellIs" dxfId="5992" priority="340" operator="between">
      <formula>3.95</formula>
      <formula>4.94</formula>
    </cfRule>
    <cfRule type="cellIs" dxfId="5991" priority="341" operator="between">
      <formula>2.95</formula>
      <formula>3.94</formula>
    </cfRule>
    <cfRule type="cellIs" dxfId="5990" priority="342" operator="between">
      <formula>1.95</formula>
      <formula>2.44</formula>
    </cfRule>
    <cfRule type="cellIs" dxfId="5989" priority="343" operator="lessThanOrEqual">
      <formula>1.94</formula>
    </cfRule>
  </conditionalFormatting>
  <conditionalFormatting sqref="Q17:Q24">
    <cfRule type="cellIs" dxfId="5988" priority="330" operator="equal">
      <formula>"N/A"</formula>
    </cfRule>
    <cfRule type="cellIs" dxfId="5987" priority="331" operator="between">
      <formula>2.45</formula>
      <formula>2.94</formula>
    </cfRule>
    <cfRule type="cellIs" dxfId="5986" priority="332" operator="greaterThanOrEqual">
      <formula>4.55</formula>
    </cfRule>
    <cfRule type="cellIs" dxfId="5985" priority="333" operator="between">
      <formula>3.95</formula>
      <formula>4.94</formula>
    </cfRule>
    <cfRule type="cellIs" dxfId="5984" priority="334" operator="between">
      <formula>2.95</formula>
      <formula>3.94</formula>
    </cfRule>
    <cfRule type="cellIs" dxfId="5983" priority="335" operator="between">
      <formula>1.95</formula>
      <formula>2.44</formula>
    </cfRule>
    <cfRule type="cellIs" dxfId="5982" priority="336" operator="lessThanOrEqual">
      <formula>1.94</formula>
    </cfRule>
  </conditionalFormatting>
  <conditionalFormatting sqref="Q28">
    <cfRule type="cellIs" dxfId="5981" priority="323" operator="equal">
      <formula>"N/A"</formula>
    </cfRule>
    <cfRule type="cellIs" dxfId="5980" priority="324" operator="between">
      <formula>2.45</formula>
      <formula>2.94</formula>
    </cfRule>
    <cfRule type="cellIs" dxfId="5979" priority="325" operator="greaterThanOrEqual">
      <formula>4.55</formula>
    </cfRule>
    <cfRule type="cellIs" dxfId="5978" priority="326" operator="between">
      <formula>3.95</formula>
      <formula>4.94</formula>
    </cfRule>
    <cfRule type="cellIs" dxfId="5977" priority="327" operator="between">
      <formula>2.95</formula>
      <formula>3.94</formula>
    </cfRule>
    <cfRule type="cellIs" dxfId="5976" priority="328" operator="between">
      <formula>1.95</formula>
      <formula>2.44</formula>
    </cfRule>
    <cfRule type="cellIs" dxfId="5975" priority="329" operator="lessThanOrEqual">
      <formula>1.94</formula>
    </cfRule>
  </conditionalFormatting>
  <conditionalFormatting sqref="Q29">
    <cfRule type="cellIs" dxfId="5974" priority="316" operator="equal">
      <formula>"N/A"</formula>
    </cfRule>
    <cfRule type="cellIs" dxfId="5973" priority="317" operator="between">
      <formula>2.45</formula>
      <formula>2.94</formula>
    </cfRule>
    <cfRule type="cellIs" dxfId="5972" priority="318" operator="greaterThanOrEqual">
      <formula>4.55</formula>
    </cfRule>
    <cfRule type="cellIs" dxfId="5971" priority="319" operator="between">
      <formula>3.95</formula>
      <formula>4.94</formula>
    </cfRule>
    <cfRule type="cellIs" dxfId="5970" priority="320" operator="between">
      <formula>2.95</formula>
      <formula>3.94</formula>
    </cfRule>
    <cfRule type="cellIs" dxfId="5969" priority="321" operator="between">
      <formula>1.95</formula>
      <formula>2.44</formula>
    </cfRule>
    <cfRule type="cellIs" dxfId="5968" priority="322" operator="lessThanOrEqual">
      <formula>1.94</formula>
    </cfRule>
  </conditionalFormatting>
  <conditionalFormatting sqref="Q30">
    <cfRule type="cellIs" dxfId="5967" priority="309" operator="equal">
      <formula>"N/A"</formula>
    </cfRule>
    <cfRule type="cellIs" dxfId="5966" priority="310" operator="between">
      <formula>2.45</formula>
      <formula>2.94</formula>
    </cfRule>
    <cfRule type="cellIs" dxfId="5965" priority="311" operator="greaterThanOrEqual">
      <formula>4.55</formula>
    </cfRule>
    <cfRule type="cellIs" dxfId="5964" priority="312" operator="between">
      <formula>3.95</formula>
      <formula>4.94</formula>
    </cfRule>
    <cfRule type="cellIs" dxfId="5963" priority="313" operator="between">
      <formula>2.95</formula>
      <formula>3.94</formula>
    </cfRule>
    <cfRule type="cellIs" dxfId="5962" priority="314" operator="between">
      <formula>1.95</formula>
      <formula>2.44</formula>
    </cfRule>
    <cfRule type="cellIs" dxfId="5961" priority="315" operator="lessThanOrEqual">
      <formula>1.94</formula>
    </cfRule>
  </conditionalFormatting>
  <conditionalFormatting sqref="Q31">
    <cfRule type="cellIs" dxfId="5960" priority="302" operator="equal">
      <formula>"N/A"</formula>
    </cfRule>
    <cfRule type="cellIs" dxfId="5959" priority="303" operator="between">
      <formula>2.45</formula>
      <formula>2.94</formula>
    </cfRule>
    <cfRule type="cellIs" dxfId="5958" priority="304" operator="greaterThanOrEqual">
      <formula>4.55</formula>
    </cfRule>
    <cfRule type="cellIs" dxfId="5957" priority="305" operator="between">
      <formula>3.95</formula>
      <formula>4.94</formula>
    </cfRule>
    <cfRule type="cellIs" dxfId="5956" priority="306" operator="between">
      <formula>2.95</formula>
      <formula>3.94</formula>
    </cfRule>
    <cfRule type="cellIs" dxfId="5955" priority="307" operator="between">
      <formula>1.95</formula>
      <formula>2.44</formula>
    </cfRule>
    <cfRule type="cellIs" dxfId="5954" priority="308" operator="lessThanOrEqual">
      <formula>1.94</formula>
    </cfRule>
  </conditionalFormatting>
  <conditionalFormatting sqref="Q25:Q26">
    <cfRule type="cellIs" dxfId="5953" priority="295" operator="equal">
      <formula>"N/A"</formula>
    </cfRule>
    <cfRule type="cellIs" dxfId="5952" priority="296" operator="between">
      <formula>2.45</formula>
      <formula>2.94</formula>
    </cfRule>
    <cfRule type="cellIs" dxfId="5951" priority="297" operator="greaterThanOrEqual">
      <formula>4.55</formula>
    </cfRule>
    <cfRule type="cellIs" dxfId="5950" priority="298" operator="between">
      <formula>3.95</formula>
      <formula>4.94</formula>
    </cfRule>
    <cfRule type="cellIs" dxfId="5949" priority="299" operator="between">
      <formula>2.95</formula>
      <formula>3.94</formula>
    </cfRule>
    <cfRule type="cellIs" dxfId="5948" priority="300" operator="between">
      <formula>1.95</formula>
      <formula>2.44</formula>
    </cfRule>
    <cfRule type="cellIs" dxfId="5947" priority="301" operator="lessThanOrEqual">
      <formula>1.94</formula>
    </cfRule>
  </conditionalFormatting>
  <conditionalFormatting sqref="Q32:Q36">
    <cfRule type="cellIs" dxfId="5946" priority="288" operator="equal">
      <formula>"N/A"</formula>
    </cfRule>
    <cfRule type="cellIs" dxfId="5945" priority="289" operator="between">
      <formula>2.45</formula>
      <formula>2.94</formula>
    </cfRule>
    <cfRule type="cellIs" dxfId="5944" priority="290" operator="greaterThanOrEqual">
      <formula>4.55</formula>
    </cfRule>
    <cfRule type="cellIs" dxfId="5943" priority="291" operator="between">
      <formula>3.95</formula>
      <formula>4.94</formula>
    </cfRule>
    <cfRule type="cellIs" dxfId="5942" priority="292" operator="between">
      <formula>2.95</formula>
      <formula>3.94</formula>
    </cfRule>
    <cfRule type="cellIs" dxfId="5941" priority="293" operator="between">
      <formula>1.95</formula>
      <formula>2.44</formula>
    </cfRule>
    <cfRule type="cellIs" dxfId="5940" priority="294" operator="lessThanOrEqual">
      <formula>1.94</formula>
    </cfRule>
  </conditionalFormatting>
  <conditionalFormatting sqref="Q37">
    <cfRule type="cellIs" dxfId="5939" priority="281" operator="equal">
      <formula>"N/A"</formula>
    </cfRule>
    <cfRule type="cellIs" dxfId="5938" priority="282" operator="between">
      <formula>2.45</formula>
      <formula>2.94</formula>
    </cfRule>
    <cfRule type="cellIs" dxfId="5937" priority="283" operator="greaterThanOrEqual">
      <formula>4.55</formula>
    </cfRule>
    <cfRule type="cellIs" dxfId="5936" priority="284" operator="between">
      <formula>3.95</formula>
      <formula>4.94</formula>
    </cfRule>
    <cfRule type="cellIs" dxfId="5935" priority="285" operator="between">
      <formula>2.95</formula>
      <formula>3.94</formula>
    </cfRule>
    <cfRule type="cellIs" dxfId="5934" priority="286" operator="between">
      <formula>1.95</formula>
      <formula>2.44</formula>
    </cfRule>
    <cfRule type="cellIs" dxfId="5933" priority="287" operator="lessThanOrEqual">
      <formula>1.94</formula>
    </cfRule>
  </conditionalFormatting>
  <conditionalFormatting sqref="R17:R24">
    <cfRule type="cellIs" dxfId="5932" priority="274" operator="equal">
      <formula>"N/A"</formula>
    </cfRule>
    <cfRule type="cellIs" dxfId="5931" priority="275" operator="between">
      <formula>2.45</formula>
      <formula>2.94</formula>
    </cfRule>
    <cfRule type="cellIs" dxfId="5930" priority="276" operator="greaterThanOrEqual">
      <formula>4.55</formula>
    </cfRule>
    <cfRule type="cellIs" dxfId="5929" priority="277" operator="between">
      <formula>3.95</formula>
      <formula>4.94</formula>
    </cfRule>
    <cfRule type="cellIs" dxfId="5928" priority="278" operator="between">
      <formula>2.95</formula>
      <formula>3.94</formula>
    </cfRule>
    <cfRule type="cellIs" dxfId="5927" priority="279" operator="between">
      <formula>1.95</formula>
      <formula>2.44</formula>
    </cfRule>
    <cfRule type="cellIs" dxfId="5926" priority="280" operator="lessThanOrEqual">
      <formula>1.94</formula>
    </cfRule>
  </conditionalFormatting>
  <conditionalFormatting sqref="R28">
    <cfRule type="cellIs" dxfId="5925" priority="267" operator="equal">
      <formula>"N/A"</formula>
    </cfRule>
    <cfRule type="cellIs" dxfId="5924" priority="268" operator="between">
      <formula>2.45</formula>
      <formula>2.94</formula>
    </cfRule>
    <cfRule type="cellIs" dxfId="5923" priority="269" operator="greaterThanOrEqual">
      <formula>4.55</formula>
    </cfRule>
    <cfRule type="cellIs" dxfId="5922" priority="270" operator="between">
      <formula>3.95</formula>
      <formula>4.94</formula>
    </cfRule>
    <cfRule type="cellIs" dxfId="5921" priority="271" operator="between">
      <formula>2.95</formula>
      <formula>3.94</formula>
    </cfRule>
    <cfRule type="cellIs" dxfId="5920" priority="272" operator="between">
      <formula>1.95</formula>
      <formula>2.44</formula>
    </cfRule>
    <cfRule type="cellIs" dxfId="5919" priority="273" operator="lessThanOrEqual">
      <formula>1.94</formula>
    </cfRule>
  </conditionalFormatting>
  <conditionalFormatting sqref="R29">
    <cfRule type="cellIs" dxfId="5918" priority="260" operator="equal">
      <formula>"N/A"</formula>
    </cfRule>
    <cfRule type="cellIs" dxfId="5917" priority="261" operator="between">
      <formula>2.45</formula>
      <formula>2.94</formula>
    </cfRule>
    <cfRule type="cellIs" dxfId="5916" priority="262" operator="greaterThanOrEqual">
      <formula>4.55</formula>
    </cfRule>
    <cfRule type="cellIs" dxfId="5915" priority="263" operator="between">
      <formula>3.95</formula>
      <formula>4.94</formula>
    </cfRule>
    <cfRule type="cellIs" dxfId="5914" priority="264" operator="between">
      <formula>2.95</formula>
      <formula>3.94</formula>
    </cfRule>
    <cfRule type="cellIs" dxfId="5913" priority="265" operator="between">
      <formula>1.95</formula>
      <formula>2.44</formula>
    </cfRule>
    <cfRule type="cellIs" dxfId="5912" priority="266" operator="lessThanOrEqual">
      <formula>1.94</formula>
    </cfRule>
  </conditionalFormatting>
  <conditionalFormatting sqref="R30">
    <cfRule type="cellIs" dxfId="5911" priority="253" operator="equal">
      <formula>"N/A"</formula>
    </cfRule>
    <cfRule type="cellIs" dxfId="5910" priority="254" operator="between">
      <formula>2.45</formula>
      <formula>2.94</formula>
    </cfRule>
    <cfRule type="cellIs" dxfId="5909" priority="255" operator="greaterThanOrEqual">
      <formula>4.55</formula>
    </cfRule>
    <cfRule type="cellIs" dxfId="5908" priority="256" operator="between">
      <formula>3.95</formula>
      <formula>4.94</formula>
    </cfRule>
    <cfRule type="cellIs" dxfId="5907" priority="257" operator="between">
      <formula>2.95</formula>
      <formula>3.94</formula>
    </cfRule>
    <cfRule type="cellIs" dxfId="5906" priority="258" operator="between">
      <formula>1.95</formula>
      <formula>2.44</formula>
    </cfRule>
    <cfRule type="cellIs" dxfId="5905" priority="259" operator="lessThanOrEqual">
      <formula>1.94</formula>
    </cfRule>
  </conditionalFormatting>
  <conditionalFormatting sqref="R31">
    <cfRule type="cellIs" dxfId="5904" priority="246" operator="equal">
      <formula>"N/A"</formula>
    </cfRule>
    <cfRule type="cellIs" dxfId="5903" priority="247" operator="between">
      <formula>2.45</formula>
      <formula>2.94</formula>
    </cfRule>
    <cfRule type="cellIs" dxfId="5902" priority="248" operator="greaterThanOrEqual">
      <formula>4.55</formula>
    </cfRule>
    <cfRule type="cellIs" dxfId="5901" priority="249" operator="between">
      <formula>3.95</formula>
      <formula>4.94</formula>
    </cfRule>
    <cfRule type="cellIs" dxfId="5900" priority="250" operator="between">
      <formula>2.95</formula>
      <formula>3.94</formula>
    </cfRule>
    <cfRule type="cellIs" dxfId="5899" priority="251" operator="between">
      <formula>1.95</formula>
      <formula>2.44</formula>
    </cfRule>
    <cfRule type="cellIs" dxfId="5898" priority="252" operator="lessThanOrEqual">
      <formula>1.94</formula>
    </cfRule>
  </conditionalFormatting>
  <conditionalFormatting sqref="R25:R26">
    <cfRule type="cellIs" dxfId="5897" priority="239" operator="equal">
      <formula>"N/A"</formula>
    </cfRule>
    <cfRule type="cellIs" dxfId="5896" priority="240" operator="between">
      <formula>2.45</formula>
      <formula>2.94</formula>
    </cfRule>
    <cfRule type="cellIs" dxfId="5895" priority="241" operator="greaterThanOrEqual">
      <formula>4.55</formula>
    </cfRule>
    <cfRule type="cellIs" dxfId="5894" priority="242" operator="between">
      <formula>3.95</formula>
      <formula>4.94</formula>
    </cfRule>
    <cfRule type="cellIs" dxfId="5893" priority="243" operator="between">
      <formula>2.95</formula>
      <formula>3.94</formula>
    </cfRule>
    <cfRule type="cellIs" dxfId="5892" priority="244" operator="between">
      <formula>1.95</formula>
      <formula>2.44</formula>
    </cfRule>
    <cfRule type="cellIs" dxfId="5891" priority="245" operator="lessThanOrEqual">
      <formula>1.94</formula>
    </cfRule>
  </conditionalFormatting>
  <conditionalFormatting sqref="R32:R36">
    <cfRule type="cellIs" dxfId="5890" priority="232" operator="equal">
      <formula>"N/A"</formula>
    </cfRule>
    <cfRule type="cellIs" dxfId="5889" priority="233" operator="between">
      <formula>2.45</formula>
      <formula>2.94</formula>
    </cfRule>
    <cfRule type="cellIs" dxfId="5888" priority="234" operator="greaterThanOrEqual">
      <formula>4.55</formula>
    </cfRule>
    <cfRule type="cellIs" dxfId="5887" priority="235" operator="between">
      <formula>3.95</formula>
      <formula>4.94</formula>
    </cfRule>
    <cfRule type="cellIs" dxfId="5886" priority="236" operator="between">
      <formula>2.95</formula>
      <formula>3.94</formula>
    </cfRule>
    <cfRule type="cellIs" dxfId="5885" priority="237" operator="between">
      <formula>1.95</formula>
      <formula>2.44</formula>
    </cfRule>
    <cfRule type="cellIs" dxfId="5884" priority="238" operator="lessThanOrEqual">
      <formula>1.94</formula>
    </cfRule>
  </conditionalFormatting>
  <conditionalFormatting sqref="R37">
    <cfRule type="cellIs" dxfId="5883" priority="225" operator="equal">
      <formula>"N/A"</formula>
    </cfRule>
    <cfRule type="cellIs" dxfId="5882" priority="226" operator="between">
      <formula>2.45</formula>
      <formula>2.94</formula>
    </cfRule>
    <cfRule type="cellIs" dxfId="5881" priority="227" operator="greaterThanOrEqual">
      <formula>4.55</formula>
    </cfRule>
    <cfRule type="cellIs" dxfId="5880" priority="228" operator="between">
      <formula>3.95</formula>
      <formula>4.94</formula>
    </cfRule>
    <cfRule type="cellIs" dxfId="5879" priority="229" operator="between">
      <formula>2.95</formula>
      <formula>3.94</formula>
    </cfRule>
    <cfRule type="cellIs" dxfId="5878" priority="230" operator="between">
      <formula>1.95</formula>
      <formula>2.44</formula>
    </cfRule>
    <cfRule type="cellIs" dxfId="5877" priority="231" operator="lessThanOrEqual">
      <formula>1.94</formula>
    </cfRule>
  </conditionalFormatting>
  <conditionalFormatting sqref="S17:S24">
    <cfRule type="cellIs" dxfId="5876" priority="218" operator="equal">
      <formula>"N/A"</formula>
    </cfRule>
    <cfRule type="cellIs" dxfId="5875" priority="219" operator="between">
      <formula>2.45</formula>
      <formula>2.94</formula>
    </cfRule>
    <cfRule type="cellIs" dxfId="5874" priority="220" operator="greaterThanOrEqual">
      <formula>4.55</formula>
    </cfRule>
    <cfRule type="cellIs" dxfId="5873" priority="221" operator="between">
      <formula>3.95</formula>
      <formula>4.94</formula>
    </cfRule>
    <cfRule type="cellIs" dxfId="5872" priority="222" operator="between">
      <formula>2.95</formula>
      <formula>3.94</formula>
    </cfRule>
    <cfRule type="cellIs" dxfId="5871" priority="223" operator="between">
      <formula>1.95</formula>
      <formula>2.44</formula>
    </cfRule>
    <cfRule type="cellIs" dxfId="5870" priority="224" operator="lessThanOrEqual">
      <formula>1.94</formula>
    </cfRule>
  </conditionalFormatting>
  <conditionalFormatting sqref="S28">
    <cfRule type="cellIs" dxfId="5869" priority="211" operator="equal">
      <formula>"N/A"</formula>
    </cfRule>
    <cfRule type="cellIs" dxfId="5868" priority="212" operator="between">
      <formula>2.45</formula>
      <formula>2.94</formula>
    </cfRule>
    <cfRule type="cellIs" dxfId="5867" priority="213" operator="greaterThanOrEqual">
      <formula>4.55</formula>
    </cfRule>
    <cfRule type="cellIs" dxfId="5866" priority="214" operator="between">
      <formula>3.95</formula>
      <formula>4.94</formula>
    </cfRule>
    <cfRule type="cellIs" dxfId="5865" priority="215" operator="between">
      <formula>2.95</formula>
      <formula>3.94</formula>
    </cfRule>
    <cfRule type="cellIs" dxfId="5864" priority="216" operator="between">
      <formula>1.95</formula>
      <formula>2.44</formula>
    </cfRule>
    <cfRule type="cellIs" dxfId="5863" priority="217" operator="lessThanOrEqual">
      <formula>1.94</formula>
    </cfRule>
  </conditionalFormatting>
  <conditionalFormatting sqref="S29">
    <cfRule type="cellIs" dxfId="5862" priority="204" operator="equal">
      <formula>"N/A"</formula>
    </cfRule>
    <cfRule type="cellIs" dxfId="5861" priority="205" operator="between">
      <formula>2.45</formula>
      <formula>2.94</formula>
    </cfRule>
    <cfRule type="cellIs" dxfId="5860" priority="206" operator="greaterThanOrEqual">
      <formula>4.55</formula>
    </cfRule>
    <cfRule type="cellIs" dxfId="5859" priority="207" operator="between">
      <formula>3.95</formula>
      <formula>4.94</formula>
    </cfRule>
    <cfRule type="cellIs" dxfId="5858" priority="208" operator="between">
      <formula>2.95</formula>
      <formula>3.94</formula>
    </cfRule>
    <cfRule type="cellIs" dxfId="5857" priority="209" operator="between">
      <formula>1.95</formula>
      <formula>2.44</formula>
    </cfRule>
    <cfRule type="cellIs" dxfId="5856" priority="210" operator="lessThanOrEqual">
      <formula>1.94</formula>
    </cfRule>
  </conditionalFormatting>
  <conditionalFormatting sqref="S30">
    <cfRule type="cellIs" dxfId="5855" priority="197" operator="equal">
      <formula>"N/A"</formula>
    </cfRule>
    <cfRule type="cellIs" dxfId="5854" priority="198" operator="between">
      <formula>2.45</formula>
      <formula>2.94</formula>
    </cfRule>
    <cfRule type="cellIs" dxfId="5853" priority="199" operator="greaterThanOrEqual">
      <formula>4.55</formula>
    </cfRule>
    <cfRule type="cellIs" dxfId="5852" priority="200" operator="between">
      <formula>3.95</formula>
      <formula>4.94</formula>
    </cfRule>
    <cfRule type="cellIs" dxfId="5851" priority="201" operator="between">
      <formula>2.95</formula>
      <formula>3.94</formula>
    </cfRule>
    <cfRule type="cellIs" dxfId="5850" priority="202" operator="between">
      <formula>1.95</formula>
      <formula>2.44</formula>
    </cfRule>
    <cfRule type="cellIs" dxfId="5849" priority="203" operator="lessThanOrEqual">
      <formula>1.94</formula>
    </cfRule>
  </conditionalFormatting>
  <conditionalFormatting sqref="S31">
    <cfRule type="cellIs" dxfId="5848" priority="190" operator="equal">
      <formula>"N/A"</formula>
    </cfRule>
    <cfRule type="cellIs" dxfId="5847" priority="191" operator="between">
      <formula>2.45</formula>
      <formula>2.94</formula>
    </cfRule>
    <cfRule type="cellIs" dxfId="5846" priority="192" operator="greaterThanOrEqual">
      <formula>4.55</formula>
    </cfRule>
    <cfRule type="cellIs" dxfId="5845" priority="193" operator="between">
      <formula>3.95</formula>
      <formula>4.94</formula>
    </cfRule>
    <cfRule type="cellIs" dxfId="5844" priority="194" operator="between">
      <formula>2.95</formula>
      <formula>3.94</formula>
    </cfRule>
    <cfRule type="cellIs" dxfId="5843" priority="195" operator="between">
      <formula>1.95</formula>
      <formula>2.44</formula>
    </cfRule>
    <cfRule type="cellIs" dxfId="5842" priority="196" operator="lessThanOrEqual">
      <formula>1.94</formula>
    </cfRule>
  </conditionalFormatting>
  <conditionalFormatting sqref="S25:S26">
    <cfRule type="cellIs" dxfId="5841" priority="183" operator="equal">
      <formula>"N/A"</formula>
    </cfRule>
    <cfRule type="cellIs" dxfId="5840" priority="184" operator="between">
      <formula>2.45</formula>
      <formula>2.94</formula>
    </cfRule>
    <cfRule type="cellIs" dxfId="5839" priority="185" operator="greaterThanOrEqual">
      <formula>4.55</formula>
    </cfRule>
    <cfRule type="cellIs" dxfId="5838" priority="186" operator="between">
      <formula>3.95</formula>
      <formula>4.94</formula>
    </cfRule>
    <cfRule type="cellIs" dxfId="5837" priority="187" operator="between">
      <formula>2.95</formula>
      <formula>3.94</formula>
    </cfRule>
    <cfRule type="cellIs" dxfId="5836" priority="188" operator="between">
      <formula>1.95</formula>
      <formula>2.44</formula>
    </cfRule>
    <cfRule type="cellIs" dxfId="5835" priority="189" operator="lessThanOrEqual">
      <formula>1.94</formula>
    </cfRule>
  </conditionalFormatting>
  <conditionalFormatting sqref="S32:S36">
    <cfRule type="cellIs" dxfId="5834" priority="176" operator="equal">
      <formula>"N/A"</formula>
    </cfRule>
    <cfRule type="cellIs" dxfId="5833" priority="177" operator="between">
      <formula>2.45</formula>
      <formula>2.94</formula>
    </cfRule>
    <cfRule type="cellIs" dxfId="5832" priority="178" operator="greaterThanOrEqual">
      <formula>4.55</formula>
    </cfRule>
    <cfRule type="cellIs" dxfId="5831" priority="179" operator="between">
      <formula>3.95</formula>
      <formula>4.94</formula>
    </cfRule>
    <cfRule type="cellIs" dxfId="5830" priority="180" operator="between">
      <formula>2.95</formula>
      <formula>3.94</formula>
    </cfRule>
    <cfRule type="cellIs" dxfId="5829" priority="181" operator="between">
      <formula>1.95</formula>
      <formula>2.44</formula>
    </cfRule>
    <cfRule type="cellIs" dxfId="5828" priority="182" operator="lessThanOrEqual">
      <formula>1.94</formula>
    </cfRule>
  </conditionalFormatting>
  <conditionalFormatting sqref="S37">
    <cfRule type="cellIs" dxfId="5827" priority="169" operator="equal">
      <formula>"N/A"</formula>
    </cfRule>
    <cfRule type="cellIs" dxfId="5826" priority="170" operator="between">
      <formula>2.45</formula>
      <formula>2.94</formula>
    </cfRule>
    <cfRule type="cellIs" dxfId="5825" priority="171" operator="greaterThanOrEqual">
      <formula>4.55</formula>
    </cfRule>
    <cfRule type="cellIs" dxfId="5824" priority="172" operator="between">
      <formula>3.95</formula>
      <formula>4.94</formula>
    </cfRule>
    <cfRule type="cellIs" dxfId="5823" priority="173" operator="between">
      <formula>2.95</formula>
      <formula>3.94</formula>
    </cfRule>
    <cfRule type="cellIs" dxfId="5822" priority="174" operator="between">
      <formula>1.95</formula>
      <formula>2.44</formula>
    </cfRule>
    <cfRule type="cellIs" dxfId="5821" priority="175" operator="lessThanOrEqual">
      <formula>1.94</formula>
    </cfRule>
  </conditionalFormatting>
  <conditionalFormatting sqref="T17:T24">
    <cfRule type="cellIs" dxfId="5820" priority="162" operator="equal">
      <formula>"N/A"</formula>
    </cfRule>
    <cfRule type="cellIs" dxfId="5819" priority="163" operator="between">
      <formula>2.45</formula>
      <formula>2.94</formula>
    </cfRule>
    <cfRule type="cellIs" dxfId="5818" priority="164" operator="greaterThanOrEqual">
      <formula>4.55</formula>
    </cfRule>
    <cfRule type="cellIs" dxfId="5817" priority="165" operator="between">
      <formula>3.95</formula>
      <formula>4.94</formula>
    </cfRule>
    <cfRule type="cellIs" dxfId="5816" priority="166" operator="between">
      <formula>2.95</formula>
      <formula>3.94</formula>
    </cfRule>
    <cfRule type="cellIs" dxfId="5815" priority="167" operator="between">
      <formula>1.95</formula>
      <formula>2.44</formula>
    </cfRule>
    <cfRule type="cellIs" dxfId="5814" priority="168" operator="lessThanOrEqual">
      <formula>1.94</formula>
    </cfRule>
  </conditionalFormatting>
  <conditionalFormatting sqref="T28">
    <cfRule type="cellIs" dxfId="5813" priority="155" operator="equal">
      <formula>"N/A"</formula>
    </cfRule>
    <cfRule type="cellIs" dxfId="5812" priority="156" operator="between">
      <formula>2.45</formula>
      <formula>2.94</formula>
    </cfRule>
    <cfRule type="cellIs" dxfId="5811" priority="157" operator="greaterThanOrEqual">
      <formula>4.55</formula>
    </cfRule>
    <cfRule type="cellIs" dxfId="5810" priority="158" operator="between">
      <formula>3.95</formula>
      <formula>4.94</formula>
    </cfRule>
    <cfRule type="cellIs" dxfId="5809" priority="159" operator="between">
      <formula>2.95</formula>
      <formula>3.94</formula>
    </cfRule>
    <cfRule type="cellIs" dxfId="5808" priority="160" operator="between">
      <formula>1.95</formula>
      <formula>2.44</formula>
    </cfRule>
    <cfRule type="cellIs" dxfId="5807" priority="161" operator="lessThanOrEqual">
      <formula>1.94</formula>
    </cfRule>
  </conditionalFormatting>
  <conditionalFormatting sqref="T29">
    <cfRule type="cellIs" dxfId="5806" priority="148" operator="equal">
      <formula>"N/A"</formula>
    </cfRule>
    <cfRule type="cellIs" dxfId="5805" priority="149" operator="between">
      <formula>2.45</formula>
      <formula>2.94</formula>
    </cfRule>
    <cfRule type="cellIs" dxfId="5804" priority="150" operator="greaterThanOrEqual">
      <formula>4.55</formula>
    </cfRule>
    <cfRule type="cellIs" dxfId="5803" priority="151" operator="between">
      <formula>3.95</formula>
      <formula>4.94</formula>
    </cfRule>
    <cfRule type="cellIs" dxfId="5802" priority="152" operator="between">
      <formula>2.95</formula>
      <formula>3.94</formula>
    </cfRule>
    <cfRule type="cellIs" dxfId="5801" priority="153" operator="between">
      <formula>1.95</formula>
      <formula>2.44</formula>
    </cfRule>
    <cfRule type="cellIs" dxfId="5800" priority="154" operator="lessThanOrEqual">
      <formula>1.94</formula>
    </cfRule>
  </conditionalFormatting>
  <conditionalFormatting sqref="T30">
    <cfRule type="cellIs" dxfId="5799" priority="141" operator="equal">
      <formula>"N/A"</formula>
    </cfRule>
    <cfRule type="cellIs" dxfId="5798" priority="142" operator="between">
      <formula>2.45</formula>
      <formula>2.94</formula>
    </cfRule>
    <cfRule type="cellIs" dxfId="5797" priority="143" operator="greaterThanOrEqual">
      <formula>4.55</formula>
    </cfRule>
    <cfRule type="cellIs" dxfId="5796" priority="144" operator="between">
      <formula>3.95</formula>
      <formula>4.94</formula>
    </cfRule>
    <cfRule type="cellIs" dxfId="5795" priority="145" operator="between">
      <formula>2.95</formula>
      <formula>3.94</formula>
    </cfRule>
    <cfRule type="cellIs" dxfId="5794" priority="146" operator="between">
      <formula>1.95</formula>
      <formula>2.44</formula>
    </cfRule>
    <cfRule type="cellIs" dxfId="5793" priority="147" operator="lessThanOrEqual">
      <formula>1.94</formula>
    </cfRule>
  </conditionalFormatting>
  <conditionalFormatting sqref="T31">
    <cfRule type="cellIs" dxfId="5792" priority="134" operator="equal">
      <formula>"N/A"</formula>
    </cfRule>
    <cfRule type="cellIs" dxfId="5791" priority="135" operator="between">
      <formula>2.45</formula>
      <formula>2.94</formula>
    </cfRule>
    <cfRule type="cellIs" dxfId="5790" priority="136" operator="greaterThanOrEqual">
      <formula>4.55</formula>
    </cfRule>
    <cfRule type="cellIs" dxfId="5789" priority="137" operator="between">
      <formula>3.95</formula>
      <formula>4.94</formula>
    </cfRule>
    <cfRule type="cellIs" dxfId="5788" priority="138" operator="between">
      <formula>2.95</formula>
      <formula>3.94</formula>
    </cfRule>
    <cfRule type="cellIs" dxfId="5787" priority="139" operator="between">
      <formula>1.95</formula>
      <formula>2.44</formula>
    </cfRule>
    <cfRule type="cellIs" dxfId="5786" priority="140" operator="lessThanOrEqual">
      <formula>1.94</formula>
    </cfRule>
  </conditionalFormatting>
  <conditionalFormatting sqref="T25:T26">
    <cfRule type="cellIs" dxfId="5785" priority="127" operator="equal">
      <formula>"N/A"</formula>
    </cfRule>
    <cfRule type="cellIs" dxfId="5784" priority="128" operator="between">
      <formula>2.45</formula>
      <formula>2.94</formula>
    </cfRule>
    <cfRule type="cellIs" dxfId="5783" priority="129" operator="greaterThanOrEqual">
      <formula>4.55</formula>
    </cfRule>
    <cfRule type="cellIs" dxfId="5782" priority="130" operator="between">
      <formula>3.95</formula>
      <formula>4.94</formula>
    </cfRule>
    <cfRule type="cellIs" dxfId="5781" priority="131" operator="between">
      <formula>2.95</formula>
      <formula>3.94</formula>
    </cfRule>
    <cfRule type="cellIs" dxfId="5780" priority="132" operator="between">
      <formula>1.95</formula>
      <formula>2.44</formula>
    </cfRule>
    <cfRule type="cellIs" dxfId="5779" priority="133" operator="lessThanOrEqual">
      <formula>1.94</formula>
    </cfRule>
  </conditionalFormatting>
  <conditionalFormatting sqref="T32:T36">
    <cfRule type="cellIs" dxfId="5778" priority="120" operator="equal">
      <formula>"N/A"</formula>
    </cfRule>
    <cfRule type="cellIs" dxfId="5777" priority="121" operator="between">
      <formula>2.45</formula>
      <formula>2.94</formula>
    </cfRule>
    <cfRule type="cellIs" dxfId="5776" priority="122" operator="greaterThanOrEqual">
      <formula>4.55</formula>
    </cfRule>
    <cfRule type="cellIs" dxfId="5775" priority="123" operator="between">
      <formula>3.95</formula>
      <formula>4.94</formula>
    </cfRule>
    <cfRule type="cellIs" dxfId="5774" priority="124" operator="between">
      <formula>2.95</formula>
      <formula>3.94</formula>
    </cfRule>
    <cfRule type="cellIs" dxfId="5773" priority="125" operator="between">
      <formula>1.95</formula>
      <formula>2.44</formula>
    </cfRule>
    <cfRule type="cellIs" dxfId="5772" priority="126" operator="lessThanOrEqual">
      <formula>1.94</formula>
    </cfRule>
  </conditionalFormatting>
  <conditionalFormatting sqref="T37">
    <cfRule type="cellIs" dxfId="5771" priority="113" operator="equal">
      <formula>"N/A"</formula>
    </cfRule>
    <cfRule type="cellIs" dxfId="5770" priority="114" operator="between">
      <formula>2.45</formula>
      <formula>2.94</formula>
    </cfRule>
    <cfRule type="cellIs" dxfId="5769" priority="115" operator="greaterThanOrEqual">
      <formula>4.55</formula>
    </cfRule>
    <cfRule type="cellIs" dxfId="5768" priority="116" operator="between">
      <formula>3.95</formula>
      <formula>4.94</formula>
    </cfRule>
    <cfRule type="cellIs" dxfId="5767" priority="117" operator="between">
      <formula>2.95</formula>
      <formula>3.94</formula>
    </cfRule>
    <cfRule type="cellIs" dxfId="5766" priority="118" operator="between">
      <formula>1.95</formula>
      <formula>2.44</formula>
    </cfRule>
    <cfRule type="cellIs" dxfId="5765" priority="119" operator="lessThanOrEqual">
      <formula>1.94</formula>
    </cfRule>
  </conditionalFormatting>
  <conditionalFormatting sqref="U17:U24">
    <cfRule type="cellIs" dxfId="5764" priority="106" operator="equal">
      <formula>"N/A"</formula>
    </cfRule>
    <cfRule type="cellIs" dxfId="5763" priority="107" operator="between">
      <formula>2.45</formula>
      <formula>2.94</formula>
    </cfRule>
    <cfRule type="cellIs" dxfId="5762" priority="108" operator="greaterThanOrEqual">
      <formula>4.55</formula>
    </cfRule>
    <cfRule type="cellIs" dxfId="5761" priority="109" operator="between">
      <formula>3.95</formula>
      <formula>4.94</formula>
    </cfRule>
    <cfRule type="cellIs" dxfId="5760" priority="110" operator="between">
      <formula>2.95</formula>
      <formula>3.94</formula>
    </cfRule>
    <cfRule type="cellIs" dxfId="5759" priority="111" operator="between">
      <formula>1.95</formula>
      <formula>2.44</formula>
    </cfRule>
    <cfRule type="cellIs" dxfId="5758" priority="112" operator="lessThanOrEqual">
      <formula>1.94</formula>
    </cfRule>
  </conditionalFormatting>
  <conditionalFormatting sqref="U28">
    <cfRule type="cellIs" dxfId="5757" priority="99" operator="equal">
      <formula>"N/A"</formula>
    </cfRule>
    <cfRule type="cellIs" dxfId="5756" priority="100" operator="between">
      <formula>2.45</formula>
      <formula>2.94</formula>
    </cfRule>
    <cfRule type="cellIs" dxfId="5755" priority="101" operator="greaterThanOrEqual">
      <formula>4.55</formula>
    </cfRule>
    <cfRule type="cellIs" dxfId="5754" priority="102" operator="between">
      <formula>3.95</formula>
      <formula>4.94</formula>
    </cfRule>
    <cfRule type="cellIs" dxfId="5753" priority="103" operator="between">
      <formula>2.95</formula>
      <formula>3.94</formula>
    </cfRule>
    <cfRule type="cellIs" dxfId="5752" priority="104" operator="between">
      <formula>1.95</formula>
      <formula>2.44</formula>
    </cfRule>
    <cfRule type="cellIs" dxfId="5751" priority="105" operator="lessThanOrEqual">
      <formula>1.94</formula>
    </cfRule>
  </conditionalFormatting>
  <conditionalFormatting sqref="U29">
    <cfRule type="cellIs" dxfId="5750" priority="92" operator="equal">
      <formula>"N/A"</formula>
    </cfRule>
    <cfRule type="cellIs" dxfId="5749" priority="93" operator="between">
      <formula>2.45</formula>
      <formula>2.94</formula>
    </cfRule>
    <cfRule type="cellIs" dxfId="5748" priority="94" operator="greaterThanOrEqual">
      <formula>4.55</formula>
    </cfRule>
    <cfRule type="cellIs" dxfId="5747" priority="95" operator="between">
      <formula>3.95</formula>
      <formula>4.94</formula>
    </cfRule>
    <cfRule type="cellIs" dxfId="5746" priority="96" operator="between">
      <formula>2.95</formula>
      <formula>3.94</formula>
    </cfRule>
    <cfRule type="cellIs" dxfId="5745" priority="97" operator="between">
      <formula>1.95</formula>
      <formula>2.44</formula>
    </cfRule>
    <cfRule type="cellIs" dxfId="5744" priority="98" operator="lessThanOrEqual">
      <formula>1.94</formula>
    </cfRule>
  </conditionalFormatting>
  <conditionalFormatting sqref="U30">
    <cfRule type="cellIs" dxfId="5743" priority="85" operator="equal">
      <formula>"N/A"</formula>
    </cfRule>
    <cfRule type="cellIs" dxfId="5742" priority="86" operator="between">
      <formula>2.45</formula>
      <formula>2.94</formula>
    </cfRule>
    <cfRule type="cellIs" dxfId="5741" priority="87" operator="greaterThanOrEqual">
      <formula>4.55</formula>
    </cfRule>
    <cfRule type="cellIs" dxfId="5740" priority="88" operator="between">
      <formula>3.95</formula>
      <formula>4.94</formula>
    </cfRule>
    <cfRule type="cellIs" dxfId="5739" priority="89" operator="between">
      <formula>2.95</formula>
      <formula>3.94</formula>
    </cfRule>
    <cfRule type="cellIs" dxfId="5738" priority="90" operator="between">
      <formula>1.95</formula>
      <formula>2.44</formula>
    </cfRule>
    <cfRule type="cellIs" dxfId="5737" priority="91" operator="lessThanOrEqual">
      <formula>1.94</formula>
    </cfRule>
  </conditionalFormatting>
  <conditionalFormatting sqref="U31">
    <cfRule type="cellIs" dxfId="5736" priority="78" operator="equal">
      <formula>"N/A"</formula>
    </cfRule>
    <cfRule type="cellIs" dxfId="5735" priority="79" operator="between">
      <formula>2.45</formula>
      <formula>2.94</formula>
    </cfRule>
    <cfRule type="cellIs" dxfId="5734" priority="80" operator="greaterThanOrEqual">
      <formula>4.55</formula>
    </cfRule>
    <cfRule type="cellIs" dxfId="5733" priority="81" operator="between">
      <formula>3.95</formula>
      <formula>4.94</formula>
    </cfRule>
    <cfRule type="cellIs" dxfId="5732" priority="82" operator="between">
      <formula>2.95</formula>
      <formula>3.94</formula>
    </cfRule>
    <cfRule type="cellIs" dxfId="5731" priority="83" operator="between">
      <formula>1.95</formula>
      <formula>2.44</formula>
    </cfRule>
    <cfRule type="cellIs" dxfId="5730" priority="84" operator="lessThanOrEqual">
      <formula>1.94</formula>
    </cfRule>
  </conditionalFormatting>
  <conditionalFormatting sqref="U25:U26">
    <cfRule type="cellIs" dxfId="5729" priority="71" operator="equal">
      <formula>"N/A"</formula>
    </cfRule>
    <cfRule type="cellIs" dxfId="5728" priority="72" operator="between">
      <formula>2.45</formula>
      <formula>2.94</formula>
    </cfRule>
    <cfRule type="cellIs" dxfId="5727" priority="73" operator="greaterThanOrEqual">
      <formula>4.55</formula>
    </cfRule>
    <cfRule type="cellIs" dxfId="5726" priority="74" operator="between">
      <formula>3.95</formula>
      <formula>4.94</formula>
    </cfRule>
    <cfRule type="cellIs" dxfId="5725" priority="75" operator="between">
      <formula>2.95</formula>
      <formula>3.94</formula>
    </cfRule>
    <cfRule type="cellIs" dxfId="5724" priority="76" operator="between">
      <formula>1.95</formula>
      <formula>2.44</formula>
    </cfRule>
    <cfRule type="cellIs" dxfId="5723" priority="77" operator="lessThanOrEqual">
      <formula>1.94</formula>
    </cfRule>
  </conditionalFormatting>
  <conditionalFormatting sqref="U32:U36">
    <cfRule type="cellIs" dxfId="5722" priority="64" operator="equal">
      <formula>"N/A"</formula>
    </cfRule>
    <cfRule type="cellIs" dxfId="5721" priority="65" operator="between">
      <formula>2.45</formula>
      <formula>2.94</formula>
    </cfRule>
    <cfRule type="cellIs" dxfId="5720" priority="66" operator="greaterThanOrEqual">
      <formula>4.55</formula>
    </cfRule>
    <cfRule type="cellIs" dxfId="5719" priority="67" operator="between">
      <formula>3.95</formula>
      <formula>4.94</formula>
    </cfRule>
    <cfRule type="cellIs" dxfId="5718" priority="68" operator="between">
      <formula>2.95</formula>
      <formula>3.94</formula>
    </cfRule>
    <cfRule type="cellIs" dxfId="5717" priority="69" operator="between">
      <formula>1.95</formula>
      <formula>2.44</formula>
    </cfRule>
    <cfRule type="cellIs" dxfId="5716" priority="70" operator="lessThanOrEqual">
      <formula>1.94</formula>
    </cfRule>
  </conditionalFormatting>
  <conditionalFormatting sqref="U37">
    <cfRule type="cellIs" dxfId="5715" priority="57" operator="equal">
      <formula>"N/A"</formula>
    </cfRule>
    <cfRule type="cellIs" dxfId="5714" priority="58" operator="between">
      <formula>2.45</formula>
      <formula>2.94</formula>
    </cfRule>
    <cfRule type="cellIs" dxfId="5713" priority="59" operator="greaterThanOrEqual">
      <formula>4.55</formula>
    </cfRule>
    <cfRule type="cellIs" dxfId="5712" priority="60" operator="between">
      <formula>3.95</formula>
      <formula>4.94</formula>
    </cfRule>
    <cfRule type="cellIs" dxfId="5711" priority="61" operator="between">
      <formula>2.95</formula>
      <formula>3.94</formula>
    </cfRule>
    <cfRule type="cellIs" dxfId="5710" priority="62" operator="between">
      <formula>1.95</formula>
      <formula>2.44</formula>
    </cfRule>
    <cfRule type="cellIs" dxfId="5709" priority="63" operator="lessThanOrEqual">
      <formula>1.94</formula>
    </cfRule>
  </conditionalFormatting>
  <conditionalFormatting sqref="V17:V24">
    <cfRule type="cellIs" dxfId="5708" priority="50" operator="equal">
      <formula>"N/A"</formula>
    </cfRule>
    <cfRule type="cellIs" dxfId="5707" priority="51" operator="between">
      <formula>2.45</formula>
      <formula>2.94</formula>
    </cfRule>
    <cfRule type="cellIs" dxfId="5706" priority="52" operator="greaterThanOrEqual">
      <formula>4.55</formula>
    </cfRule>
    <cfRule type="cellIs" dxfId="5705" priority="53" operator="between">
      <formula>3.95</formula>
      <formula>4.94</formula>
    </cfRule>
    <cfRule type="cellIs" dxfId="5704" priority="54" operator="between">
      <formula>2.95</formula>
      <formula>3.94</formula>
    </cfRule>
    <cfRule type="cellIs" dxfId="5703" priority="55" operator="between">
      <formula>1.95</formula>
      <formula>2.44</formula>
    </cfRule>
    <cfRule type="cellIs" dxfId="5702" priority="56" operator="lessThanOrEqual">
      <formula>1.94</formula>
    </cfRule>
  </conditionalFormatting>
  <conditionalFormatting sqref="V28">
    <cfRule type="cellIs" dxfId="5701" priority="43" operator="equal">
      <formula>"N/A"</formula>
    </cfRule>
    <cfRule type="cellIs" dxfId="5700" priority="44" operator="between">
      <formula>2.45</formula>
      <formula>2.94</formula>
    </cfRule>
    <cfRule type="cellIs" dxfId="5699" priority="45" operator="greaterThanOrEqual">
      <formula>4.55</formula>
    </cfRule>
    <cfRule type="cellIs" dxfId="5698" priority="46" operator="between">
      <formula>3.95</formula>
      <formula>4.94</formula>
    </cfRule>
    <cfRule type="cellIs" dxfId="5697" priority="47" operator="between">
      <formula>2.95</formula>
      <formula>3.94</formula>
    </cfRule>
    <cfRule type="cellIs" dxfId="5696" priority="48" operator="between">
      <formula>1.95</formula>
      <formula>2.44</formula>
    </cfRule>
    <cfRule type="cellIs" dxfId="5695" priority="49" operator="lessThanOrEqual">
      <formula>1.94</formula>
    </cfRule>
  </conditionalFormatting>
  <conditionalFormatting sqref="V29">
    <cfRule type="cellIs" dxfId="5694" priority="36" operator="equal">
      <formula>"N/A"</formula>
    </cfRule>
    <cfRule type="cellIs" dxfId="5693" priority="37" operator="between">
      <formula>2.45</formula>
      <formula>2.94</formula>
    </cfRule>
    <cfRule type="cellIs" dxfId="5692" priority="38" operator="greaterThanOrEqual">
      <formula>4.55</formula>
    </cfRule>
    <cfRule type="cellIs" dxfId="5691" priority="39" operator="between">
      <formula>3.95</formula>
      <formula>4.94</formula>
    </cfRule>
    <cfRule type="cellIs" dxfId="5690" priority="40" operator="between">
      <formula>2.95</formula>
      <formula>3.94</formula>
    </cfRule>
    <cfRule type="cellIs" dxfId="5689" priority="41" operator="between">
      <formula>1.95</formula>
      <formula>2.44</formula>
    </cfRule>
    <cfRule type="cellIs" dxfId="5688" priority="42" operator="lessThanOrEqual">
      <formula>1.94</formula>
    </cfRule>
  </conditionalFormatting>
  <conditionalFormatting sqref="V30">
    <cfRule type="cellIs" dxfId="5687" priority="29" operator="equal">
      <formula>"N/A"</formula>
    </cfRule>
    <cfRule type="cellIs" dxfId="5686" priority="30" operator="between">
      <formula>2.45</formula>
      <formula>2.94</formula>
    </cfRule>
    <cfRule type="cellIs" dxfId="5685" priority="31" operator="greaterThanOrEqual">
      <formula>4.55</formula>
    </cfRule>
    <cfRule type="cellIs" dxfId="5684" priority="32" operator="between">
      <formula>3.95</formula>
      <formula>4.94</formula>
    </cfRule>
    <cfRule type="cellIs" dxfId="5683" priority="33" operator="between">
      <formula>2.95</formula>
      <formula>3.94</formula>
    </cfRule>
    <cfRule type="cellIs" dxfId="5682" priority="34" operator="between">
      <formula>1.95</formula>
      <formula>2.44</formula>
    </cfRule>
    <cfRule type="cellIs" dxfId="5681" priority="35" operator="lessThanOrEqual">
      <formula>1.94</formula>
    </cfRule>
  </conditionalFormatting>
  <conditionalFormatting sqref="V31">
    <cfRule type="cellIs" dxfId="5680" priority="22" operator="equal">
      <formula>"N/A"</formula>
    </cfRule>
    <cfRule type="cellIs" dxfId="5679" priority="23" operator="between">
      <formula>2.45</formula>
      <formula>2.94</formula>
    </cfRule>
    <cfRule type="cellIs" dxfId="5678" priority="24" operator="greaterThanOrEqual">
      <formula>4.55</formula>
    </cfRule>
    <cfRule type="cellIs" dxfId="5677" priority="25" operator="between">
      <formula>3.95</formula>
      <formula>4.94</formula>
    </cfRule>
    <cfRule type="cellIs" dxfId="5676" priority="26" operator="between">
      <formula>2.95</formula>
      <formula>3.94</formula>
    </cfRule>
    <cfRule type="cellIs" dxfId="5675" priority="27" operator="between">
      <formula>1.95</formula>
      <formula>2.44</formula>
    </cfRule>
    <cfRule type="cellIs" dxfId="5674" priority="28" operator="lessThanOrEqual">
      <formula>1.94</formula>
    </cfRule>
  </conditionalFormatting>
  <conditionalFormatting sqref="V25:V26">
    <cfRule type="cellIs" dxfId="5673" priority="15" operator="equal">
      <formula>"N/A"</formula>
    </cfRule>
    <cfRule type="cellIs" dxfId="5672" priority="16" operator="between">
      <formula>2.45</formula>
      <formula>2.94</formula>
    </cfRule>
    <cfRule type="cellIs" dxfId="5671" priority="17" operator="greaterThanOrEqual">
      <formula>4.55</formula>
    </cfRule>
    <cfRule type="cellIs" dxfId="5670" priority="18" operator="between">
      <formula>3.95</formula>
      <formula>4.94</formula>
    </cfRule>
    <cfRule type="cellIs" dxfId="5669" priority="19" operator="between">
      <formula>2.95</formula>
      <formula>3.94</formula>
    </cfRule>
    <cfRule type="cellIs" dxfId="5668" priority="20" operator="between">
      <formula>1.95</formula>
      <formula>2.44</formula>
    </cfRule>
    <cfRule type="cellIs" dxfId="5667" priority="21" operator="lessThanOrEqual">
      <formula>1.94</formula>
    </cfRule>
  </conditionalFormatting>
  <conditionalFormatting sqref="V32:V36">
    <cfRule type="cellIs" dxfId="5666" priority="8" operator="equal">
      <formula>"N/A"</formula>
    </cfRule>
    <cfRule type="cellIs" dxfId="5665" priority="9" operator="between">
      <formula>2.45</formula>
      <formula>2.94</formula>
    </cfRule>
    <cfRule type="cellIs" dxfId="5664" priority="10" operator="greaterThanOrEqual">
      <formula>4.55</formula>
    </cfRule>
    <cfRule type="cellIs" dxfId="5663" priority="11" operator="between">
      <formula>3.95</formula>
      <formula>4.94</formula>
    </cfRule>
    <cfRule type="cellIs" dxfId="5662" priority="12" operator="between">
      <formula>2.95</formula>
      <formula>3.94</formula>
    </cfRule>
    <cfRule type="cellIs" dxfId="5661" priority="13" operator="between">
      <formula>1.95</formula>
      <formula>2.44</formula>
    </cfRule>
    <cfRule type="cellIs" dxfId="5660" priority="14" operator="lessThanOrEqual">
      <formula>1.94</formula>
    </cfRule>
  </conditionalFormatting>
  <conditionalFormatting sqref="V37">
    <cfRule type="cellIs" dxfId="5659" priority="1" operator="equal">
      <formula>"N/A"</formula>
    </cfRule>
    <cfRule type="cellIs" dxfId="5658" priority="2" operator="between">
      <formula>2.45</formula>
      <formula>2.94</formula>
    </cfRule>
    <cfRule type="cellIs" dxfId="5657" priority="3" operator="greaterThanOrEqual">
      <formula>4.55</formula>
    </cfRule>
    <cfRule type="cellIs" dxfId="5656" priority="4" operator="between">
      <formula>3.95</formula>
      <formula>4.94</formula>
    </cfRule>
    <cfRule type="cellIs" dxfId="5655" priority="5" operator="between">
      <formula>2.95</formula>
      <formula>3.94</formula>
    </cfRule>
    <cfRule type="cellIs" dxfId="5654" priority="6" operator="between">
      <formula>1.95</formula>
      <formula>2.44</formula>
    </cfRule>
    <cfRule type="cellIs" dxfId="5653" priority="7" operator="lessThanOrEqual">
      <formula>1.94</formula>
    </cfRule>
  </conditionalFormatting>
  <pageMargins left="0.70866141732283472" right="0.70866141732283472" top="0.61" bottom="0.51" header="0.31496062992125984" footer="0.31496062992125984"/>
  <pageSetup paperSize="9" scale="10" orientation="portrait" r:id="rId1"/>
  <headerFooter>
    <oddHeader>&amp;RInformation Classification: SEC2 Customer Confidential</oddHeader>
    <oddFooter>&amp;LFIle: &amp;F&amp;RPage: &amp;P/&amp;N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G47"/>
  <sheetViews>
    <sheetView zoomScale="79" zoomScaleNormal="79" zoomScalePageLayoutView="45" workbookViewId="0"/>
  </sheetViews>
  <sheetFormatPr defaultColWidth="9.109375" defaultRowHeight="14.4" x14ac:dyDescent="0.3"/>
  <cols>
    <col min="1" max="1" width="3" style="23" customWidth="1"/>
    <col min="2" max="2" width="19.88671875" style="23" customWidth="1"/>
    <col min="3" max="3" width="18.6640625" style="23" customWidth="1"/>
    <col min="4" max="4" width="18.5546875" style="23" customWidth="1"/>
    <col min="5" max="16" width="19.33203125" style="23" customWidth="1"/>
    <col min="17" max="17" width="19.44140625" style="23" customWidth="1"/>
    <col min="18" max="22" width="19.33203125" style="23" customWidth="1"/>
    <col min="23" max="16384" width="9.109375" style="23"/>
  </cols>
  <sheetData>
    <row r="1" spans="1:32" x14ac:dyDescent="0.3">
      <c r="A1" s="23" t="s">
        <v>18</v>
      </c>
      <c r="B1" s="23" t="s">
        <v>18</v>
      </c>
    </row>
    <row r="2" spans="1:32" s="3" customFormat="1" ht="25.8" x14ac:dyDescent="0.5">
      <c r="A2" s="143"/>
      <c r="B2" s="344" t="s">
        <v>513</v>
      </c>
      <c r="C2" s="344"/>
      <c r="D2" s="344"/>
      <c r="E2" s="344"/>
      <c r="F2" s="344"/>
      <c r="G2" s="344"/>
      <c r="H2" s="143"/>
      <c r="I2" s="143"/>
      <c r="J2" s="143"/>
      <c r="K2" s="143"/>
    </row>
    <row r="3" spans="1:32" s="1" customFormat="1" ht="7.5" customHeight="1" x14ac:dyDescent="0.35">
      <c r="A3" s="144"/>
      <c r="B3" s="145"/>
      <c r="C3" s="145"/>
      <c r="D3" s="145"/>
      <c r="E3" s="145"/>
      <c r="F3" s="145"/>
      <c r="G3" s="145"/>
      <c r="H3" s="145"/>
      <c r="I3" s="145"/>
      <c r="J3" s="145"/>
      <c r="K3" s="145"/>
    </row>
    <row r="4" spans="1:32" s="1" customFormat="1" ht="15.6" x14ac:dyDescent="0.3">
      <c r="A4" s="345" t="s">
        <v>4</v>
      </c>
      <c r="B4" s="345"/>
      <c r="C4" s="345"/>
      <c r="D4" s="345"/>
      <c r="E4" s="146"/>
      <c r="F4" s="145"/>
      <c r="G4" s="145"/>
      <c r="H4" s="145"/>
      <c r="I4" s="145"/>
      <c r="J4" s="145"/>
      <c r="K4" s="145"/>
    </row>
    <row r="5" spans="1:32" s="1" customFormat="1" ht="15" customHeight="1" x14ac:dyDescent="0.3">
      <c r="A5" s="145"/>
      <c r="B5" s="147"/>
      <c r="C5" s="355" t="s">
        <v>454</v>
      </c>
      <c r="D5" s="356"/>
      <c r="E5" s="362" t="str">
        <f>'Report (OMMi) - Var 1'!E5:G5</f>
        <v>A Big Important Account</v>
      </c>
      <c r="F5" s="362"/>
      <c r="G5" s="362"/>
      <c r="H5" s="145" t="s">
        <v>445</v>
      </c>
      <c r="I5" s="145"/>
      <c r="J5" s="145"/>
    </row>
    <row r="6" spans="1:32" s="1" customFormat="1" x14ac:dyDescent="0.3">
      <c r="A6" s="346" t="s">
        <v>443</v>
      </c>
      <c r="B6" s="346"/>
      <c r="C6" s="346"/>
      <c r="D6" s="346"/>
      <c r="E6" s="362" t="str">
        <f>'Report (OMMi) - Var 1'!E6:G6</f>
        <v>A.N Other</v>
      </c>
      <c r="F6" s="362"/>
      <c r="G6" s="362"/>
      <c r="H6" s="145"/>
    </row>
    <row r="7" spans="1:32" s="1" customFormat="1" x14ac:dyDescent="0.3">
      <c r="A7" s="252"/>
      <c r="B7" s="252"/>
      <c r="C7" s="252"/>
      <c r="D7" s="253" t="s">
        <v>6</v>
      </c>
      <c r="E7" s="363">
        <f>'Report (OMMi) - Var 1'!E7:G7</f>
        <v>43497</v>
      </c>
      <c r="F7" s="363"/>
      <c r="G7" s="363"/>
      <c r="H7" s="145"/>
      <c r="I7" s="145"/>
      <c r="J7" s="145"/>
      <c r="K7" s="145"/>
    </row>
    <row r="8" spans="1:32" s="1" customFormat="1" x14ac:dyDescent="0.3">
      <c r="A8" s="252"/>
      <c r="B8" s="252"/>
      <c r="C8" s="252"/>
      <c r="D8" s="253" t="s">
        <v>35</v>
      </c>
      <c r="E8" s="362" t="str">
        <f>'Report (OMMi) - Var 1'!E8:G8</f>
        <v>A999999</v>
      </c>
      <c r="F8" s="362"/>
      <c r="G8" s="362"/>
      <c r="H8" s="145"/>
      <c r="I8" s="145"/>
      <c r="J8" s="145"/>
      <c r="K8" s="145"/>
    </row>
    <row r="9" spans="1:32" s="1" customFormat="1" ht="17.25" customHeight="1" x14ac:dyDescent="0.35">
      <c r="A9" s="144"/>
      <c r="B9" s="145"/>
      <c r="C9" s="145"/>
      <c r="D9" s="145"/>
      <c r="E9" s="145"/>
      <c r="F9" s="145"/>
      <c r="G9" s="145"/>
      <c r="H9" s="145"/>
      <c r="I9" s="145"/>
      <c r="J9" s="145"/>
      <c r="K9" s="145"/>
    </row>
    <row r="10" spans="1:32" ht="15.6" x14ac:dyDescent="0.3">
      <c r="A10" s="151"/>
      <c r="B10" s="358" t="str">
        <f>"Account: "&amp;E5&amp;" Overall OMMi Score"</f>
        <v>Account: A Big Important Account Overall OMMi Score</v>
      </c>
      <c r="C10" s="359"/>
      <c r="D10" s="360"/>
      <c r="E10" s="210" t="str">
        <f>'Report (OMMi) - Var 1'!E10</f>
        <v>N/A</v>
      </c>
      <c r="F10" s="145"/>
      <c r="G10" s="145"/>
      <c r="H10" s="151"/>
      <c r="I10" s="145"/>
      <c r="J10" s="151"/>
      <c r="K10" s="151"/>
    </row>
    <row r="11" spans="1:32" s="1" customFormat="1" ht="18" x14ac:dyDescent="0.35">
      <c r="A11" s="144"/>
      <c r="B11" s="150"/>
      <c r="C11" s="361" t="s">
        <v>507</v>
      </c>
      <c r="D11" s="361"/>
      <c r="E11" s="145"/>
      <c r="F11" s="145"/>
      <c r="G11" s="145"/>
      <c r="H11" s="207" t="str">
        <f t="shared" ref="H11:P11" si="0">IFERROR(AVERAGE(H17:H20),"N/A")</f>
        <v>N/A</v>
      </c>
      <c r="I11" s="207" t="str">
        <f t="shared" si="0"/>
        <v>N/A</v>
      </c>
      <c r="J11" s="207" t="str">
        <f t="shared" si="0"/>
        <v>N/A</v>
      </c>
      <c r="K11" s="207" t="str">
        <f t="shared" si="0"/>
        <v>N/A</v>
      </c>
      <c r="L11" s="207" t="str">
        <f t="shared" si="0"/>
        <v>N/A</v>
      </c>
      <c r="M11" s="207" t="str">
        <f t="shared" si="0"/>
        <v>N/A</v>
      </c>
      <c r="N11" s="207" t="str">
        <f t="shared" si="0"/>
        <v>N/A</v>
      </c>
      <c r="O11" s="207" t="str">
        <f t="shared" si="0"/>
        <v>N/A</v>
      </c>
      <c r="P11" s="207" t="str">
        <f t="shared" si="0"/>
        <v>N/A</v>
      </c>
      <c r="Q11" s="145"/>
      <c r="R11" s="145"/>
      <c r="S11" s="203"/>
    </row>
    <row r="12" spans="1:32" ht="15.6" x14ac:dyDescent="0.3">
      <c r="A12" s="151"/>
      <c r="B12" s="347" t="s">
        <v>662</v>
      </c>
      <c r="C12" s="348"/>
      <c r="D12" s="349"/>
      <c r="E12" s="204" t="s">
        <v>506</v>
      </c>
      <c r="F12" s="142" t="str">
        <f>'Report (OMMi) - Var 1'!F12</f>
        <v>N/A</v>
      </c>
      <c r="G12" s="142" t="str">
        <f>'Report (OMMi) - Var 1'!H12</f>
        <v>N/A</v>
      </c>
      <c r="H12" s="142" t="str">
        <f>'Report (OMMi) - Var 1'!I12</f>
        <v>N/A</v>
      </c>
      <c r="I12" s="142" t="str">
        <f>'Report (OMMi) - Var 1'!J12</f>
        <v>N/A</v>
      </c>
      <c r="J12" s="142" t="str">
        <f>'Report (OMMi) - Var 1'!K12</f>
        <v>N/A</v>
      </c>
      <c r="K12" s="142" t="str">
        <f>'Report (OMMi) - Var 1'!L12</f>
        <v>N/A</v>
      </c>
      <c r="L12" s="142" t="str">
        <f>'Report (OMMi) - Var 1'!M12</f>
        <v>N/A</v>
      </c>
      <c r="M12" s="142" t="str">
        <f>'Report (OMMi) - Var 1'!N12</f>
        <v>N/A</v>
      </c>
      <c r="N12" s="142" t="str">
        <f>'Report (OMMi) - Var 1'!O12</f>
        <v>N/A</v>
      </c>
      <c r="O12" s="142" t="str">
        <f>'Report (OMMi) - Var 1'!P12</f>
        <v>N/A</v>
      </c>
      <c r="P12" s="142" t="str">
        <f>'Report (OMMi) - Var 1'!Q12</f>
        <v>N/A</v>
      </c>
      <c r="Q12" s="142" t="str">
        <f>'Report (OMMi) - Var 1'!R12</f>
        <v>N/A</v>
      </c>
      <c r="R12" s="142" t="str">
        <f>'Report (OMMi) - Var 1'!S12</f>
        <v>N/A</v>
      </c>
      <c r="S12" s="142" t="str">
        <f>'Report (OMMi) - Var 1'!T12</f>
        <v>N/A</v>
      </c>
      <c r="T12" s="142" t="str">
        <f>'Report (OMMi) - Var 1'!U12</f>
        <v>N/A</v>
      </c>
      <c r="U12" s="142" t="str">
        <f>'Report (OMMi) - Var 1'!V12</f>
        <v>N/A</v>
      </c>
      <c r="V12" s="145"/>
      <c r="W12" s="151"/>
      <c r="X12" s="151"/>
    </row>
    <row r="13" spans="1:32" ht="6.75" customHeight="1" x14ac:dyDescent="0.3">
      <c r="A13" s="151"/>
      <c r="B13" s="152"/>
      <c r="C13" s="152"/>
      <c r="D13" s="152"/>
      <c r="E13" s="153"/>
      <c r="F13" s="153"/>
      <c r="G13" s="153"/>
      <c r="H13" s="145"/>
      <c r="I13" s="145"/>
      <c r="J13" s="145"/>
      <c r="K13" s="145"/>
      <c r="L13" s="145"/>
      <c r="M13" s="145"/>
      <c r="N13" s="145"/>
      <c r="O13" s="145"/>
      <c r="P13" s="145"/>
      <c r="Q13" s="145"/>
      <c r="R13" s="145"/>
      <c r="S13" s="145"/>
      <c r="T13" s="145"/>
      <c r="U13" s="145"/>
      <c r="V13" s="145"/>
      <c r="W13" s="151"/>
      <c r="X13" s="151"/>
    </row>
    <row r="14" spans="1:32" ht="18" x14ac:dyDescent="0.3">
      <c r="A14" s="151"/>
      <c r="B14" s="152"/>
      <c r="C14" s="357"/>
      <c r="D14" s="357"/>
      <c r="E14" s="334" t="s">
        <v>773</v>
      </c>
      <c r="F14" s="210" t="s">
        <v>504</v>
      </c>
      <c r="G14" s="332" t="s">
        <v>684</v>
      </c>
      <c r="H14" s="333"/>
      <c r="I14" s="333"/>
      <c r="J14" s="333"/>
      <c r="K14" s="333"/>
      <c r="L14" s="333"/>
      <c r="M14" s="333"/>
      <c r="N14" s="333"/>
      <c r="O14" s="333"/>
      <c r="P14" s="333"/>
      <c r="Q14" s="333"/>
      <c r="R14" s="333"/>
      <c r="S14" s="333"/>
      <c r="T14" s="333"/>
      <c r="U14" s="333"/>
      <c r="V14" s="145"/>
      <c r="W14" s="151"/>
      <c r="X14" s="151"/>
    </row>
    <row r="15" spans="1:32" ht="18" x14ac:dyDescent="0.35">
      <c r="A15" s="144"/>
      <c r="B15" s="350"/>
      <c r="C15" s="350"/>
      <c r="D15" s="351"/>
      <c r="E15" s="335"/>
      <c r="F15" s="257" t="str">
        <f>'Report (OMMi) - Var 1'!F15</f>
        <v>ODM: A.N Other</v>
      </c>
      <c r="G15" s="257" t="str">
        <f>'Report (OMMi) - Var 1'!H15</f>
        <v>Subject 1</v>
      </c>
      <c r="H15" s="257" t="str">
        <f>'Report (OMMi) - Var 1'!I15</f>
        <v>Subject 2</v>
      </c>
      <c r="I15" s="257" t="str">
        <f>'Report (OMMi) - Var 1'!J15</f>
        <v>Subject 3</v>
      </c>
      <c r="J15" s="257" t="str">
        <f>'Report (OMMi) - Var 1'!K15</f>
        <v>Subject 4</v>
      </c>
      <c r="K15" s="257" t="str">
        <f>'Report (OMMi) - Var 1'!L15</f>
        <v>Subject 5</v>
      </c>
      <c r="L15" s="257" t="str">
        <f>'Report (OMMi) - Var 1'!M15</f>
        <v>Subject 6</v>
      </c>
      <c r="M15" s="257" t="str">
        <f>'Report (OMMi) - Var 1'!N15</f>
        <v>Subject 7</v>
      </c>
      <c r="N15" s="257" t="str">
        <f>'Report (OMMi) - Var 1'!O15</f>
        <v xml:space="preserve">Subject 8 </v>
      </c>
      <c r="O15" s="257" t="str">
        <f>'Report (OMMi) - Var 1'!P15</f>
        <v>Subject 9</v>
      </c>
      <c r="P15" s="257" t="str">
        <f>'Report (OMMi) - Var 1'!Q15</f>
        <v>Subject 10</v>
      </c>
      <c r="Q15" s="257" t="str">
        <f>'Report (OMMi) - Var 1'!R15</f>
        <v>Subject 11</v>
      </c>
      <c r="R15" s="257" t="str">
        <f>'Report (OMMi) - Var 1'!S15</f>
        <v>Subject 12</v>
      </c>
      <c r="S15" s="257" t="str">
        <f>'Report (OMMi) - Var 1'!T15</f>
        <v>Subject 13</v>
      </c>
      <c r="T15" s="257" t="str">
        <f>'Report (OMMi) - Var 1'!U15</f>
        <v>Subject 14</v>
      </c>
      <c r="U15" s="257" t="str">
        <f>'Report (OMMi) - Var 1'!V15</f>
        <v>Subject 15</v>
      </c>
      <c r="V15" s="254"/>
      <c r="W15" s="145"/>
      <c r="X15" s="151"/>
      <c r="Y15" s="151"/>
    </row>
    <row r="16" spans="1:32" ht="15" customHeight="1" x14ac:dyDescent="0.3">
      <c r="A16" s="151"/>
      <c r="B16" s="340" t="s">
        <v>5</v>
      </c>
      <c r="C16" s="340"/>
      <c r="D16" s="340"/>
      <c r="E16" s="207" t="str">
        <f>IFERROR(TRUNC(AVERAGE(E17:E26),2), "N/A")</f>
        <v>N/A</v>
      </c>
      <c r="F16" s="235"/>
      <c r="G16" s="236"/>
      <c r="H16" s="236"/>
      <c r="I16" s="236"/>
      <c r="J16" s="236"/>
      <c r="K16" s="236"/>
      <c r="L16" s="236"/>
      <c r="M16" s="236"/>
      <c r="N16" s="236"/>
      <c r="O16" s="236"/>
      <c r="P16" s="236"/>
      <c r="Q16" s="236"/>
      <c r="R16" s="236"/>
      <c r="S16" s="236"/>
      <c r="T16" s="236"/>
      <c r="U16" s="236"/>
      <c r="V16" s="336" t="s">
        <v>452</v>
      </c>
      <c r="W16" s="337"/>
      <c r="X16" s="337"/>
      <c r="Y16" s="337"/>
      <c r="Z16" s="337"/>
      <c r="AA16" s="337"/>
      <c r="AB16" s="337"/>
      <c r="AC16" s="337"/>
      <c r="AD16" s="337"/>
      <c r="AE16" s="337"/>
      <c r="AF16" s="338"/>
    </row>
    <row r="17" spans="1:32" ht="15" customHeight="1" x14ac:dyDescent="0.3">
      <c r="A17" s="151"/>
      <c r="B17" s="329" t="s">
        <v>436</v>
      </c>
      <c r="C17" s="330"/>
      <c r="D17" s="331"/>
      <c r="E17" s="142" t="str">
        <f>'Report (OMMi) - Var 1'!E17</f>
        <v>N/A</v>
      </c>
      <c r="F17" s="142" t="str">
        <f>'Report (OMMi) - Var 1'!F17</f>
        <v>N/A</v>
      </c>
      <c r="G17" s="142" t="str">
        <f>'Report (OMMi) - Var 1'!H17</f>
        <v>N/A</v>
      </c>
      <c r="H17" s="142" t="str">
        <f>'Report (OMMi) - Var 1'!I17</f>
        <v>N/A</v>
      </c>
      <c r="I17" s="142" t="str">
        <f>'Report (OMMi) - Var 1'!J17</f>
        <v>N/A</v>
      </c>
      <c r="J17" s="142" t="str">
        <f>'Report (OMMi) - Var 1'!K17</f>
        <v>N/A</v>
      </c>
      <c r="K17" s="142" t="str">
        <f>'Report (OMMi) - Var 1'!L17</f>
        <v>N/A</v>
      </c>
      <c r="L17" s="142" t="str">
        <f>'Report (OMMi) - Var 1'!M17</f>
        <v>N/A</v>
      </c>
      <c r="M17" s="142" t="str">
        <f>'Report (OMMi) - Var 1'!N17</f>
        <v>N/A</v>
      </c>
      <c r="N17" s="142" t="str">
        <f>'Report (OMMi) - Var 1'!O17</f>
        <v>N/A</v>
      </c>
      <c r="O17" s="142" t="str">
        <f>'Report (OMMi) - Var 1'!P17</f>
        <v>N/A</v>
      </c>
      <c r="P17" s="142" t="str">
        <f>'Report (OMMi) - Var 1'!Q17</f>
        <v>N/A</v>
      </c>
      <c r="Q17" s="142" t="str">
        <f>'Report (OMMi) - Var 1'!R17</f>
        <v>N/A</v>
      </c>
      <c r="R17" s="142" t="str">
        <f>'Report (OMMi) - Var 1'!S17</f>
        <v>N/A</v>
      </c>
      <c r="S17" s="142" t="str">
        <f>'Report (OMMi) - Var 1'!T17</f>
        <v>N/A</v>
      </c>
      <c r="T17" s="142" t="str">
        <f>'Report (OMMi) - Var 1'!U17</f>
        <v>N/A</v>
      </c>
      <c r="U17" s="142" t="str">
        <f>'Report (OMMi) - Var 1'!V17</f>
        <v>N/A</v>
      </c>
      <c r="V17" s="364" t="e">
        <f>'Report (OMMi) - Var 1'!W17:AG17</f>
        <v>#VALUE!</v>
      </c>
      <c r="W17" s="365"/>
      <c r="X17" s="365"/>
      <c r="Y17" s="365"/>
      <c r="Z17" s="365"/>
      <c r="AA17" s="365"/>
      <c r="AB17" s="365"/>
      <c r="AC17" s="365"/>
      <c r="AD17" s="365"/>
      <c r="AE17" s="365"/>
      <c r="AF17" s="366"/>
    </row>
    <row r="18" spans="1:32" ht="15" customHeight="1" x14ac:dyDescent="0.3">
      <c r="A18" s="151"/>
      <c r="B18" s="329" t="s">
        <v>433</v>
      </c>
      <c r="C18" s="330"/>
      <c r="D18" s="331"/>
      <c r="E18" s="142" t="str">
        <f>'Report (OMMi) - Var 1'!E18</f>
        <v>N/A</v>
      </c>
      <c r="F18" s="142" t="str">
        <f>'Report (OMMi) - Var 1'!F18</f>
        <v>N/A</v>
      </c>
      <c r="G18" s="142" t="str">
        <f>'Report (OMMi) - Var 1'!H18</f>
        <v>N/A</v>
      </c>
      <c r="H18" s="142" t="str">
        <f>'Report (OMMi) - Var 1'!I18</f>
        <v>N/A</v>
      </c>
      <c r="I18" s="142" t="str">
        <f>'Report (OMMi) - Var 1'!J18</f>
        <v>N/A</v>
      </c>
      <c r="J18" s="142" t="str">
        <f>'Report (OMMi) - Var 1'!K18</f>
        <v>N/A</v>
      </c>
      <c r="K18" s="142" t="str">
        <f>'Report (OMMi) - Var 1'!L18</f>
        <v>N/A</v>
      </c>
      <c r="L18" s="142" t="str">
        <f>'Report (OMMi) - Var 1'!M18</f>
        <v>N/A</v>
      </c>
      <c r="M18" s="142" t="str">
        <f>'Report (OMMi) - Var 1'!N18</f>
        <v>N/A</v>
      </c>
      <c r="N18" s="142" t="str">
        <f>'Report (OMMi) - Var 1'!O18</f>
        <v>N/A</v>
      </c>
      <c r="O18" s="142" t="str">
        <f>'Report (OMMi) - Var 1'!P18</f>
        <v>N/A</v>
      </c>
      <c r="P18" s="142" t="str">
        <f>'Report (OMMi) - Var 1'!Q18</f>
        <v>N/A</v>
      </c>
      <c r="Q18" s="142" t="str">
        <f>'Report (OMMi) - Var 1'!R18</f>
        <v>N/A</v>
      </c>
      <c r="R18" s="142" t="str">
        <f>'Report (OMMi) - Var 1'!S18</f>
        <v>N/A</v>
      </c>
      <c r="S18" s="142" t="str">
        <f>'Report (OMMi) - Var 1'!T18</f>
        <v>N/A</v>
      </c>
      <c r="T18" s="142" t="str">
        <f>'Report (OMMi) - Var 1'!U18</f>
        <v>N/A</v>
      </c>
      <c r="U18" s="142" t="str">
        <f>'Report (OMMi) - Var 1'!V18</f>
        <v>N/A</v>
      </c>
      <c r="V18" s="364" t="e">
        <f>'Report (OMMi) - Var 1'!W18:AG18</f>
        <v>#VALUE!</v>
      </c>
      <c r="W18" s="365"/>
      <c r="X18" s="365"/>
      <c r="Y18" s="365"/>
      <c r="Z18" s="365"/>
      <c r="AA18" s="365"/>
      <c r="AB18" s="365"/>
      <c r="AC18" s="365"/>
      <c r="AD18" s="365"/>
      <c r="AE18" s="365"/>
      <c r="AF18" s="366"/>
    </row>
    <row r="19" spans="1:32" ht="15" customHeight="1" x14ac:dyDescent="0.3">
      <c r="A19" s="151"/>
      <c r="B19" s="329" t="s">
        <v>434</v>
      </c>
      <c r="C19" s="330"/>
      <c r="D19" s="331"/>
      <c r="E19" s="142" t="str">
        <f>'Report (OMMi) - Var 1'!E19</f>
        <v>N/A</v>
      </c>
      <c r="F19" s="142" t="str">
        <f>'Report (OMMi) - Var 1'!F19</f>
        <v>N/A</v>
      </c>
      <c r="G19" s="142" t="str">
        <f>'Report (OMMi) - Var 1'!H19</f>
        <v>N/A</v>
      </c>
      <c r="H19" s="142" t="str">
        <f>'Report (OMMi) - Var 1'!I19</f>
        <v>N/A</v>
      </c>
      <c r="I19" s="142" t="str">
        <f>'Report (OMMi) - Var 1'!J19</f>
        <v>N/A</v>
      </c>
      <c r="J19" s="142" t="str">
        <f>'Report (OMMi) - Var 1'!K19</f>
        <v>N/A</v>
      </c>
      <c r="K19" s="142" t="str">
        <f>'Report (OMMi) - Var 1'!L19</f>
        <v>N/A</v>
      </c>
      <c r="L19" s="142" t="str">
        <f>'Report (OMMi) - Var 1'!M19</f>
        <v>N/A</v>
      </c>
      <c r="M19" s="142" t="str">
        <f>'Report (OMMi) - Var 1'!N19</f>
        <v>N/A</v>
      </c>
      <c r="N19" s="142" t="str">
        <f>'Report (OMMi) - Var 1'!O19</f>
        <v>N/A</v>
      </c>
      <c r="O19" s="142" t="str">
        <f>'Report (OMMi) - Var 1'!P19</f>
        <v>N/A</v>
      </c>
      <c r="P19" s="142" t="str">
        <f>'Report (OMMi) - Var 1'!Q19</f>
        <v>N/A</v>
      </c>
      <c r="Q19" s="142" t="str">
        <f>'Report (OMMi) - Var 1'!R19</f>
        <v>N/A</v>
      </c>
      <c r="R19" s="142" t="str">
        <f>'Report (OMMi) - Var 1'!S19</f>
        <v>N/A</v>
      </c>
      <c r="S19" s="142" t="str">
        <f>'Report (OMMi) - Var 1'!T19</f>
        <v>N/A</v>
      </c>
      <c r="T19" s="142" t="str">
        <f>'Report (OMMi) - Var 1'!U19</f>
        <v>N/A</v>
      </c>
      <c r="U19" s="142" t="str">
        <f>'Report (OMMi) - Var 1'!V19</f>
        <v>N/A</v>
      </c>
      <c r="V19" s="364" t="e">
        <f>'Report (OMMi) - Var 1'!W19:AG19</f>
        <v>#VALUE!</v>
      </c>
      <c r="W19" s="365"/>
      <c r="X19" s="365"/>
      <c r="Y19" s="365"/>
      <c r="Z19" s="365"/>
      <c r="AA19" s="365"/>
      <c r="AB19" s="365"/>
      <c r="AC19" s="365"/>
      <c r="AD19" s="365"/>
      <c r="AE19" s="365"/>
      <c r="AF19" s="366"/>
    </row>
    <row r="20" spans="1:32" ht="15" customHeight="1" x14ac:dyDescent="0.3">
      <c r="A20" s="151"/>
      <c r="B20" s="329" t="s">
        <v>435</v>
      </c>
      <c r="C20" s="330"/>
      <c r="D20" s="331"/>
      <c r="E20" s="142" t="str">
        <f>'Report (OMMi) - Var 1'!E20</f>
        <v>N/A</v>
      </c>
      <c r="F20" s="142" t="str">
        <f>'Report (OMMi) - Var 1'!F20</f>
        <v>N/A</v>
      </c>
      <c r="G20" s="142" t="str">
        <f>'Report (OMMi) - Var 1'!H20</f>
        <v>N/A</v>
      </c>
      <c r="H20" s="142" t="str">
        <f>'Report (OMMi) - Var 1'!I20</f>
        <v>N/A</v>
      </c>
      <c r="I20" s="142" t="str">
        <f>'Report (OMMi) - Var 1'!J20</f>
        <v>N/A</v>
      </c>
      <c r="J20" s="142" t="str">
        <f>'Report (OMMi) - Var 1'!K20</f>
        <v>N/A</v>
      </c>
      <c r="K20" s="142" t="str">
        <f>'Report (OMMi) - Var 1'!L20</f>
        <v>N/A</v>
      </c>
      <c r="L20" s="142" t="str">
        <f>'Report (OMMi) - Var 1'!M20</f>
        <v>N/A</v>
      </c>
      <c r="M20" s="142" t="str">
        <f>'Report (OMMi) - Var 1'!N20</f>
        <v>N/A</v>
      </c>
      <c r="N20" s="142" t="str">
        <f>'Report (OMMi) - Var 1'!O20</f>
        <v>N/A</v>
      </c>
      <c r="O20" s="142" t="str">
        <f>'Report (OMMi) - Var 1'!P20</f>
        <v>N/A</v>
      </c>
      <c r="P20" s="142" t="str">
        <f>'Report (OMMi) - Var 1'!Q20</f>
        <v>N/A</v>
      </c>
      <c r="Q20" s="142" t="str">
        <f>'Report (OMMi) - Var 1'!R20</f>
        <v>N/A</v>
      </c>
      <c r="R20" s="142" t="str">
        <f>'Report (OMMi) - Var 1'!S20</f>
        <v>N/A</v>
      </c>
      <c r="S20" s="142" t="str">
        <f>'Report (OMMi) - Var 1'!T20</f>
        <v>N/A</v>
      </c>
      <c r="T20" s="142" t="str">
        <f>'Report (OMMi) - Var 1'!U20</f>
        <v>N/A</v>
      </c>
      <c r="U20" s="142" t="str">
        <f>'Report (OMMi) - Var 1'!V20</f>
        <v>N/A</v>
      </c>
      <c r="V20" s="364" t="e">
        <f>'Report (OMMi) - Var 1'!W20:AG20</f>
        <v>#VALUE!</v>
      </c>
      <c r="W20" s="365"/>
      <c r="X20" s="365"/>
      <c r="Y20" s="365"/>
      <c r="Z20" s="365"/>
      <c r="AA20" s="365"/>
      <c r="AB20" s="365"/>
      <c r="AC20" s="365"/>
      <c r="AD20" s="365"/>
      <c r="AE20" s="365"/>
      <c r="AF20" s="366"/>
    </row>
    <row r="21" spans="1:32" ht="15" customHeight="1" x14ac:dyDescent="0.3">
      <c r="A21" s="151"/>
      <c r="B21" s="329" t="s">
        <v>651</v>
      </c>
      <c r="C21" s="330"/>
      <c r="D21" s="331"/>
      <c r="E21" s="142" t="str">
        <f>'Report (OMMi) - Var 1'!E21</f>
        <v>N/A</v>
      </c>
      <c r="F21" s="142" t="str">
        <f>'Report (OMMi) - Var 1'!F21</f>
        <v>N/A</v>
      </c>
      <c r="G21" s="142" t="str">
        <f>'Report (OMMi) - Var 1'!H21</f>
        <v>N/A</v>
      </c>
      <c r="H21" s="142" t="str">
        <f>'Report (OMMi) - Var 1'!I21</f>
        <v>N/A</v>
      </c>
      <c r="I21" s="142" t="str">
        <f>'Report (OMMi) - Var 1'!J21</f>
        <v>N/A</v>
      </c>
      <c r="J21" s="142" t="str">
        <f>'Report (OMMi) - Var 1'!K21</f>
        <v>N/A</v>
      </c>
      <c r="K21" s="142" t="str">
        <f>'Report (OMMi) - Var 1'!L21</f>
        <v>N/A</v>
      </c>
      <c r="L21" s="142" t="str">
        <f>'Report (OMMi) - Var 1'!M21</f>
        <v>N/A</v>
      </c>
      <c r="M21" s="142" t="str">
        <f>'Report (OMMi) - Var 1'!N21</f>
        <v>N/A</v>
      </c>
      <c r="N21" s="142" t="str">
        <f>'Report (OMMi) - Var 1'!O21</f>
        <v>N/A</v>
      </c>
      <c r="O21" s="142" t="str">
        <f>'Report (OMMi) - Var 1'!P21</f>
        <v>N/A</v>
      </c>
      <c r="P21" s="142" t="str">
        <f>'Report (OMMi) - Var 1'!Q21</f>
        <v>N/A</v>
      </c>
      <c r="Q21" s="142" t="str">
        <f>'Report (OMMi) - Var 1'!R21</f>
        <v>N/A</v>
      </c>
      <c r="R21" s="142" t="str">
        <f>'Report (OMMi) - Var 1'!S21</f>
        <v>N/A</v>
      </c>
      <c r="S21" s="142" t="str">
        <f>'Report (OMMi) - Var 1'!T21</f>
        <v>N/A</v>
      </c>
      <c r="T21" s="142" t="str">
        <f>'Report (OMMi) - Var 1'!U21</f>
        <v>N/A</v>
      </c>
      <c r="U21" s="142" t="str">
        <f>'Report (OMMi) - Var 1'!V21</f>
        <v>N/A</v>
      </c>
      <c r="V21" s="364" t="e">
        <f>'Report (OMMi) - Var 1'!W21:AG21</f>
        <v>#VALUE!</v>
      </c>
      <c r="W21" s="365"/>
      <c r="X21" s="365"/>
      <c r="Y21" s="365"/>
      <c r="Z21" s="365"/>
      <c r="AA21" s="365"/>
      <c r="AB21" s="365"/>
      <c r="AC21" s="365"/>
      <c r="AD21" s="365"/>
      <c r="AE21" s="365"/>
      <c r="AF21" s="366"/>
    </row>
    <row r="22" spans="1:32" ht="15" customHeight="1" x14ac:dyDescent="0.3">
      <c r="A22" s="151"/>
      <c r="B22" s="329" t="s">
        <v>830</v>
      </c>
      <c r="C22" s="330"/>
      <c r="D22" s="331"/>
      <c r="E22" s="142" t="str">
        <f>'Report (OMMi) - Var 1'!E22</f>
        <v>N/A</v>
      </c>
      <c r="F22" s="228"/>
      <c r="G22" s="142" t="str">
        <f>'Report (OMMi) - Var 1'!H22</f>
        <v>N/A</v>
      </c>
      <c r="H22" s="142" t="str">
        <f>'Report (OMMi) - Var 1'!I22</f>
        <v>N/A</v>
      </c>
      <c r="I22" s="142" t="str">
        <f>'Report (OMMi) - Var 1'!J22</f>
        <v>N/A</v>
      </c>
      <c r="J22" s="142" t="str">
        <f>'Report (OMMi) - Var 1'!K22</f>
        <v>N/A</v>
      </c>
      <c r="K22" s="142" t="str">
        <f>'Report (OMMi) - Var 1'!L22</f>
        <v>N/A</v>
      </c>
      <c r="L22" s="142" t="str">
        <f>'Report (OMMi) - Var 1'!M22</f>
        <v>N/A</v>
      </c>
      <c r="M22" s="142" t="str">
        <f>'Report (OMMi) - Var 1'!N22</f>
        <v>N/A</v>
      </c>
      <c r="N22" s="142" t="str">
        <f>'Report (OMMi) - Var 1'!O22</f>
        <v>N/A</v>
      </c>
      <c r="O22" s="142" t="str">
        <f>'Report (OMMi) - Var 1'!P22</f>
        <v>N/A</v>
      </c>
      <c r="P22" s="142" t="str">
        <f>'Report (OMMi) - Var 1'!Q22</f>
        <v>N/A</v>
      </c>
      <c r="Q22" s="142" t="str">
        <f>'Report (OMMi) - Var 1'!R22</f>
        <v>N/A</v>
      </c>
      <c r="R22" s="142" t="str">
        <f>'Report (OMMi) - Var 1'!S22</f>
        <v>N/A</v>
      </c>
      <c r="S22" s="142" t="str">
        <f>'Report (OMMi) - Var 1'!T22</f>
        <v>N/A</v>
      </c>
      <c r="T22" s="142" t="str">
        <f>'Report (OMMi) - Var 1'!U22</f>
        <v>N/A</v>
      </c>
      <c r="U22" s="142" t="str">
        <f>'Report (OMMi) - Var 1'!V22</f>
        <v>N/A</v>
      </c>
      <c r="V22" s="364" t="e">
        <f>'Report (OMMi) - Var 1'!W22:AG22</f>
        <v>#VALUE!</v>
      </c>
      <c r="W22" s="365"/>
      <c r="X22" s="365"/>
      <c r="Y22" s="365"/>
      <c r="Z22" s="365"/>
      <c r="AA22" s="365"/>
      <c r="AB22" s="365"/>
      <c r="AC22" s="365"/>
      <c r="AD22" s="365"/>
      <c r="AE22" s="365"/>
      <c r="AF22" s="366"/>
    </row>
    <row r="23" spans="1:32" ht="15" customHeight="1" x14ac:dyDescent="0.3">
      <c r="A23" s="151"/>
      <c r="B23" s="329" t="s">
        <v>826</v>
      </c>
      <c r="C23" s="330"/>
      <c r="D23" s="331"/>
      <c r="E23" s="142" t="str">
        <f>'Report (OMMi) - Var 1'!E23</f>
        <v>N/A</v>
      </c>
      <c r="F23" s="228"/>
      <c r="G23" s="142" t="str">
        <f>'Report (OMMi) - Var 1'!H23</f>
        <v>N/A</v>
      </c>
      <c r="H23" s="142" t="str">
        <f>'Report (OMMi) - Var 1'!I23</f>
        <v>N/A</v>
      </c>
      <c r="I23" s="142" t="str">
        <f>'Report (OMMi) - Var 1'!J23</f>
        <v>N/A</v>
      </c>
      <c r="J23" s="142" t="str">
        <f>'Report (OMMi) - Var 1'!K23</f>
        <v>N/A</v>
      </c>
      <c r="K23" s="142" t="str">
        <f>'Report (OMMi) - Var 1'!L23</f>
        <v>N/A</v>
      </c>
      <c r="L23" s="142" t="str">
        <f>'Report (OMMi) - Var 1'!M23</f>
        <v>N/A</v>
      </c>
      <c r="M23" s="142" t="str">
        <f>'Report (OMMi) - Var 1'!N23</f>
        <v>N/A</v>
      </c>
      <c r="N23" s="142" t="str">
        <f>'Report (OMMi) - Var 1'!O23</f>
        <v>N/A</v>
      </c>
      <c r="O23" s="142" t="str">
        <f>'Report (OMMi) - Var 1'!P23</f>
        <v>N/A</v>
      </c>
      <c r="P23" s="142" t="str">
        <f>'Report (OMMi) - Var 1'!Q23</f>
        <v>N/A</v>
      </c>
      <c r="Q23" s="142" t="str">
        <f>'Report (OMMi) - Var 1'!R23</f>
        <v>N/A</v>
      </c>
      <c r="R23" s="142" t="str">
        <f>'Report (OMMi) - Var 1'!S23</f>
        <v>N/A</v>
      </c>
      <c r="S23" s="142" t="str">
        <f>'Report (OMMi) - Var 1'!T23</f>
        <v>N/A</v>
      </c>
      <c r="T23" s="142" t="str">
        <f>'Report (OMMi) - Var 1'!U23</f>
        <v>N/A</v>
      </c>
      <c r="U23" s="142" t="str">
        <f>'Report (OMMi) - Var 1'!V23</f>
        <v>N/A</v>
      </c>
      <c r="V23" s="364" t="e">
        <f>'Report (OMMi) - Var 1'!W23:AG23</f>
        <v>#VALUE!</v>
      </c>
      <c r="W23" s="365"/>
      <c r="X23" s="365"/>
      <c r="Y23" s="365"/>
      <c r="Z23" s="365"/>
      <c r="AA23" s="365"/>
      <c r="AB23" s="365"/>
      <c r="AC23" s="365"/>
      <c r="AD23" s="365"/>
      <c r="AE23" s="365"/>
      <c r="AF23" s="366"/>
    </row>
    <row r="24" spans="1:32" ht="15" customHeight="1" x14ac:dyDescent="0.3">
      <c r="A24" s="151"/>
      <c r="B24" s="329" t="s">
        <v>661</v>
      </c>
      <c r="C24" s="330"/>
      <c r="D24" s="331"/>
      <c r="E24" s="142" t="str">
        <f>'Report (OMMi) - Var 1'!E24</f>
        <v>N/A</v>
      </c>
      <c r="F24" s="228"/>
      <c r="G24" s="142" t="str">
        <f>'Report (OMMi) - Var 1'!H24</f>
        <v>N/A</v>
      </c>
      <c r="H24" s="142" t="str">
        <f>'Report (OMMi) - Var 1'!I24</f>
        <v>N/A</v>
      </c>
      <c r="I24" s="142" t="str">
        <f>'Report (OMMi) - Var 1'!J24</f>
        <v>N/A</v>
      </c>
      <c r="J24" s="142" t="str">
        <f>'Report (OMMi) - Var 1'!K24</f>
        <v>N/A</v>
      </c>
      <c r="K24" s="142" t="str">
        <f>'Report (OMMi) - Var 1'!L24</f>
        <v>N/A</v>
      </c>
      <c r="L24" s="142" t="str">
        <f>'Report (OMMi) - Var 1'!M24</f>
        <v>N/A</v>
      </c>
      <c r="M24" s="142" t="str">
        <f>'Report (OMMi) - Var 1'!N24</f>
        <v>N/A</v>
      </c>
      <c r="N24" s="142" t="str">
        <f>'Report (OMMi) - Var 1'!O24</f>
        <v>N/A</v>
      </c>
      <c r="O24" s="142" t="str">
        <f>'Report (OMMi) - Var 1'!P24</f>
        <v>N/A</v>
      </c>
      <c r="P24" s="142" t="str">
        <f>'Report (OMMi) - Var 1'!Q24</f>
        <v>N/A</v>
      </c>
      <c r="Q24" s="142" t="str">
        <f>'Report (OMMi) - Var 1'!R24</f>
        <v>N/A</v>
      </c>
      <c r="R24" s="142" t="str">
        <f>'Report (OMMi) - Var 1'!S24</f>
        <v>N/A</v>
      </c>
      <c r="S24" s="142" t="str">
        <f>'Report (OMMi) - Var 1'!T24</f>
        <v>N/A</v>
      </c>
      <c r="T24" s="142" t="str">
        <f>'Report (OMMi) - Var 1'!U24</f>
        <v>N/A</v>
      </c>
      <c r="U24" s="142" t="str">
        <f>'Report (OMMi) - Var 1'!V24</f>
        <v>N/A</v>
      </c>
      <c r="V24" s="364" t="e">
        <f>'Report (OMMi) - Var 1'!W24:AG24</f>
        <v>#VALUE!</v>
      </c>
      <c r="W24" s="365"/>
      <c r="X24" s="365"/>
      <c r="Y24" s="365"/>
      <c r="Z24" s="365"/>
      <c r="AA24" s="365"/>
      <c r="AB24" s="365"/>
      <c r="AC24" s="365"/>
      <c r="AD24" s="365"/>
      <c r="AE24" s="365"/>
      <c r="AF24" s="366"/>
    </row>
    <row r="25" spans="1:32" ht="15" customHeight="1" x14ac:dyDescent="0.3">
      <c r="A25" s="151"/>
      <c r="B25" s="329" t="s">
        <v>831</v>
      </c>
      <c r="C25" s="330"/>
      <c r="D25" s="331"/>
      <c r="E25" s="142" t="str">
        <f>'Report (OMMi) - Var 1'!E25</f>
        <v>N/A</v>
      </c>
      <c r="F25" s="228"/>
      <c r="G25" s="142" t="str">
        <f>'Report (OMMi) - Var 1'!H25</f>
        <v>N/A</v>
      </c>
      <c r="H25" s="142" t="str">
        <f>'Report (OMMi) - Var 1'!I25</f>
        <v>N/A</v>
      </c>
      <c r="I25" s="142" t="str">
        <f>'Report (OMMi) - Var 1'!J25</f>
        <v>N/A</v>
      </c>
      <c r="J25" s="142" t="str">
        <f>'Report (OMMi) - Var 1'!K25</f>
        <v>N/A</v>
      </c>
      <c r="K25" s="142" t="str">
        <f>'Report (OMMi) - Var 1'!L25</f>
        <v>N/A</v>
      </c>
      <c r="L25" s="142" t="str">
        <f>'Report (OMMi) - Var 1'!M25</f>
        <v>N/A</v>
      </c>
      <c r="M25" s="142" t="str">
        <f>'Report (OMMi) - Var 1'!N25</f>
        <v>N/A</v>
      </c>
      <c r="N25" s="142" t="str">
        <f>'Report (OMMi) - Var 1'!O25</f>
        <v>N/A</v>
      </c>
      <c r="O25" s="142" t="str">
        <f>'Report (OMMi) - Var 1'!P25</f>
        <v>N/A</v>
      </c>
      <c r="P25" s="142" t="str">
        <f>'Report (OMMi) - Var 1'!Q25</f>
        <v>N/A</v>
      </c>
      <c r="Q25" s="142" t="str">
        <f>'Report (OMMi) - Var 1'!R25</f>
        <v>N/A</v>
      </c>
      <c r="R25" s="142" t="str">
        <f>'Report (OMMi) - Var 1'!S25</f>
        <v>N/A</v>
      </c>
      <c r="S25" s="142" t="str">
        <f>'Report (OMMi) - Var 1'!T25</f>
        <v>N/A</v>
      </c>
      <c r="T25" s="142" t="str">
        <f>'Report (OMMi) - Var 1'!U25</f>
        <v>N/A</v>
      </c>
      <c r="U25" s="142" t="str">
        <f>'Report (OMMi) - Var 1'!V25</f>
        <v>N/A</v>
      </c>
      <c r="V25" s="364" t="e">
        <f>'Report (OMMi) - Var 1'!W25:AG25</f>
        <v>#VALUE!</v>
      </c>
      <c r="W25" s="365"/>
      <c r="X25" s="365"/>
      <c r="Y25" s="365"/>
      <c r="Z25" s="365"/>
      <c r="AA25" s="365"/>
      <c r="AB25" s="365"/>
      <c r="AC25" s="365"/>
      <c r="AD25" s="365"/>
      <c r="AE25" s="365"/>
      <c r="AF25" s="366"/>
    </row>
    <row r="26" spans="1:32" ht="15" customHeight="1" x14ac:dyDescent="0.3">
      <c r="A26" s="151"/>
      <c r="B26" s="329" t="s">
        <v>833</v>
      </c>
      <c r="C26" s="330"/>
      <c r="D26" s="331"/>
      <c r="E26" s="142" t="str">
        <f>'Report (OMMi) - Var 1'!E26</f>
        <v>N/A</v>
      </c>
      <c r="F26" s="228"/>
      <c r="G26" s="142" t="str">
        <f>'Report (OMMi) - Var 1'!H26</f>
        <v>N/A</v>
      </c>
      <c r="H26" s="142" t="str">
        <f>'Report (OMMi) - Var 1'!I26</f>
        <v>N/A</v>
      </c>
      <c r="I26" s="142" t="str">
        <f>'Report (OMMi) - Var 1'!J26</f>
        <v>N/A</v>
      </c>
      <c r="J26" s="142" t="str">
        <f>'Report (OMMi) - Var 1'!K26</f>
        <v>N/A</v>
      </c>
      <c r="K26" s="142" t="str">
        <f>'Report (OMMi) - Var 1'!L26</f>
        <v>N/A</v>
      </c>
      <c r="L26" s="142" t="str">
        <f>'Report (OMMi) - Var 1'!M26</f>
        <v>N/A</v>
      </c>
      <c r="M26" s="142" t="str">
        <f>'Report (OMMi) - Var 1'!N26</f>
        <v>N/A</v>
      </c>
      <c r="N26" s="142" t="str">
        <f>'Report (OMMi) - Var 1'!O26</f>
        <v>N/A</v>
      </c>
      <c r="O26" s="142" t="str">
        <f>'Report (OMMi) - Var 1'!P26</f>
        <v>N/A</v>
      </c>
      <c r="P26" s="142" t="str">
        <f>'Report (OMMi) - Var 1'!Q26</f>
        <v>N/A</v>
      </c>
      <c r="Q26" s="142" t="str">
        <f>'Report (OMMi) - Var 1'!R26</f>
        <v>N/A</v>
      </c>
      <c r="R26" s="142" t="str">
        <f>'Report (OMMi) - Var 1'!S26</f>
        <v>N/A</v>
      </c>
      <c r="S26" s="142" t="str">
        <f>'Report (OMMi) - Var 1'!T26</f>
        <v>N/A</v>
      </c>
      <c r="T26" s="142" t="str">
        <f>'Report (OMMi) - Var 1'!U26</f>
        <v>N/A</v>
      </c>
      <c r="U26" s="142" t="str">
        <f>'Report (OMMi) - Var 1'!V26</f>
        <v>N/A</v>
      </c>
      <c r="V26" s="364" t="e">
        <f>'Report (OMMi) - Var 1'!W26:AG26</f>
        <v>#VALUE!</v>
      </c>
      <c r="W26" s="365"/>
      <c r="X26" s="365"/>
      <c r="Y26" s="365"/>
      <c r="Z26" s="365"/>
      <c r="AA26" s="365"/>
      <c r="AB26" s="365"/>
      <c r="AC26" s="365"/>
      <c r="AD26" s="365"/>
      <c r="AE26" s="365"/>
      <c r="AF26" s="366"/>
    </row>
    <row r="27" spans="1:32" ht="15" hidden="1" customHeight="1" x14ac:dyDescent="0.3">
      <c r="A27" s="151"/>
      <c r="B27" s="329" t="s">
        <v>835</v>
      </c>
      <c r="C27" s="330"/>
      <c r="D27" s="331"/>
      <c r="E27" s="142" t="str">
        <f>'Report (OMMi) - Var 1'!E27</f>
        <v>N/A</v>
      </c>
      <c r="F27" s="228"/>
      <c r="G27" s="228"/>
      <c r="H27" s="228"/>
      <c r="I27" s="228"/>
      <c r="J27" s="228"/>
      <c r="K27" s="228"/>
      <c r="L27" s="228"/>
      <c r="M27" s="228"/>
      <c r="N27" s="228"/>
      <c r="O27" s="228"/>
      <c r="P27" s="228"/>
      <c r="Q27" s="228"/>
      <c r="R27" s="228"/>
      <c r="S27" s="228"/>
      <c r="T27" s="228"/>
      <c r="U27" s="228"/>
      <c r="V27" s="364"/>
      <c r="W27" s="365"/>
      <c r="X27" s="365"/>
      <c r="Y27" s="365"/>
      <c r="Z27" s="365"/>
      <c r="AA27" s="365"/>
      <c r="AB27" s="365"/>
      <c r="AC27" s="365"/>
      <c r="AD27" s="365"/>
      <c r="AE27" s="365"/>
      <c r="AF27" s="366"/>
    </row>
    <row r="28" spans="1:32" ht="15" customHeight="1" x14ac:dyDescent="0.3">
      <c r="A28" s="151"/>
      <c r="B28" s="329" t="s">
        <v>836</v>
      </c>
      <c r="C28" s="330"/>
      <c r="D28" s="331"/>
      <c r="E28" s="142" t="str">
        <f>'Report (OMMi) - Var 1'!E28</f>
        <v>N/A</v>
      </c>
      <c r="F28" s="228"/>
      <c r="G28" s="142" t="str">
        <f>'Report (OMMi) - Var 1'!H28</f>
        <v>N/A</v>
      </c>
      <c r="H28" s="142" t="str">
        <f>'Report (OMMi) - Var 1'!I28</f>
        <v>N/A</v>
      </c>
      <c r="I28" s="142" t="str">
        <f>'Report (OMMi) - Var 1'!J28</f>
        <v>N/A</v>
      </c>
      <c r="J28" s="142" t="str">
        <f>'Report (OMMi) - Var 1'!K28</f>
        <v>N/A</v>
      </c>
      <c r="K28" s="142" t="str">
        <f>'Report (OMMi) - Var 1'!L28</f>
        <v>N/A</v>
      </c>
      <c r="L28" s="142" t="str">
        <f>'Report (OMMi) - Var 1'!M28</f>
        <v>N/A</v>
      </c>
      <c r="M28" s="142" t="str">
        <f>'Report (OMMi) - Var 1'!N28</f>
        <v>N/A</v>
      </c>
      <c r="N28" s="142" t="str">
        <f>'Report (OMMi) - Var 1'!O28</f>
        <v>N/A</v>
      </c>
      <c r="O28" s="142" t="str">
        <f>'Report (OMMi) - Var 1'!P28</f>
        <v>N/A</v>
      </c>
      <c r="P28" s="142" t="str">
        <f>'Report (OMMi) - Var 1'!Q28</f>
        <v>N/A</v>
      </c>
      <c r="Q28" s="142" t="str">
        <f>'Report (OMMi) - Var 1'!R28</f>
        <v>N/A</v>
      </c>
      <c r="R28" s="142" t="str">
        <f>'Report (OMMi) - Var 1'!S28</f>
        <v>N/A</v>
      </c>
      <c r="S28" s="142" t="str">
        <f>'Report (OMMi) - Var 1'!T28</f>
        <v>N/A</v>
      </c>
      <c r="T28" s="142" t="str">
        <f>'Report (OMMi) - Var 1'!U28</f>
        <v>N/A</v>
      </c>
      <c r="U28" s="142" t="str">
        <f>'Report (OMMi) - Var 1'!V28</f>
        <v>N/A</v>
      </c>
      <c r="V28" s="364" t="e">
        <f>'Report (OMMi) - Var 1'!W28:AG28</f>
        <v>#VALUE!</v>
      </c>
      <c r="W28" s="365"/>
      <c r="X28" s="365"/>
      <c r="Y28" s="365"/>
      <c r="Z28" s="365"/>
      <c r="AA28" s="365"/>
      <c r="AB28" s="365"/>
      <c r="AC28" s="365"/>
      <c r="AD28" s="365"/>
      <c r="AE28" s="365"/>
      <c r="AF28" s="366"/>
    </row>
    <row r="29" spans="1:32" ht="15" customHeight="1" x14ac:dyDescent="0.3">
      <c r="A29" s="151"/>
      <c r="B29" s="329" t="s">
        <v>837</v>
      </c>
      <c r="C29" s="330"/>
      <c r="D29" s="331"/>
      <c r="E29" s="142" t="str">
        <f>'Report (OMMi) - Var 1'!E29</f>
        <v>N/A</v>
      </c>
      <c r="F29" s="228"/>
      <c r="G29" s="142" t="str">
        <f>'Report (OMMi) - Var 1'!H29</f>
        <v>N/A</v>
      </c>
      <c r="H29" s="142" t="str">
        <f>'Report (OMMi) - Var 1'!I29</f>
        <v>N/A</v>
      </c>
      <c r="I29" s="142" t="str">
        <f>'Report (OMMi) - Var 1'!J29</f>
        <v>N/A</v>
      </c>
      <c r="J29" s="142" t="str">
        <f>'Report (OMMi) - Var 1'!K29</f>
        <v>N/A</v>
      </c>
      <c r="K29" s="142" t="str">
        <f>'Report (OMMi) - Var 1'!L29</f>
        <v>N/A</v>
      </c>
      <c r="L29" s="142" t="str">
        <f>'Report (OMMi) - Var 1'!M29</f>
        <v>N/A</v>
      </c>
      <c r="M29" s="142" t="str">
        <f>'Report (OMMi) - Var 1'!N29</f>
        <v>N/A</v>
      </c>
      <c r="N29" s="142" t="str">
        <f>'Report (OMMi) - Var 1'!O29</f>
        <v>N/A</v>
      </c>
      <c r="O29" s="142" t="str">
        <f>'Report (OMMi) - Var 1'!P29</f>
        <v>N/A</v>
      </c>
      <c r="P29" s="142" t="str">
        <f>'Report (OMMi) - Var 1'!Q29</f>
        <v>N/A</v>
      </c>
      <c r="Q29" s="142" t="str">
        <f>'Report (OMMi) - Var 1'!R29</f>
        <v>N/A</v>
      </c>
      <c r="R29" s="142" t="str">
        <f>'Report (OMMi) - Var 1'!S29</f>
        <v>N/A</v>
      </c>
      <c r="S29" s="142" t="str">
        <f>'Report (OMMi) - Var 1'!T29</f>
        <v>N/A</v>
      </c>
      <c r="T29" s="142" t="str">
        <f>'Report (OMMi) - Var 1'!U29</f>
        <v>N/A</v>
      </c>
      <c r="U29" s="142" t="str">
        <f>'Report (OMMi) - Var 1'!V29</f>
        <v>N/A</v>
      </c>
      <c r="V29" s="364" t="e">
        <f>'Report (OMMi) - Var 1'!W29:AG29</f>
        <v>#VALUE!</v>
      </c>
      <c r="W29" s="365"/>
      <c r="X29" s="365"/>
      <c r="Y29" s="365"/>
      <c r="Z29" s="365"/>
      <c r="AA29" s="365"/>
      <c r="AB29" s="365"/>
      <c r="AC29" s="365"/>
      <c r="AD29" s="365"/>
      <c r="AE29" s="365"/>
      <c r="AF29" s="366"/>
    </row>
    <row r="30" spans="1:32" ht="15" customHeight="1" x14ac:dyDescent="0.3">
      <c r="A30" s="151"/>
      <c r="B30" s="329" t="s">
        <v>838</v>
      </c>
      <c r="C30" s="330"/>
      <c r="D30" s="331"/>
      <c r="E30" s="142" t="str">
        <f>'Report (OMMi) - Var 1'!E30</f>
        <v>N/A</v>
      </c>
      <c r="F30" s="228"/>
      <c r="G30" s="142" t="str">
        <f>'Report (OMMi) - Var 1'!H30</f>
        <v>N/A</v>
      </c>
      <c r="H30" s="142" t="str">
        <f>'Report (OMMi) - Var 1'!I30</f>
        <v>N/A</v>
      </c>
      <c r="I30" s="142" t="str">
        <f>'Report (OMMi) - Var 1'!J30</f>
        <v>N/A</v>
      </c>
      <c r="J30" s="142" t="str">
        <f>'Report (OMMi) - Var 1'!K30</f>
        <v>N/A</v>
      </c>
      <c r="K30" s="142" t="str">
        <f>'Report (OMMi) - Var 1'!L30</f>
        <v>N/A</v>
      </c>
      <c r="L30" s="142" t="str">
        <f>'Report (OMMi) - Var 1'!M30</f>
        <v>N/A</v>
      </c>
      <c r="M30" s="142" t="str">
        <f>'Report (OMMi) - Var 1'!N30</f>
        <v>N/A</v>
      </c>
      <c r="N30" s="142" t="str">
        <f>'Report (OMMi) - Var 1'!O30</f>
        <v>N/A</v>
      </c>
      <c r="O30" s="142" t="str">
        <f>'Report (OMMi) - Var 1'!P30</f>
        <v>N/A</v>
      </c>
      <c r="P30" s="142" t="str">
        <f>'Report (OMMi) - Var 1'!Q30</f>
        <v>N/A</v>
      </c>
      <c r="Q30" s="142" t="str">
        <f>'Report (OMMi) - Var 1'!R30</f>
        <v>N/A</v>
      </c>
      <c r="R30" s="142" t="str">
        <f>'Report (OMMi) - Var 1'!S30</f>
        <v>N/A</v>
      </c>
      <c r="S30" s="142" t="str">
        <f>'Report (OMMi) - Var 1'!T30</f>
        <v>N/A</v>
      </c>
      <c r="T30" s="142" t="str">
        <f>'Report (OMMi) - Var 1'!U30</f>
        <v>N/A</v>
      </c>
      <c r="U30" s="142" t="str">
        <f>'Report (OMMi) - Var 1'!V30</f>
        <v>N/A</v>
      </c>
      <c r="V30" s="364" t="e">
        <f>'Report (OMMi) - Var 1'!W30:AG30</f>
        <v>#VALUE!</v>
      </c>
      <c r="W30" s="365"/>
      <c r="X30" s="365"/>
      <c r="Y30" s="365"/>
      <c r="Z30" s="365"/>
      <c r="AA30" s="365"/>
      <c r="AB30" s="365"/>
      <c r="AC30" s="365"/>
      <c r="AD30" s="365"/>
      <c r="AE30" s="365"/>
      <c r="AF30" s="366"/>
    </row>
    <row r="31" spans="1:32" ht="15" customHeight="1" x14ac:dyDescent="0.3">
      <c r="A31" s="151"/>
      <c r="B31" s="329" t="s">
        <v>839</v>
      </c>
      <c r="C31" s="330"/>
      <c r="D31" s="331"/>
      <c r="E31" s="142" t="str">
        <f>'Report (OMMi) - Var 1'!E31</f>
        <v>N/A</v>
      </c>
      <c r="F31" s="228"/>
      <c r="G31" s="142" t="str">
        <f>'Report (OMMi) - Var 1'!H31</f>
        <v>N/A</v>
      </c>
      <c r="H31" s="142" t="str">
        <f>'Report (OMMi) - Var 1'!I31</f>
        <v>N/A</v>
      </c>
      <c r="I31" s="142" t="str">
        <f>'Report (OMMi) - Var 1'!J31</f>
        <v>N/A</v>
      </c>
      <c r="J31" s="142" t="str">
        <f>'Report (OMMi) - Var 1'!K31</f>
        <v>N/A</v>
      </c>
      <c r="K31" s="142" t="str">
        <f>'Report (OMMi) - Var 1'!L31</f>
        <v>N/A</v>
      </c>
      <c r="L31" s="142" t="str">
        <f>'Report (OMMi) - Var 1'!M31</f>
        <v>N/A</v>
      </c>
      <c r="M31" s="142" t="str">
        <f>'Report (OMMi) - Var 1'!N31</f>
        <v>N/A</v>
      </c>
      <c r="N31" s="142" t="str">
        <f>'Report (OMMi) - Var 1'!O31</f>
        <v>N/A</v>
      </c>
      <c r="O31" s="142" t="str">
        <f>'Report (OMMi) - Var 1'!P31</f>
        <v>N/A</v>
      </c>
      <c r="P31" s="142" t="str">
        <f>'Report (OMMi) - Var 1'!Q31</f>
        <v>N/A</v>
      </c>
      <c r="Q31" s="142" t="str">
        <f>'Report (OMMi) - Var 1'!R31</f>
        <v>N/A</v>
      </c>
      <c r="R31" s="142" t="str">
        <f>'Report (OMMi) - Var 1'!S31</f>
        <v>N/A</v>
      </c>
      <c r="S31" s="142" t="str">
        <f>'Report (OMMi) - Var 1'!T31</f>
        <v>N/A</v>
      </c>
      <c r="T31" s="142" t="str">
        <f>'Report (OMMi) - Var 1'!U31</f>
        <v>N/A</v>
      </c>
      <c r="U31" s="142" t="str">
        <f>'Report (OMMi) - Var 1'!V31</f>
        <v>N/A</v>
      </c>
      <c r="V31" s="364" t="e">
        <f>'Report (OMMi) - Var 1'!W31:AG31</f>
        <v>#VALUE!</v>
      </c>
      <c r="W31" s="365"/>
      <c r="X31" s="365"/>
      <c r="Y31" s="365"/>
      <c r="Z31" s="365"/>
      <c r="AA31" s="365"/>
      <c r="AB31" s="365"/>
      <c r="AC31" s="365"/>
      <c r="AD31" s="365"/>
      <c r="AE31" s="365"/>
      <c r="AF31" s="366"/>
    </row>
    <row r="32" spans="1:32" ht="15" customHeight="1" x14ac:dyDescent="0.3">
      <c r="A32" s="151"/>
      <c r="B32" s="329" t="s">
        <v>827</v>
      </c>
      <c r="C32" s="330"/>
      <c r="D32" s="331"/>
      <c r="E32" s="142" t="str">
        <f>'Report (OMMi) - Var 1'!E32</f>
        <v>N/A</v>
      </c>
      <c r="F32" s="228"/>
      <c r="G32" s="142" t="str">
        <f>'Report (OMMi) - Var 1'!H32</f>
        <v>N/A</v>
      </c>
      <c r="H32" s="142" t="str">
        <f>'Report (OMMi) - Var 1'!I32</f>
        <v>N/A</v>
      </c>
      <c r="I32" s="142" t="str">
        <f>'Report (OMMi) - Var 1'!J32</f>
        <v>N/A</v>
      </c>
      <c r="J32" s="142" t="str">
        <f>'Report (OMMi) - Var 1'!K32</f>
        <v>N/A</v>
      </c>
      <c r="K32" s="142" t="str">
        <f>'Report (OMMi) - Var 1'!L32</f>
        <v>N/A</v>
      </c>
      <c r="L32" s="142" t="str">
        <f>'Report (OMMi) - Var 1'!M32</f>
        <v>N/A</v>
      </c>
      <c r="M32" s="142" t="str">
        <f>'Report (OMMi) - Var 1'!N32</f>
        <v>N/A</v>
      </c>
      <c r="N32" s="142" t="str">
        <f>'Report (OMMi) - Var 1'!O32</f>
        <v>N/A</v>
      </c>
      <c r="O32" s="142" t="str">
        <f>'Report (OMMi) - Var 1'!P32</f>
        <v>N/A</v>
      </c>
      <c r="P32" s="142" t="str">
        <f>'Report (OMMi) - Var 1'!Q32</f>
        <v>N/A</v>
      </c>
      <c r="Q32" s="142" t="str">
        <f>'Report (OMMi) - Var 1'!R32</f>
        <v>N/A</v>
      </c>
      <c r="R32" s="142" t="str">
        <f>'Report (OMMi) - Var 1'!S32</f>
        <v>N/A</v>
      </c>
      <c r="S32" s="142" t="str">
        <f>'Report (OMMi) - Var 1'!T32</f>
        <v>N/A</v>
      </c>
      <c r="T32" s="142" t="str">
        <f>'Report (OMMi) - Var 1'!U32</f>
        <v>N/A</v>
      </c>
      <c r="U32" s="142" t="str">
        <f>'Report (OMMi) - Var 1'!V32</f>
        <v>N/A</v>
      </c>
      <c r="V32" s="364" t="e">
        <f>'Report (OMMi) - Var 1'!W32:AG32</f>
        <v>#VALUE!</v>
      </c>
      <c r="W32" s="365"/>
      <c r="X32" s="365"/>
      <c r="Y32" s="365"/>
      <c r="Z32" s="365"/>
      <c r="AA32" s="365"/>
      <c r="AB32" s="365"/>
      <c r="AC32" s="365"/>
      <c r="AD32" s="365"/>
      <c r="AE32" s="365"/>
      <c r="AF32" s="366"/>
    </row>
    <row r="33" spans="1:33" ht="15" customHeight="1" x14ac:dyDescent="0.3">
      <c r="A33" s="151"/>
      <c r="B33" s="329" t="s">
        <v>828</v>
      </c>
      <c r="C33" s="330"/>
      <c r="D33" s="331"/>
      <c r="E33" s="142" t="str">
        <f>'Report (OMMi) - Var 1'!E33</f>
        <v>N/A</v>
      </c>
      <c r="F33" s="228"/>
      <c r="G33" s="142" t="str">
        <f>'Report (OMMi) - Var 1'!H33</f>
        <v>N/A</v>
      </c>
      <c r="H33" s="142" t="str">
        <f>'Report (OMMi) - Var 1'!I33</f>
        <v>N/A</v>
      </c>
      <c r="I33" s="142" t="str">
        <f>'Report (OMMi) - Var 1'!J33</f>
        <v>N/A</v>
      </c>
      <c r="J33" s="142" t="str">
        <f>'Report (OMMi) - Var 1'!K33</f>
        <v>N/A</v>
      </c>
      <c r="K33" s="142" t="str">
        <f>'Report (OMMi) - Var 1'!L33</f>
        <v>N/A</v>
      </c>
      <c r="L33" s="142" t="str">
        <f>'Report (OMMi) - Var 1'!M33</f>
        <v>N/A</v>
      </c>
      <c r="M33" s="142" t="str">
        <f>'Report (OMMi) - Var 1'!N33</f>
        <v>N/A</v>
      </c>
      <c r="N33" s="142" t="str">
        <f>'Report (OMMi) - Var 1'!O33</f>
        <v>N/A</v>
      </c>
      <c r="O33" s="142" t="str">
        <f>'Report (OMMi) - Var 1'!P33</f>
        <v>N/A</v>
      </c>
      <c r="P33" s="142" t="str">
        <f>'Report (OMMi) - Var 1'!Q33</f>
        <v>N/A</v>
      </c>
      <c r="Q33" s="142" t="str">
        <f>'Report (OMMi) - Var 1'!R33</f>
        <v>N/A</v>
      </c>
      <c r="R33" s="142" t="str">
        <f>'Report (OMMi) - Var 1'!S33</f>
        <v>N/A</v>
      </c>
      <c r="S33" s="142" t="str">
        <f>'Report (OMMi) - Var 1'!T33</f>
        <v>N/A</v>
      </c>
      <c r="T33" s="142" t="str">
        <f>'Report (OMMi) - Var 1'!U33</f>
        <v>N/A</v>
      </c>
      <c r="U33" s="142" t="str">
        <f>'Report (OMMi) - Var 1'!V33</f>
        <v>N/A</v>
      </c>
      <c r="V33" s="364" t="e">
        <f>'Report (OMMi) - Var 1'!W33:AG33</f>
        <v>#VALUE!</v>
      </c>
      <c r="W33" s="365"/>
      <c r="X33" s="365"/>
      <c r="Y33" s="365"/>
      <c r="Z33" s="365"/>
      <c r="AA33" s="365"/>
      <c r="AB33" s="365"/>
      <c r="AC33" s="365"/>
      <c r="AD33" s="365"/>
      <c r="AE33" s="365"/>
      <c r="AF33" s="366"/>
    </row>
    <row r="34" spans="1:33" ht="15" customHeight="1" x14ac:dyDescent="0.3">
      <c r="A34" s="151"/>
      <c r="B34" s="329" t="s">
        <v>829</v>
      </c>
      <c r="C34" s="330"/>
      <c r="D34" s="331"/>
      <c r="E34" s="142" t="str">
        <f>'Report (OMMi) - Var 1'!E34</f>
        <v>N/A</v>
      </c>
      <c r="F34" s="228"/>
      <c r="G34" s="142" t="str">
        <f>'Report (OMMi) - Var 1'!H34</f>
        <v>N/A</v>
      </c>
      <c r="H34" s="142" t="str">
        <f>'Report (OMMi) - Var 1'!I34</f>
        <v>N/A</v>
      </c>
      <c r="I34" s="142" t="str">
        <f>'Report (OMMi) - Var 1'!J34</f>
        <v>N/A</v>
      </c>
      <c r="J34" s="142" t="str">
        <f>'Report (OMMi) - Var 1'!K34</f>
        <v>N/A</v>
      </c>
      <c r="K34" s="142" t="str">
        <f>'Report (OMMi) - Var 1'!L34</f>
        <v>N/A</v>
      </c>
      <c r="L34" s="142" t="str">
        <f>'Report (OMMi) - Var 1'!M34</f>
        <v>N/A</v>
      </c>
      <c r="M34" s="142" t="str">
        <f>'Report (OMMi) - Var 1'!N34</f>
        <v>N/A</v>
      </c>
      <c r="N34" s="142" t="str">
        <f>'Report (OMMi) - Var 1'!O34</f>
        <v>N/A</v>
      </c>
      <c r="O34" s="142" t="str">
        <f>'Report (OMMi) - Var 1'!P34</f>
        <v>N/A</v>
      </c>
      <c r="P34" s="142" t="str">
        <f>'Report (OMMi) - Var 1'!Q34</f>
        <v>N/A</v>
      </c>
      <c r="Q34" s="142" t="str">
        <f>'Report (OMMi) - Var 1'!R34</f>
        <v>N/A</v>
      </c>
      <c r="R34" s="142" t="str">
        <f>'Report (OMMi) - Var 1'!S34</f>
        <v>N/A</v>
      </c>
      <c r="S34" s="142" t="str">
        <f>'Report (OMMi) - Var 1'!T34</f>
        <v>N/A</v>
      </c>
      <c r="T34" s="142" t="str">
        <f>'Report (OMMi) - Var 1'!U34</f>
        <v>N/A</v>
      </c>
      <c r="U34" s="142" t="str">
        <f>'Report (OMMi) - Var 1'!V34</f>
        <v>N/A</v>
      </c>
      <c r="V34" s="364" t="e">
        <f>'Report (OMMi) - Var 1'!W34:AG34</f>
        <v>#VALUE!</v>
      </c>
      <c r="W34" s="365"/>
      <c r="X34" s="365"/>
      <c r="Y34" s="365"/>
      <c r="Z34" s="365"/>
      <c r="AA34" s="365"/>
      <c r="AB34" s="365"/>
      <c r="AC34" s="365"/>
      <c r="AD34" s="365"/>
      <c r="AE34" s="365"/>
      <c r="AF34" s="366"/>
    </row>
    <row r="35" spans="1:33" ht="15" customHeight="1" x14ac:dyDescent="0.3">
      <c r="A35" s="151"/>
      <c r="B35" s="329" t="s">
        <v>824</v>
      </c>
      <c r="C35" s="330"/>
      <c r="D35" s="331"/>
      <c r="E35" s="142" t="str">
        <f>'Report (OMMi) - Var 1'!E35</f>
        <v>N/A</v>
      </c>
      <c r="F35" s="228"/>
      <c r="G35" s="142" t="str">
        <f>'Report (OMMi) - Var 1'!H35</f>
        <v>N/A</v>
      </c>
      <c r="H35" s="142" t="str">
        <f>'Report (OMMi) - Var 1'!I35</f>
        <v>N/A</v>
      </c>
      <c r="I35" s="142" t="str">
        <f>'Report (OMMi) - Var 1'!J35</f>
        <v>N/A</v>
      </c>
      <c r="J35" s="142" t="str">
        <f>'Report (OMMi) - Var 1'!K35</f>
        <v>N/A</v>
      </c>
      <c r="K35" s="142" t="str">
        <f>'Report (OMMi) - Var 1'!L35</f>
        <v>N/A</v>
      </c>
      <c r="L35" s="142" t="str">
        <f>'Report (OMMi) - Var 1'!M35</f>
        <v>N/A</v>
      </c>
      <c r="M35" s="142" t="str">
        <f>'Report (OMMi) - Var 1'!N35</f>
        <v>N/A</v>
      </c>
      <c r="N35" s="142" t="str">
        <f>'Report (OMMi) - Var 1'!O35</f>
        <v>N/A</v>
      </c>
      <c r="O35" s="142" t="str">
        <f>'Report (OMMi) - Var 1'!P35</f>
        <v>N/A</v>
      </c>
      <c r="P35" s="142" t="str">
        <f>'Report (OMMi) - Var 1'!Q35</f>
        <v>N/A</v>
      </c>
      <c r="Q35" s="142" t="str">
        <f>'Report (OMMi) - Var 1'!R35</f>
        <v>N/A</v>
      </c>
      <c r="R35" s="142" t="str">
        <f>'Report (OMMi) - Var 1'!S35</f>
        <v>N/A</v>
      </c>
      <c r="S35" s="142" t="str">
        <f>'Report (OMMi) - Var 1'!T35</f>
        <v>N/A</v>
      </c>
      <c r="T35" s="142" t="str">
        <f>'Report (OMMi) - Var 1'!U35</f>
        <v>N/A</v>
      </c>
      <c r="U35" s="142" t="str">
        <f>'Report (OMMi) - Var 1'!V35</f>
        <v>N/A</v>
      </c>
      <c r="V35" s="364" t="e">
        <f>'Report (OMMi) - Var 1'!W35:AG35</f>
        <v>#VALUE!</v>
      </c>
      <c r="W35" s="365"/>
      <c r="X35" s="365"/>
      <c r="Y35" s="365"/>
      <c r="Z35" s="365"/>
      <c r="AA35" s="365"/>
      <c r="AB35" s="365"/>
      <c r="AC35" s="365"/>
      <c r="AD35" s="365"/>
      <c r="AE35" s="365"/>
      <c r="AF35" s="366"/>
    </row>
    <row r="36" spans="1:33" ht="15" customHeight="1" x14ac:dyDescent="0.3">
      <c r="A36" s="151"/>
      <c r="B36" s="329" t="s">
        <v>819</v>
      </c>
      <c r="C36" s="330"/>
      <c r="D36" s="331"/>
      <c r="E36" s="142" t="str">
        <f>'Report (OMMi) - Var 1'!E36</f>
        <v>N/A</v>
      </c>
      <c r="F36" s="228"/>
      <c r="G36" s="142" t="str">
        <f>'Report (OMMi) - Var 1'!H36</f>
        <v>N/A</v>
      </c>
      <c r="H36" s="142" t="str">
        <f>'Report (OMMi) - Var 1'!I36</f>
        <v>N/A</v>
      </c>
      <c r="I36" s="142" t="str">
        <f>'Report (OMMi) - Var 1'!J36</f>
        <v>N/A</v>
      </c>
      <c r="J36" s="142" t="str">
        <f>'Report (OMMi) - Var 1'!K36</f>
        <v>N/A</v>
      </c>
      <c r="K36" s="142" t="str">
        <f>'Report (OMMi) - Var 1'!L36</f>
        <v>N/A</v>
      </c>
      <c r="L36" s="142" t="str">
        <f>'Report (OMMi) - Var 1'!M36</f>
        <v>N/A</v>
      </c>
      <c r="M36" s="142" t="str">
        <f>'Report (OMMi) - Var 1'!N36</f>
        <v>N/A</v>
      </c>
      <c r="N36" s="142" t="str">
        <f>'Report (OMMi) - Var 1'!O36</f>
        <v>N/A</v>
      </c>
      <c r="O36" s="142" t="str">
        <f>'Report (OMMi) - Var 1'!P36</f>
        <v>N/A</v>
      </c>
      <c r="P36" s="142" t="str">
        <f>'Report (OMMi) - Var 1'!Q36</f>
        <v>N/A</v>
      </c>
      <c r="Q36" s="142" t="str">
        <f>'Report (OMMi) - Var 1'!R36</f>
        <v>N/A</v>
      </c>
      <c r="R36" s="142" t="str">
        <f>'Report (OMMi) - Var 1'!S36</f>
        <v>N/A</v>
      </c>
      <c r="S36" s="142" t="str">
        <f>'Report (OMMi) - Var 1'!T36</f>
        <v>N/A</v>
      </c>
      <c r="T36" s="142" t="str">
        <f>'Report (OMMi) - Var 1'!U36</f>
        <v>N/A</v>
      </c>
      <c r="U36" s="142" t="str">
        <f>'Report (OMMi) - Var 1'!V36</f>
        <v>N/A</v>
      </c>
      <c r="V36" s="364" t="e">
        <f>'Report (OMMi) - Var 1'!W36:AG36</f>
        <v>#VALUE!</v>
      </c>
      <c r="W36" s="365"/>
      <c r="X36" s="365"/>
      <c r="Y36" s="365"/>
      <c r="Z36" s="365"/>
      <c r="AA36" s="365"/>
      <c r="AB36" s="365"/>
      <c r="AC36" s="365"/>
      <c r="AD36" s="365"/>
      <c r="AE36" s="365"/>
      <c r="AF36" s="366"/>
    </row>
    <row r="37" spans="1:33" ht="15" customHeight="1" x14ac:dyDescent="0.3">
      <c r="A37" s="151"/>
      <c r="B37" s="329" t="s">
        <v>1045</v>
      </c>
      <c r="C37" s="330"/>
      <c r="D37" s="331"/>
      <c r="E37" s="142" t="str">
        <f>'Report (OMMi) - Var 1'!E37</f>
        <v>N/A</v>
      </c>
      <c r="F37" s="228"/>
      <c r="G37" s="142" t="str">
        <f>'Report (OMMi) - Var 1'!H37</f>
        <v>N/A</v>
      </c>
      <c r="H37" s="142" t="str">
        <f>'Report (OMMi) - Var 1'!I37</f>
        <v>N/A</v>
      </c>
      <c r="I37" s="142" t="str">
        <f>'Report (OMMi) - Var 1'!J37</f>
        <v>N/A</v>
      </c>
      <c r="J37" s="142" t="str">
        <f>'Report (OMMi) - Var 1'!K37</f>
        <v>N/A</v>
      </c>
      <c r="K37" s="142" t="str">
        <f>'Report (OMMi) - Var 1'!L37</f>
        <v>N/A</v>
      </c>
      <c r="L37" s="142" t="str">
        <f>'Report (OMMi) - Var 1'!M37</f>
        <v>N/A</v>
      </c>
      <c r="M37" s="142" t="str">
        <f>'Report (OMMi) - Var 1'!N37</f>
        <v>N/A</v>
      </c>
      <c r="N37" s="142" t="str">
        <f>'Report (OMMi) - Var 1'!O37</f>
        <v>N/A</v>
      </c>
      <c r="O37" s="142" t="str">
        <f>'Report (OMMi) - Var 1'!P37</f>
        <v>N/A</v>
      </c>
      <c r="P37" s="142" t="str">
        <f>'Report (OMMi) - Var 1'!Q37</f>
        <v>N/A</v>
      </c>
      <c r="Q37" s="142" t="str">
        <f>'Report (OMMi) - Var 1'!R37</f>
        <v>N/A</v>
      </c>
      <c r="R37" s="142" t="str">
        <f>'Report (OMMi) - Var 1'!S37</f>
        <v>N/A</v>
      </c>
      <c r="S37" s="142" t="str">
        <f>'Report (OMMi) - Var 1'!T37</f>
        <v>N/A</v>
      </c>
      <c r="T37" s="142" t="str">
        <f>'Report (OMMi) - Var 1'!U37</f>
        <v>N/A</v>
      </c>
      <c r="U37" s="142" t="str">
        <f>'Report (OMMi) - Var 1'!V37</f>
        <v>N/A</v>
      </c>
      <c r="V37" s="364" t="e">
        <f>'Report (OMMi) - Var 1'!W37:AG37</f>
        <v>#VALUE!</v>
      </c>
      <c r="W37" s="365"/>
      <c r="X37" s="365"/>
      <c r="Y37" s="365"/>
      <c r="Z37" s="365"/>
      <c r="AA37" s="365"/>
      <c r="AB37" s="365"/>
      <c r="AC37" s="365"/>
      <c r="AD37" s="365"/>
      <c r="AE37" s="365"/>
      <c r="AF37" s="366"/>
    </row>
    <row r="38" spans="1:33" ht="15" hidden="1" customHeight="1" x14ac:dyDescent="0.3">
      <c r="A38" s="151"/>
      <c r="B38" s="329" t="s">
        <v>1153</v>
      </c>
      <c r="C38" s="330"/>
      <c r="D38" s="331"/>
      <c r="E38" s="142" t="str">
        <f>'Report (OMMi) - Var 1'!E38</f>
        <v>N/A</v>
      </c>
      <c r="F38" s="228"/>
      <c r="G38" s="142" t="str">
        <f>'Report (OMMi) - Var 1'!G38</f>
        <v>N/A</v>
      </c>
      <c r="H38" s="228"/>
      <c r="I38" s="228"/>
      <c r="J38" s="228"/>
      <c r="K38" s="228"/>
      <c r="L38" s="228"/>
      <c r="M38" s="228"/>
      <c r="N38" s="228"/>
      <c r="O38" s="228"/>
      <c r="P38" s="228"/>
      <c r="Q38" s="228"/>
      <c r="R38" s="228"/>
      <c r="S38" s="228"/>
      <c r="T38" s="228"/>
      <c r="U38" s="228"/>
      <c r="V38" s="228"/>
      <c r="W38" s="364"/>
      <c r="X38" s="365"/>
      <c r="Y38" s="365"/>
      <c r="Z38" s="365"/>
      <c r="AA38" s="365"/>
      <c r="AB38" s="365"/>
      <c r="AC38" s="365"/>
      <c r="AD38" s="365"/>
      <c r="AE38" s="365"/>
      <c r="AF38" s="365"/>
      <c r="AG38" s="366"/>
    </row>
    <row r="39" spans="1:33" ht="15" hidden="1" customHeight="1" x14ac:dyDescent="0.3">
      <c r="A39" s="151"/>
      <c r="B39" s="329" t="s">
        <v>1195</v>
      </c>
      <c r="C39" s="330"/>
      <c r="D39" s="331"/>
      <c r="E39" s="142" t="str">
        <f>'Report (OMMi) - Var 1'!E39</f>
        <v>N/A</v>
      </c>
      <c r="F39" s="228"/>
      <c r="G39" s="142" t="str">
        <f>'Report (OMMi) - Var 1'!G39</f>
        <v>N/A</v>
      </c>
      <c r="H39" s="228"/>
      <c r="I39" s="228"/>
      <c r="J39" s="228"/>
      <c r="K39" s="228"/>
      <c r="L39" s="228"/>
      <c r="M39" s="228"/>
      <c r="N39" s="228"/>
      <c r="O39" s="228"/>
      <c r="P39" s="228"/>
      <c r="Q39" s="228"/>
      <c r="R39" s="228"/>
      <c r="S39" s="228"/>
      <c r="T39" s="228"/>
      <c r="U39" s="228"/>
      <c r="V39" s="228"/>
      <c r="W39" s="364"/>
      <c r="X39" s="365"/>
      <c r="Y39" s="365"/>
      <c r="Z39" s="365"/>
      <c r="AA39" s="365"/>
      <c r="AB39" s="365"/>
      <c r="AC39" s="365"/>
      <c r="AD39" s="365"/>
      <c r="AE39" s="365"/>
      <c r="AF39" s="365"/>
      <c r="AG39" s="366"/>
    </row>
    <row r="40" spans="1:33" ht="15" customHeight="1" x14ac:dyDescent="0.3">
      <c r="A40" s="151"/>
      <c r="B40" s="140"/>
      <c r="C40" s="140"/>
      <c r="D40" s="140"/>
      <c r="E40" s="208" t="s">
        <v>453</v>
      </c>
      <c r="F40" s="208" t="s">
        <v>505</v>
      </c>
      <c r="G40" s="208" t="s">
        <v>505</v>
      </c>
      <c r="H40" s="208" t="s">
        <v>505</v>
      </c>
      <c r="I40" s="208" t="s">
        <v>505</v>
      </c>
      <c r="J40" s="208" t="s">
        <v>505</v>
      </c>
      <c r="K40" s="208" t="s">
        <v>505</v>
      </c>
      <c r="L40" s="208" t="s">
        <v>505</v>
      </c>
      <c r="M40" s="208" t="s">
        <v>505</v>
      </c>
      <c r="N40" s="208" t="s">
        <v>505</v>
      </c>
      <c r="O40" s="208" t="s">
        <v>505</v>
      </c>
      <c r="P40" s="208" t="s">
        <v>505</v>
      </c>
      <c r="Q40" s="155"/>
      <c r="R40" s="155"/>
      <c r="S40" s="155"/>
    </row>
    <row r="41" spans="1:33" x14ac:dyDescent="0.3">
      <c r="A41" s="151"/>
      <c r="B41" s="151"/>
      <c r="C41" s="342" t="s">
        <v>23</v>
      </c>
      <c r="D41" s="342"/>
      <c r="E41" s="342"/>
      <c r="F41" s="342"/>
      <c r="G41" s="342"/>
      <c r="H41" s="151"/>
      <c r="I41" s="151"/>
      <c r="J41" s="151"/>
      <c r="K41" s="151"/>
    </row>
    <row r="42" spans="1:33" ht="6.6" customHeight="1" x14ac:dyDescent="0.3">
      <c r="A42" s="151"/>
      <c r="B42" s="255"/>
      <c r="C42" s="255"/>
      <c r="D42" s="255"/>
      <c r="E42" s="255"/>
      <c r="F42" s="255"/>
      <c r="G42" s="151"/>
      <c r="H42" s="151"/>
      <c r="I42" s="151"/>
      <c r="J42" s="151"/>
      <c r="K42" s="151"/>
    </row>
    <row r="43" spans="1:33" x14ac:dyDescent="0.3">
      <c r="A43" s="151"/>
      <c r="B43" s="151"/>
      <c r="C43" s="157" t="s">
        <v>450</v>
      </c>
      <c r="D43" s="217" t="s">
        <v>425</v>
      </c>
      <c r="E43" s="158" t="s">
        <v>426</v>
      </c>
      <c r="F43" s="201" t="s">
        <v>427</v>
      </c>
      <c r="G43" s="202" t="s">
        <v>33</v>
      </c>
      <c r="H43" s="151"/>
      <c r="I43" s="151"/>
      <c r="J43" s="151"/>
      <c r="K43" s="151"/>
    </row>
    <row r="44" spans="1:33" x14ac:dyDescent="0.3">
      <c r="A44" s="151"/>
      <c r="B44" s="151"/>
      <c r="C44" s="151"/>
      <c r="D44" s="151"/>
      <c r="E44" s="151"/>
      <c r="F44" s="151"/>
      <c r="G44" s="151"/>
      <c r="H44" s="151"/>
      <c r="I44" s="151"/>
      <c r="J44" s="151"/>
      <c r="K44" s="151"/>
    </row>
    <row r="45" spans="1:33" x14ac:dyDescent="0.3">
      <c r="A45" s="151"/>
      <c r="B45" s="151"/>
      <c r="C45" s="341" t="s">
        <v>22</v>
      </c>
      <c r="D45" s="341"/>
      <c r="E45" s="341"/>
      <c r="F45" s="341"/>
      <c r="G45" s="341"/>
      <c r="H45" s="147"/>
      <c r="I45" s="147"/>
      <c r="J45" s="147"/>
      <c r="K45" s="151"/>
    </row>
    <row r="46" spans="1:33" x14ac:dyDescent="0.3">
      <c r="A46" s="151"/>
      <c r="B46" s="151"/>
      <c r="C46" s="151"/>
      <c r="D46" s="151"/>
      <c r="E46" s="151"/>
      <c r="F46" s="151"/>
      <c r="G46" s="151"/>
      <c r="H46" s="151"/>
      <c r="I46" s="151"/>
      <c r="J46" s="151"/>
      <c r="K46" s="151"/>
    </row>
    <row r="47" spans="1:33" x14ac:dyDescent="0.3">
      <c r="A47" s="151"/>
      <c r="B47" s="339"/>
      <c r="C47" s="339"/>
      <c r="D47" s="339"/>
      <c r="E47" s="339"/>
      <c r="F47" s="339"/>
      <c r="G47" s="159"/>
      <c r="H47" s="151"/>
      <c r="I47" s="151"/>
      <c r="J47" s="151"/>
      <c r="K47" s="151"/>
    </row>
  </sheetData>
  <sheetProtection password="DAE1" sheet="1" objects="1" scenarios="1" formatColumns="0" formatRows="0" autoFilter="0"/>
  <mergeCells count="66">
    <mergeCell ref="B47:F47"/>
    <mergeCell ref="C41:G41"/>
    <mergeCell ref="C45:G45"/>
    <mergeCell ref="B39:D39"/>
    <mergeCell ref="W39:AG39"/>
    <mergeCell ref="B36:D36"/>
    <mergeCell ref="V36:AF36"/>
    <mergeCell ref="B37:D37"/>
    <mergeCell ref="V37:AF37"/>
    <mergeCell ref="B38:D38"/>
    <mergeCell ref="W38:AG38"/>
    <mergeCell ref="B33:D33"/>
    <mergeCell ref="V33:AF33"/>
    <mergeCell ref="B34:D34"/>
    <mergeCell ref="V34:AF34"/>
    <mergeCell ref="B35:D35"/>
    <mergeCell ref="V35:AF35"/>
    <mergeCell ref="B30:D30"/>
    <mergeCell ref="V30:AF30"/>
    <mergeCell ref="B31:D31"/>
    <mergeCell ref="V31:AF31"/>
    <mergeCell ref="B32:D32"/>
    <mergeCell ref="V32:AF32"/>
    <mergeCell ref="B27:D27"/>
    <mergeCell ref="V27:AF27"/>
    <mergeCell ref="B28:D28"/>
    <mergeCell ref="V28:AF28"/>
    <mergeCell ref="B29:D29"/>
    <mergeCell ref="V29:AF29"/>
    <mergeCell ref="B24:D24"/>
    <mergeCell ref="V24:AF24"/>
    <mergeCell ref="B25:D25"/>
    <mergeCell ref="V25:AF25"/>
    <mergeCell ref="B26:D26"/>
    <mergeCell ref="V26:AF26"/>
    <mergeCell ref="B21:D21"/>
    <mergeCell ref="V21:AF21"/>
    <mergeCell ref="B22:D22"/>
    <mergeCell ref="V22:AF22"/>
    <mergeCell ref="B23:D23"/>
    <mergeCell ref="V23:AF23"/>
    <mergeCell ref="B18:D18"/>
    <mergeCell ref="V18:AF18"/>
    <mergeCell ref="B19:D19"/>
    <mergeCell ref="V19:AF19"/>
    <mergeCell ref="B20:D20"/>
    <mergeCell ref="V20:AF20"/>
    <mergeCell ref="G14:U14"/>
    <mergeCell ref="B15:D15"/>
    <mergeCell ref="B16:D16"/>
    <mergeCell ref="V16:AF16"/>
    <mergeCell ref="B17:D17"/>
    <mergeCell ref="V17:AF17"/>
    <mergeCell ref="C14:D14"/>
    <mergeCell ref="E14:E15"/>
    <mergeCell ref="E7:G7"/>
    <mergeCell ref="E8:G8"/>
    <mergeCell ref="B10:D10"/>
    <mergeCell ref="C11:D11"/>
    <mergeCell ref="B12:D12"/>
    <mergeCell ref="B2:G2"/>
    <mergeCell ref="A4:D4"/>
    <mergeCell ref="C5:D5"/>
    <mergeCell ref="E5:G5"/>
    <mergeCell ref="A6:D6"/>
    <mergeCell ref="E6:G6"/>
  </mergeCells>
  <conditionalFormatting sqref="E13:G14">
    <cfRule type="cellIs" dxfId="5652" priority="1224" operator="between">
      <formula>13</formula>
      <formula>15.9999</formula>
    </cfRule>
    <cfRule type="cellIs" dxfId="5651" priority="1225" operator="between">
      <formula>10</formula>
      <formula>12.9999</formula>
    </cfRule>
    <cfRule type="cellIs" dxfId="5650" priority="1226" operator="between">
      <formula>7</formula>
      <formula>9.9999</formula>
    </cfRule>
    <cfRule type="cellIs" dxfId="5649" priority="1227" operator="between">
      <formula>4</formula>
      <formula>6.9999</formula>
    </cfRule>
    <cfRule type="cellIs" dxfId="5648" priority="1228" operator="between">
      <formula>0.1</formula>
      <formula>3.9999</formula>
    </cfRule>
  </conditionalFormatting>
  <conditionalFormatting sqref="E10 E17 G17:U17 G12:U12">
    <cfRule type="cellIs" dxfId="5647" priority="1217" operator="equal">
      <formula>"N/A"</formula>
    </cfRule>
    <cfRule type="cellIs" dxfId="5646" priority="1218" operator="between">
      <formula>2.45</formula>
      <formula>2.94</formula>
    </cfRule>
    <cfRule type="cellIs" dxfId="5645" priority="1219" operator="greaterThanOrEqual">
      <formula>4.55</formula>
    </cfRule>
    <cfRule type="cellIs" dxfId="5644" priority="1220" operator="between">
      <formula>3.95</formula>
      <formula>4.94</formula>
    </cfRule>
    <cfRule type="cellIs" dxfId="5643" priority="1221" operator="between">
      <formula>2.95</formula>
      <formula>3.94</formula>
    </cfRule>
    <cfRule type="cellIs" dxfId="5642" priority="1222" operator="between">
      <formula>1.95</formula>
      <formula>2.44</formula>
    </cfRule>
    <cfRule type="cellIs" dxfId="5641" priority="1223" operator="lessThanOrEqual">
      <formula>1.94</formula>
    </cfRule>
  </conditionalFormatting>
  <conditionalFormatting sqref="F17">
    <cfRule type="cellIs" dxfId="5640" priority="1210" operator="equal">
      <formula>"N/A"</formula>
    </cfRule>
    <cfRule type="cellIs" dxfId="5639" priority="1211" operator="between">
      <formula>2.45</formula>
      <formula>2.94</formula>
    </cfRule>
    <cfRule type="cellIs" dxfId="5638" priority="1212" operator="greaterThanOrEqual">
      <formula>4.55</formula>
    </cfRule>
    <cfRule type="cellIs" dxfId="5637" priority="1213" operator="between">
      <formula>3.95</formula>
      <formula>4.94</formula>
    </cfRule>
    <cfRule type="cellIs" dxfId="5636" priority="1214" operator="between">
      <formula>2.95</formula>
      <formula>3.94</formula>
    </cfRule>
    <cfRule type="cellIs" dxfId="5635" priority="1215" operator="between">
      <formula>1.95</formula>
      <formula>2.44</formula>
    </cfRule>
    <cfRule type="cellIs" dxfId="5634" priority="1216" operator="lessThanOrEqual">
      <formula>1.94</formula>
    </cfRule>
  </conditionalFormatting>
  <conditionalFormatting sqref="F12">
    <cfRule type="cellIs" dxfId="5633" priority="295" operator="equal">
      <formula>"N/A"</formula>
    </cfRule>
    <cfRule type="cellIs" dxfId="5632" priority="296" operator="between">
      <formula>2.45</formula>
      <formula>2.94</formula>
    </cfRule>
    <cfRule type="cellIs" dxfId="5631" priority="297" operator="greaterThanOrEqual">
      <formula>4.55</formula>
    </cfRule>
    <cfRule type="cellIs" dxfId="5630" priority="298" operator="between">
      <formula>3.95</formula>
      <formula>4.94</formula>
    </cfRule>
    <cfRule type="cellIs" dxfId="5629" priority="299" operator="between">
      <formula>2.95</formula>
      <formula>3.94</formula>
    </cfRule>
    <cfRule type="cellIs" dxfId="5628" priority="300" operator="between">
      <formula>1.95</formula>
      <formula>2.44</formula>
    </cfRule>
    <cfRule type="cellIs" dxfId="5627" priority="301" operator="lessThanOrEqual">
      <formula>1.94</formula>
    </cfRule>
  </conditionalFormatting>
  <conditionalFormatting sqref="F18:F21">
    <cfRule type="cellIs" dxfId="5626" priority="57" operator="equal">
      <formula>"N/A"</formula>
    </cfRule>
    <cfRule type="cellIs" dxfId="5625" priority="58" operator="between">
      <formula>2.45</formula>
      <formula>2.94</formula>
    </cfRule>
    <cfRule type="cellIs" dxfId="5624" priority="59" operator="greaterThanOrEqual">
      <formula>4.55</formula>
    </cfRule>
    <cfRule type="cellIs" dxfId="5623" priority="60" operator="between">
      <formula>3.95</formula>
      <formula>4.94</formula>
    </cfRule>
    <cfRule type="cellIs" dxfId="5622" priority="61" operator="between">
      <formula>2.95</formula>
      <formula>3.94</formula>
    </cfRule>
    <cfRule type="cellIs" dxfId="5621" priority="62" operator="between">
      <formula>1.95</formula>
      <formula>2.44</formula>
    </cfRule>
    <cfRule type="cellIs" dxfId="5620" priority="63" operator="lessThanOrEqual">
      <formula>1.94</formula>
    </cfRule>
  </conditionalFormatting>
  <conditionalFormatting sqref="G18:U26">
    <cfRule type="cellIs" dxfId="5619" priority="50" operator="equal">
      <formula>"N/A"</formula>
    </cfRule>
    <cfRule type="cellIs" dxfId="5618" priority="51" operator="between">
      <formula>2.45</formula>
      <formula>2.94</formula>
    </cfRule>
    <cfRule type="cellIs" dxfId="5617" priority="52" operator="greaterThanOrEqual">
      <formula>4.55</formula>
    </cfRule>
    <cfRule type="cellIs" dxfId="5616" priority="53" operator="between">
      <formula>3.95</formula>
      <formula>4.94</formula>
    </cfRule>
    <cfRule type="cellIs" dxfId="5615" priority="54" operator="between">
      <formula>2.95</formula>
      <formula>3.94</formula>
    </cfRule>
    <cfRule type="cellIs" dxfId="5614" priority="55" operator="between">
      <formula>1.95</formula>
      <formula>2.44</formula>
    </cfRule>
    <cfRule type="cellIs" dxfId="5613" priority="56" operator="lessThanOrEqual">
      <formula>1.94</formula>
    </cfRule>
  </conditionalFormatting>
  <conditionalFormatting sqref="G28:U37">
    <cfRule type="cellIs" dxfId="5612" priority="43" operator="equal">
      <formula>"N/A"</formula>
    </cfRule>
    <cfRule type="cellIs" dxfId="5611" priority="44" operator="between">
      <formula>2.45</formula>
      <formula>2.94</formula>
    </cfRule>
    <cfRule type="cellIs" dxfId="5610" priority="45" operator="greaterThanOrEqual">
      <formula>4.55</formula>
    </cfRule>
    <cfRule type="cellIs" dxfId="5609" priority="46" operator="between">
      <formula>3.95</formula>
      <formula>4.94</formula>
    </cfRule>
    <cfRule type="cellIs" dxfId="5608" priority="47" operator="between">
      <formula>2.95</formula>
      <formula>3.94</formula>
    </cfRule>
    <cfRule type="cellIs" dxfId="5607" priority="48" operator="between">
      <formula>1.95</formula>
      <formula>2.44</formula>
    </cfRule>
    <cfRule type="cellIs" dxfId="5606" priority="49" operator="lessThanOrEqual">
      <formula>1.94</formula>
    </cfRule>
  </conditionalFormatting>
  <conditionalFormatting sqref="G38:G39">
    <cfRule type="cellIs" dxfId="5605" priority="15" operator="equal">
      <formula>"N/A"</formula>
    </cfRule>
    <cfRule type="cellIs" dxfId="5604" priority="16" operator="between">
      <formula>2.45</formula>
      <formula>2.94</formula>
    </cfRule>
    <cfRule type="cellIs" dxfId="5603" priority="17" operator="greaterThanOrEqual">
      <formula>4.55</formula>
    </cfRule>
    <cfRule type="cellIs" dxfId="5602" priority="18" operator="between">
      <formula>3.95</formula>
      <formula>4.94</formula>
    </cfRule>
    <cfRule type="cellIs" dxfId="5601" priority="19" operator="between">
      <formula>2.95</formula>
      <formula>3.94</formula>
    </cfRule>
    <cfRule type="cellIs" dxfId="5600" priority="20" operator="between">
      <formula>1.95</formula>
      <formula>2.44</formula>
    </cfRule>
    <cfRule type="cellIs" dxfId="5599" priority="21" operator="lessThanOrEqual">
      <formula>1.94</formula>
    </cfRule>
  </conditionalFormatting>
  <conditionalFormatting sqref="E18:E39">
    <cfRule type="cellIs" dxfId="5598" priority="8" operator="equal">
      <formula>"N/A"</formula>
    </cfRule>
    <cfRule type="cellIs" dxfId="5597" priority="9" operator="between">
      <formula>2.45</formula>
      <formula>2.94</formula>
    </cfRule>
    <cfRule type="cellIs" dxfId="5596" priority="10" operator="greaterThanOrEqual">
      <formula>4.55</formula>
    </cfRule>
    <cfRule type="cellIs" dxfId="5595" priority="11" operator="between">
      <formula>3.95</formula>
      <formula>4.94</formula>
    </cfRule>
    <cfRule type="cellIs" dxfId="5594" priority="12" operator="between">
      <formula>2.95</formula>
      <formula>3.94</formula>
    </cfRule>
    <cfRule type="cellIs" dxfId="5593" priority="13" operator="between">
      <formula>1.95</formula>
      <formula>2.44</formula>
    </cfRule>
    <cfRule type="cellIs" dxfId="5592" priority="14" operator="lessThanOrEqual">
      <formula>1.94</formula>
    </cfRule>
  </conditionalFormatting>
  <pageMargins left="0.70866141732283472" right="0.70866141732283472" top="0.61" bottom="0.51" header="0.31496062992125984" footer="0.31496062992125984"/>
  <pageSetup paperSize="9" scale="10" orientation="portrait" r:id="rId1"/>
  <headerFooter>
    <oddHeader>&amp;RInformation Classification: SEC2 Customer Confidential</oddHeader>
    <oddFooter>&amp;LFIle: &amp;F&amp;RPage: &amp;P/&amp;N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47"/>
  <sheetViews>
    <sheetView zoomScale="79" zoomScaleNormal="79" zoomScalePageLayoutView="45" workbookViewId="0"/>
  </sheetViews>
  <sheetFormatPr defaultColWidth="9.109375" defaultRowHeight="14.4" x14ac:dyDescent="0.3"/>
  <cols>
    <col min="1" max="1" width="3" style="23" customWidth="1"/>
    <col min="2" max="2" width="19.88671875" style="23" customWidth="1"/>
    <col min="3" max="3" width="18.6640625" style="23" customWidth="1"/>
    <col min="4" max="4" width="18.5546875" style="23" customWidth="1"/>
    <col min="5" max="16" width="19.33203125" style="23" customWidth="1"/>
    <col min="17" max="17" width="19.44140625" style="23" customWidth="1"/>
    <col min="18" max="22" width="19.33203125" style="23" customWidth="1"/>
    <col min="23" max="16384" width="9.109375" style="23"/>
  </cols>
  <sheetData>
    <row r="1" spans="1:33" x14ac:dyDescent="0.3">
      <c r="A1" s="23" t="s">
        <v>18</v>
      </c>
      <c r="B1" s="23" t="s">
        <v>18</v>
      </c>
    </row>
    <row r="2" spans="1:33" s="3" customFormat="1" ht="25.8" x14ac:dyDescent="0.5">
      <c r="A2" s="143"/>
      <c r="B2" s="344" t="s">
        <v>513</v>
      </c>
      <c r="C2" s="344"/>
      <c r="D2" s="344"/>
      <c r="E2" s="344"/>
      <c r="F2" s="344"/>
      <c r="G2" s="344"/>
      <c r="H2" s="143"/>
      <c r="I2" s="143"/>
      <c r="J2" s="143"/>
      <c r="K2" s="143"/>
    </row>
    <row r="3" spans="1:33" s="1" customFormat="1" ht="7.5" customHeight="1" x14ac:dyDescent="0.35">
      <c r="A3" s="144"/>
      <c r="B3" s="145"/>
      <c r="C3" s="145"/>
      <c r="D3" s="145"/>
      <c r="E3" s="145"/>
      <c r="F3" s="145"/>
      <c r="G3" s="145"/>
      <c r="H3" s="145"/>
      <c r="I3" s="145"/>
      <c r="J3" s="145"/>
      <c r="K3" s="145"/>
    </row>
    <row r="4" spans="1:33" s="1" customFormat="1" ht="15.6" x14ac:dyDescent="0.3">
      <c r="A4" s="345" t="s">
        <v>4</v>
      </c>
      <c r="B4" s="345"/>
      <c r="C4" s="345"/>
      <c r="D4" s="345"/>
      <c r="E4" s="146"/>
      <c r="F4" s="145"/>
      <c r="G4" s="145"/>
      <c r="H4" s="145"/>
      <c r="I4" s="145"/>
      <c r="J4" s="145"/>
      <c r="K4" s="145"/>
    </row>
    <row r="5" spans="1:33" s="1" customFormat="1" ht="15" customHeight="1" x14ac:dyDescent="0.3">
      <c r="A5" s="145"/>
      <c r="B5" s="147"/>
      <c r="C5" s="355" t="s">
        <v>454</v>
      </c>
      <c r="D5" s="356"/>
      <c r="E5" s="362" t="str">
        <f>'Report (OMMi) - Var 1'!E5:G5</f>
        <v>A Big Important Account</v>
      </c>
      <c r="F5" s="362"/>
      <c r="G5" s="362"/>
      <c r="H5" s="145" t="s">
        <v>445</v>
      </c>
      <c r="I5" s="145"/>
      <c r="J5" s="145"/>
    </row>
    <row r="6" spans="1:33" s="1" customFormat="1" x14ac:dyDescent="0.3">
      <c r="A6" s="346" t="s">
        <v>443</v>
      </c>
      <c r="B6" s="346"/>
      <c r="C6" s="346"/>
      <c r="D6" s="346"/>
      <c r="E6" s="362" t="str">
        <f>'Report (OMMi) - Var 1'!E6:G6</f>
        <v>A.N Other</v>
      </c>
      <c r="F6" s="362"/>
      <c r="G6" s="362"/>
      <c r="H6" s="145"/>
    </row>
    <row r="7" spans="1:33" s="1" customFormat="1" x14ac:dyDescent="0.3">
      <c r="A7" s="252"/>
      <c r="B7" s="252"/>
      <c r="C7" s="252"/>
      <c r="D7" s="253" t="s">
        <v>6</v>
      </c>
      <c r="E7" s="363">
        <f>'Report (OMMi) - Var 1'!E7:G7</f>
        <v>43497</v>
      </c>
      <c r="F7" s="363"/>
      <c r="G7" s="363"/>
      <c r="H7" s="145"/>
      <c r="I7" s="145"/>
      <c r="J7" s="145"/>
      <c r="K7" s="145"/>
    </row>
    <row r="8" spans="1:33" s="1" customFormat="1" x14ac:dyDescent="0.3">
      <c r="A8" s="252"/>
      <c r="B8" s="252"/>
      <c r="C8" s="252"/>
      <c r="D8" s="253" t="s">
        <v>35</v>
      </c>
      <c r="E8" s="362" t="str">
        <f>'Report (OMMi) - Var 1'!E8:G8</f>
        <v>A999999</v>
      </c>
      <c r="F8" s="362"/>
      <c r="G8" s="362"/>
      <c r="H8" s="145"/>
      <c r="I8" s="145"/>
      <c r="J8" s="145"/>
      <c r="K8" s="145"/>
    </row>
    <row r="9" spans="1:33" s="1" customFormat="1" ht="17.25" customHeight="1" x14ac:dyDescent="0.35">
      <c r="A9" s="144"/>
      <c r="B9" s="145"/>
      <c r="C9" s="145"/>
      <c r="D9" s="145"/>
      <c r="E9" s="145"/>
      <c r="F9" s="145"/>
      <c r="G9" s="145"/>
      <c r="H9" s="145"/>
      <c r="I9" s="145"/>
      <c r="J9" s="145"/>
      <c r="K9" s="145"/>
    </row>
    <row r="10" spans="1:33" ht="15.6" x14ac:dyDescent="0.3">
      <c r="A10" s="151"/>
      <c r="B10" s="358" t="str">
        <f>"Account: "&amp;E5&amp;" Overall OMMi Score"</f>
        <v>Account: A Big Important Account Overall OMMi Score</v>
      </c>
      <c r="C10" s="359"/>
      <c r="D10" s="360"/>
      <c r="E10" s="210" t="str">
        <f>'Report (OMMi) - Var 1'!E10</f>
        <v>N/A</v>
      </c>
      <c r="F10" s="145"/>
      <c r="G10" s="145"/>
      <c r="H10" s="151"/>
      <c r="I10" s="145"/>
      <c r="J10" s="151"/>
      <c r="K10" s="151"/>
    </row>
    <row r="11" spans="1:33" s="1" customFormat="1" ht="18" x14ac:dyDescent="0.35">
      <c r="A11" s="144"/>
      <c r="B11" s="150"/>
      <c r="C11" s="361" t="s">
        <v>507</v>
      </c>
      <c r="D11" s="361"/>
      <c r="E11" s="145"/>
      <c r="F11" s="145"/>
      <c r="G11" s="145"/>
      <c r="H11" s="207" t="str">
        <f t="shared" ref="H11:P11" si="0">IFERROR(AVERAGE(I17:I20),"N/A")</f>
        <v>N/A</v>
      </c>
      <c r="I11" s="207" t="str">
        <f t="shared" si="0"/>
        <v>N/A</v>
      </c>
      <c r="J11" s="207" t="str">
        <f t="shared" si="0"/>
        <v>N/A</v>
      </c>
      <c r="K11" s="207" t="str">
        <f t="shared" si="0"/>
        <v>N/A</v>
      </c>
      <c r="L11" s="207" t="str">
        <f t="shared" si="0"/>
        <v>N/A</v>
      </c>
      <c r="M11" s="207" t="str">
        <f t="shared" si="0"/>
        <v>N/A</v>
      </c>
      <c r="N11" s="207" t="str">
        <f t="shared" si="0"/>
        <v>N/A</v>
      </c>
      <c r="O11" s="207" t="str">
        <f t="shared" si="0"/>
        <v>N/A</v>
      </c>
      <c r="P11" s="207" t="str">
        <f t="shared" si="0"/>
        <v>N/A</v>
      </c>
      <c r="Q11" s="145"/>
      <c r="R11" s="145"/>
      <c r="S11" s="203"/>
    </row>
    <row r="12" spans="1:33" ht="15.6" x14ac:dyDescent="0.3">
      <c r="A12" s="151"/>
      <c r="B12" s="347" t="s">
        <v>662</v>
      </c>
      <c r="C12" s="348"/>
      <c r="D12" s="349"/>
      <c r="E12" s="204" t="s">
        <v>506</v>
      </c>
      <c r="F12" s="142" t="str">
        <f>'Report (OMMi) - Var 1'!F12</f>
        <v>N/A</v>
      </c>
      <c r="G12" s="142" t="str">
        <f>'Report (OMMi) - Var 1'!G12</f>
        <v>N/A</v>
      </c>
      <c r="H12" s="142" t="str">
        <f>'Report (OMMi) - Var 1'!H12</f>
        <v>N/A</v>
      </c>
      <c r="I12" s="142" t="str">
        <f>'Report (OMMi) - Var 1'!I12</f>
        <v>N/A</v>
      </c>
      <c r="J12" s="142" t="str">
        <f>'Report (OMMi) - Var 1'!J12</f>
        <v>N/A</v>
      </c>
      <c r="K12" s="142" t="str">
        <f>'Report (OMMi) - Var 1'!K12</f>
        <v>N/A</v>
      </c>
      <c r="L12" s="142" t="str">
        <f>'Report (OMMi) - Var 1'!L12</f>
        <v>N/A</v>
      </c>
      <c r="M12" s="142" t="str">
        <f>'Report (OMMi) - Var 1'!M12</f>
        <v>N/A</v>
      </c>
      <c r="N12" s="142" t="str">
        <f>'Report (OMMi) - Var 1'!N12</f>
        <v>N/A</v>
      </c>
      <c r="O12" s="142" t="str">
        <f>'Report (OMMi) - Var 1'!O12</f>
        <v>N/A</v>
      </c>
      <c r="P12" s="142" t="str">
        <f>'Report (OMMi) - Var 1'!P12</f>
        <v>N/A</v>
      </c>
      <c r="Q12" s="142" t="str">
        <f>'Report (OMMi) - Var 1'!Q12</f>
        <v>N/A</v>
      </c>
      <c r="R12" s="142" t="str">
        <f>'Report (OMMi) - Var 1'!R12</f>
        <v>N/A</v>
      </c>
      <c r="S12" s="142" t="str">
        <f>'Report (OMMi) - Var 1'!S12</f>
        <v>N/A</v>
      </c>
      <c r="T12" s="142" t="str">
        <f>'Report (OMMi) - Var 1'!T12</f>
        <v>N/A</v>
      </c>
      <c r="U12" s="142" t="str">
        <f>'Report (OMMi) - Var 1'!U12</f>
        <v>N/A</v>
      </c>
      <c r="V12" s="142" t="str">
        <f>'Report (OMMi) - Var 1'!V12</f>
        <v>N/A</v>
      </c>
      <c r="W12" s="145"/>
      <c r="X12" s="151"/>
      <c r="Y12" s="151"/>
    </row>
    <row r="13" spans="1:33" ht="6.75" customHeight="1" x14ac:dyDescent="0.3">
      <c r="A13" s="151"/>
      <c r="B13" s="152"/>
      <c r="C13" s="152"/>
      <c r="D13" s="152"/>
      <c r="E13" s="153"/>
      <c r="F13" s="153"/>
      <c r="G13" s="153"/>
      <c r="H13" s="153"/>
      <c r="I13" s="145"/>
      <c r="J13" s="145"/>
      <c r="K13" s="145"/>
      <c r="L13" s="145"/>
      <c r="M13" s="145"/>
      <c r="N13" s="145"/>
      <c r="O13" s="145"/>
      <c r="P13" s="145"/>
      <c r="Q13" s="145"/>
      <c r="R13" s="145"/>
      <c r="S13" s="145"/>
      <c r="T13" s="145"/>
      <c r="U13" s="145"/>
      <c r="V13" s="145"/>
      <c r="W13" s="145"/>
      <c r="X13" s="151"/>
      <c r="Y13" s="151"/>
    </row>
    <row r="14" spans="1:33" ht="18" x14ac:dyDescent="0.3">
      <c r="A14" s="151"/>
      <c r="B14" s="152"/>
      <c r="C14" s="357"/>
      <c r="D14" s="357"/>
      <c r="E14" s="334" t="s">
        <v>773</v>
      </c>
      <c r="F14" s="210" t="s">
        <v>504</v>
      </c>
      <c r="G14" s="256"/>
      <c r="H14" s="332" t="s">
        <v>684</v>
      </c>
      <c r="I14" s="333"/>
      <c r="J14" s="333"/>
      <c r="K14" s="333"/>
      <c r="L14" s="333"/>
      <c r="M14" s="333"/>
      <c r="N14" s="333"/>
      <c r="O14" s="333"/>
      <c r="P14" s="333"/>
      <c r="Q14" s="333"/>
      <c r="R14" s="333"/>
      <c r="S14" s="333"/>
      <c r="T14" s="333"/>
      <c r="U14" s="333"/>
      <c r="V14" s="333"/>
      <c r="W14" s="145"/>
      <c r="X14" s="151"/>
      <c r="Y14" s="151"/>
    </row>
    <row r="15" spans="1:33" ht="18" x14ac:dyDescent="0.35">
      <c r="A15" s="144"/>
      <c r="B15" s="350"/>
      <c r="C15" s="350"/>
      <c r="D15" s="351"/>
      <c r="E15" s="335"/>
      <c r="F15" s="257" t="str">
        <f>'Report (OMMi) - Var 1'!F15</f>
        <v>ODM: A.N Other</v>
      </c>
      <c r="G15" s="257" t="str">
        <f>'Report (OMMi) - Var 1'!G15</f>
        <v>Service Desk Specific</v>
      </c>
      <c r="H15" s="257" t="str">
        <f>'Report (OMMi) - Var 1'!H15</f>
        <v>Subject 1</v>
      </c>
      <c r="I15" s="257" t="str">
        <f>'Report (OMMi) - Var 1'!I15</f>
        <v>Subject 2</v>
      </c>
      <c r="J15" s="257" t="str">
        <f>'Report (OMMi) - Var 1'!J15</f>
        <v>Subject 3</v>
      </c>
      <c r="K15" s="257" t="str">
        <f>'Report (OMMi) - Var 1'!K15</f>
        <v>Subject 4</v>
      </c>
      <c r="L15" s="257" t="str">
        <f>'Report (OMMi) - Var 1'!L15</f>
        <v>Subject 5</v>
      </c>
      <c r="M15" s="257" t="str">
        <f>'Report (OMMi) - Var 1'!M15</f>
        <v>Subject 6</v>
      </c>
      <c r="N15" s="257" t="str">
        <f>'Report (OMMi) - Var 1'!N15</f>
        <v>Subject 7</v>
      </c>
      <c r="O15" s="257" t="str">
        <f>'Report (OMMi) - Var 1'!O15</f>
        <v xml:space="preserve">Subject 8 </v>
      </c>
      <c r="P15" s="257" t="str">
        <f>'Report (OMMi) - Var 1'!P15</f>
        <v>Subject 9</v>
      </c>
      <c r="Q15" s="257" t="str">
        <f>'Report (OMMi) - Var 1'!Q15</f>
        <v>Subject 10</v>
      </c>
      <c r="R15" s="257" t="str">
        <f>'Report (OMMi) - Var 1'!R15</f>
        <v>Subject 11</v>
      </c>
      <c r="S15" s="257" t="str">
        <f>'Report (OMMi) - Var 1'!S15</f>
        <v>Subject 12</v>
      </c>
      <c r="T15" s="257" t="str">
        <f>'Report (OMMi) - Var 1'!T15</f>
        <v>Subject 13</v>
      </c>
      <c r="U15" s="257" t="str">
        <f>'Report (OMMi) - Var 1'!U15</f>
        <v>Subject 14</v>
      </c>
      <c r="V15" s="257" t="str">
        <f>'Report (OMMi) - Var 1'!V15</f>
        <v>Subject 15</v>
      </c>
      <c r="W15" s="254"/>
      <c r="X15" s="145"/>
      <c r="Y15" s="151"/>
      <c r="Z15" s="151"/>
    </row>
    <row r="16" spans="1:33" ht="15" customHeight="1" x14ac:dyDescent="0.3">
      <c r="A16" s="151"/>
      <c r="B16" s="340" t="s">
        <v>5</v>
      </c>
      <c r="C16" s="340"/>
      <c r="D16" s="340"/>
      <c r="E16" s="207" t="str">
        <f>IFERROR(TRUNC(AVERAGE(E17:E26),2), "N/A")</f>
        <v>N/A</v>
      </c>
      <c r="F16" s="235"/>
      <c r="G16" s="236"/>
      <c r="H16" s="236"/>
      <c r="I16" s="236"/>
      <c r="J16" s="236"/>
      <c r="K16" s="236"/>
      <c r="L16" s="236"/>
      <c r="M16" s="236"/>
      <c r="N16" s="236"/>
      <c r="O16" s="236"/>
      <c r="P16" s="236"/>
      <c r="Q16" s="236"/>
      <c r="R16" s="236"/>
      <c r="S16" s="236"/>
      <c r="T16" s="236"/>
      <c r="U16" s="236"/>
      <c r="V16" s="236"/>
      <c r="W16" s="336" t="s">
        <v>452</v>
      </c>
      <c r="X16" s="337"/>
      <c r="Y16" s="337"/>
      <c r="Z16" s="337"/>
      <c r="AA16" s="337"/>
      <c r="AB16" s="337"/>
      <c r="AC16" s="337"/>
      <c r="AD16" s="337"/>
      <c r="AE16" s="337"/>
      <c r="AF16" s="337"/>
      <c r="AG16" s="338"/>
    </row>
    <row r="17" spans="1:33" ht="15" customHeight="1" x14ac:dyDescent="0.3">
      <c r="A17" s="151"/>
      <c r="B17" s="329" t="s">
        <v>436</v>
      </c>
      <c r="C17" s="330"/>
      <c r="D17" s="331"/>
      <c r="E17" s="142" t="str">
        <f>'Report (OMMi) - Var 1'!E17</f>
        <v>N/A</v>
      </c>
      <c r="F17" s="142" t="str">
        <f>'Report (OMMi) - Var 1'!F17</f>
        <v>N/A</v>
      </c>
      <c r="G17" s="228"/>
      <c r="H17" s="228"/>
      <c r="I17" s="228"/>
      <c r="J17" s="228"/>
      <c r="K17" s="228"/>
      <c r="L17" s="228"/>
      <c r="M17" s="228"/>
      <c r="N17" s="228"/>
      <c r="O17" s="228"/>
      <c r="P17" s="228"/>
      <c r="Q17" s="228"/>
      <c r="R17" s="228"/>
      <c r="S17" s="228"/>
      <c r="T17" s="228"/>
      <c r="U17" s="228"/>
      <c r="V17" s="228"/>
      <c r="W17" s="364">
        <f>'Report (OMMi) - Var 1'!W17:AG17</f>
        <v>0</v>
      </c>
      <c r="X17" s="365"/>
      <c r="Y17" s="365"/>
      <c r="Z17" s="365"/>
      <c r="AA17" s="365"/>
      <c r="AB17" s="365"/>
      <c r="AC17" s="365"/>
      <c r="AD17" s="365"/>
      <c r="AE17" s="365"/>
      <c r="AF17" s="365"/>
      <c r="AG17" s="366"/>
    </row>
    <row r="18" spans="1:33" ht="15" customHeight="1" x14ac:dyDescent="0.3">
      <c r="A18" s="151"/>
      <c r="B18" s="329" t="s">
        <v>433</v>
      </c>
      <c r="C18" s="330"/>
      <c r="D18" s="331"/>
      <c r="E18" s="142" t="str">
        <f>'Report (OMMi) - Var 1'!E18</f>
        <v>N/A</v>
      </c>
      <c r="F18" s="142" t="str">
        <f>'Report (OMMi) - Var 1'!F18</f>
        <v>N/A</v>
      </c>
      <c r="G18" s="228"/>
      <c r="H18" s="228"/>
      <c r="I18" s="228"/>
      <c r="J18" s="228"/>
      <c r="K18" s="228"/>
      <c r="L18" s="228"/>
      <c r="M18" s="228"/>
      <c r="N18" s="228"/>
      <c r="O18" s="228"/>
      <c r="P18" s="228"/>
      <c r="Q18" s="228"/>
      <c r="R18" s="228"/>
      <c r="S18" s="228"/>
      <c r="T18" s="228"/>
      <c r="U18" s="228"/>
      <c r="V18" s="228"/>
      <c r="W18" s="364">
        <f>'Report (OMMi) - Var 1'!W18:AG18</f>
        <v>0</v>
      </c>
      <c r="X18" s="365"/>
      <c r="Y18" s="365"/>
      <c r="Z18" s="365"/>
      <c r="AA18" s="365"/>
      <c r="AB18" s="365"/>
      <c r="AC18" s="365"/>
      <c r="AD18" s="365"/>
      <c r="AE18" s="365"/>
      <c r="AF18" s="365"/>
      <c r="AG18" s="366"/>
    </row>
    <row r="19" spans="1:33" ht="15" customHeight="1" x14ac:dyDescent="0.3">
      <c r="A19" s="151"/>
      <c r="B19" s="329" t="s">
        <v>434</v>
      </c>
      <c r="C19" s="330"/>
      <c r="D19" s="331"/>
      <c r="E19" s="142" t="str">
        <f>'Report (OMMi) - Var 1'!E19</f>
        <v>N/A</v>
      </c>
      <c r="F19" s="142" t="str">
        <f>'Report (OMMi) - Var 1'!F19</f>
        <v>N/A</v>
      </c>
      <c r="G19" s="228"/>
      <c r="H19" s="228"/>
      <c r="I19" s="228"/>
      <c r="J19" s="228"/>
      <c r="K19" s="228"/>
      <c r="L19" s="228"/>
      <c r="M19" s="228"/>
      <c r="N19" s="228"/>
      <c r="O19" s="228"/>
      <c r="P19" s="228"/>
      <c r="Q19" s="228"/>
      <c r="R19" s="228"/>
      <c r="S19" s="228"/>
      <c r="T19" s="228"/>
      <c r="U19" s="228"/>
      <c r="V19" s="228"/>
      <c r="W19" s="364">
        <f>'Report (OMMi) - Var 1'!W19:AG19</f>
        <v>0</v>
      </c>
      <c r="X19" s="365"/>
      <c r="Y19" s="365"/>
      <c r="Z19" s="365"/>
      <c r="AA19" s="365"/>
      <c r="AB19" s="365"/>
      <c r="AC19" s="365"/>
      <c r="AD19" s="365"/>
      <c r="AE19" s="365"/>
      <c r="AF19" s="365"/>
      <c r="AG19" s="366"/>
    </row>
    <row r="20" spans="1:33" ht="15" customHeight="1" x14ac:dyDescent="0.3">
      <c r="A20" s="151"/>
      <c r="B20" s="329" t="s">
        <v>435</v>
      </c>
      <c r="C20" s="330"/>
      <c r="D20" s="331"/>
      <c r="E20" s="142" t="str">
        <f>'Report (OMMi) - Var 1'!E20</f>
        <v>N/A</v>
      </c>
      <c r="F20" s="142" t="str">
        <f>'Report (OMMi) - Var 1'!F20</f>
        <v>N/A</v>
      </c>
      <c r="G20" s="228"/>
      <c r="H20" s="228"/>
      <c r="I20" s="228"/>
      <c r="J20" s="228"/>
      <c r="K20" s="228"/>
      <c r="L20" s="228"/>
      <c r="M20" s="228"/>
      <c r="N20" s="228"/>
      <c r="O20" s="228"/>
      <c r="P20" s="228"/>
      <c r="Q20" s="228"/>
      <c r="R20" s="228"/>
      <c r="S20" s="228"/>
      <c r="T20" s="228"/>
      <c r="U20" s="228"/>
      <c r="V20" s="228"/>
      <c r="W20" s="364">
        <f>'Report (OMMi) - Var 1'!W20:AG20</f>
        <v>0</v>
      </c>
      <c r="X20" s="365"/>
      <c r="Y20" s="365"/>
      <c r="Z20" s="365"/>
      <c r="AA20" s="365"/>
      <c r="AB20" s="365"/>
      <c r="AC20" s="365"/>
      <c r="AD20" s="365"/>
      <c r="AE20" s="365"/>
      <c r="AF20" s="365"/>
      <c r="AG20" s="366"/>
    </row>
    <row r="21" spans="1:33" ht="15" customHeight="1" x14ac:dyDescent="0.3">
      <c r="A21" s="151"/>
      <c r="B21" s="329" t="s">
        <v>651</v>
      </c>
      <c r="C21" s="330"/>
      <c r="D21" s="331"/>
      <c r="E21" s="142" t="str">
        <f>'Report (OMMi) - Var 1'!E21</f>
        <v>N/A</v>
      </c>
      <c r="F21" s="142" t="str">
        <f>'Report (OMMi) - Var 1'!F21</f>
        <v>N/A</v>
      </c>
      <c r="G21" s="228"/>
      <c r="H21" s="228"/>
      <c r="I21" s="228"/>
      <c r="J21" s="228"/>
      <c r="K21" s="228"/>
      <c r="L21" s="228"/>
      <c r="M21" s="228"/>
      <c r="N21" s="228"/>
      <c r="O21" s="228"/>
      <c r="P21" s="228"/>
      <c r="Q21" s="228"/>
      <c r="R21" s="228"/>
      <c r="S21" s="228"/>
      <c r="T21" s="228"/>
      <c r="U21" s="228"/>
      <c r="V21" s="228"/>
      <c r="W21" s="364">
        <f>'Report (OMMi) - Var 1'!W21:AG21</f>
        <v>0</v>
      </c>
      <c r="X21" s="365"/>
      <c r="Y21" s="365"/>
      <c r="Z21" s="365"/>
      <c r="AA21" s="365"/>
      <c r="AB21" s="365"/>
      <c r="AC21" s="365"/>
      <c r="AD21" s="365"/>
      <c r="AE21" s="365"/>
      <c r="AF21" s="365"/>
      <c r="AG21" s="366"/>
    </row>
    <row r="22" spans="1:33" ht="15" customHeight="1" x14ac:dyDescent="0.3">
      <c r="A22" s="151"/>
      <c r="B22" s="329" t="s">
        <v>830</v>
      </c>
      <c r="C22" s="330"/>
      <c r="D22" s="331"/>
      <c r="E22" s="142" t="str">
        <f>'Report (OMMi) - Var 1'!E22</f>
        <v>N/A</v>
      </c>
      <c r="F22" s="228"/>
      <c r="G22" s="142" t="str">
        <f>'Report (OMMi) - Var 1'!G22</f>
        <v>N/A</v>
      </c>
      <c r="H22" s="228"/>
      <c r="I22" s="228"/>
      <c r="J22" s="228"/>
      <c r="K22" s="228"/>
      <c r="L22" s="228"/>
      <c r="M22" s="228"/>
      <c r="N22" s="228"/>
      <c r="O22" s="228"/>
      <c r="P22" s="228"/>
      <c r="Q22" s="228"/>
      <c r="R22" s="228"/>
      <c r="S22" s="228"/>
      <c r="T22" s="228"/>
      <c r="U22" s="228"/>
      <c r="V22" s="228"/>
      <c r="W22" s="364">
        <f>'Report (OMMi) - Var 1'!W22:AG22</f>
        <v>0</v>
      </c>
      <c r="X22" s="365"/>
      <c r="Y22" s="365"/>
      <c r="Z22" s="365"/>
      <c r="AA22" s="365"/>
      <c r="AB22" s="365"/>
      <c r="AC22" s="365"/>
      <c r="AD22" s="365"/>
      <c r="AE22" s="365"/>
      <c r="AF22" s="365"/>
      <c r="AG22" s="366"/>
    </row>
    <row r="23" spans="1:33" ht="15" customHeight="1" x14ac:dyDescent="0.3">
      <c r="A23" s="151"/>
      <c r="B23" s="329" t="s">
        <v>826</v>
      </c>
      <c r="C23" s="330"/>
      <c r="D23" s="331"/>
      <c r="E23" s="142" t="str">
        <f>'Report (OMMi) - Var 1'!E23</f>
        <v>N/A</v>
      </c>
      <c r="F23" s="228"/>
      <c r="G23" s="228"/>
      <c r="H23" s="142" t="str">
        <f>'Report (OMMi) - Var 1'!H23</f>
        <v>N/A</v>
      </c>
      <c r="I23" s="142" t="str">
        <f>'Report (OMMi) - Var 1'!I23</f>
        <v>N/A</v>
      </c>
      <c r="J23" s="142" t="str">
        <f>'Report (OMMi) - Var 1'!J23</f>
        <v>N/A</v>
      </c>
      <c r="K23" s="142" t="str">
        <f>'Report (OMMi) - Var 1'!K23</f>
        <v>N/A</v>
      </c>
      <c r="L23" s="142" t="str">
        <f>'Report (OMMi) - Var 1'!L23</f>
        <v>N/A</v>
      </c>
      <c r="M23" s="142" t="str">
        <f>'Report (OMMi) - Var 1'!M23</f>
        <v>N/A</v>
      </c>
      <c r="N23" s="142" t="str">
        <f>'Report (OMMi) - Var 1'!N23</f>
        <v>N/A</v>
      </c>
      <c r="O23" s="142" t="str">
        <f>'Report (OMMi) - Var 1'!O23</f>
        <v>N/A</v>
      </c>
      <c r="P23" s="142" t="str">
        <f>'Report (OMMi) - Var 1'!P23</f>
        <v>N/A</v>
      </c>
      <c r="Q23" s="142" t="str">
        <f>'Report (OMMi) - Var 1'!Q23</f>
        <v>N/A</v>
      </c>
      <c r="R23" s="142" t="str">
        <f>'Report (OMMi) - Var 1'!R23</f>
        <v>N/A</v>
      </c>
      <c r="S23" s="142" t="str">
        <f>'Report (OMMi) - Var 1'!S23</f>
        <v>N/A</v>
      </c>
      <c r="T23" s="142" t="str">
        <f>'Report (OMMi) - Var 1'!T23</f>
        <v>N/A</v>
      </c>
      <c r="U23" s="142" t="str">
        <f>'Report (OMMi) - Var 1'!U23</f>
        <v>N/A</v>
      </c>
      <c r="V23" s="142" t="str">
        <f>'Report (OMMi) - Var 1'!V23</f>
        <v>N/A</v>
      </c>
      <c r="W23" s="364">
        <f>'Report (OMMi) - Var 1'!W23:AG23</f>
        <v>0</v>
      </c>
      <c r="X23" s="365"/>
      <c r="Y23" s="365"/>
      <c r="Z23" s="365"/>
      <c r="AA23" s="365"/>
      <c r="AB23" s="365"/>
      <c r="AC23" s="365"/>
      <c r="AD23" s="365"/>
      <c r="AE23" s="365"/>
      <c r="AF23" s="365"/>
      <c r="AG23" s="366"/>
    </row>
    <row r="24" spans="1:33" ht="15" customHeight="1" x14ac:dyDescent="0.3">
      <c r="A24" s="151"/>
      <c r="B24" s="329" t="s">
        <v>661</v>
      </c>
      <c r="C24" s="330"/>
      <c r="D24" s="331"/>
      <c r="E24" s="142" t="str">
        <f>'Report (OMMi) - Var 1'!E24</f>
        <v>N/A</v>
      </c>
      <c r="F24" s="228"/>
      <c r="G24" s="228"/>
      <c r="H24" s="142" t="str">
        <f>'Report (OMMi) - Var 1'!H24</f>
        <v>N/A</v>
      </c>
      <c r="I24" s="142" t="str">
        <f>'Report (OMMi) - Var 1'!I24</f>
        <v>N/A</v>
      </c>
      <c r="J24" s="142" t="str">
        <f>'Report (OMMi) - Var 1'!J24</f>
        <v>N/A</v>
      </c>
      <c r="K24" s="142" t="str">
        <f>'Report (OMMi) - Var 1'!K24</f>
        <v>N/A</v>
      </c>
      <c r="L24" s="142" t="str">
        <f>'Report (OMMi) - Var 1'!L24</f>
        <v>N/A</v>
      </c>
      <c r="M24" s="142" t="str">
        <f>'Report (OMMi) - Var 1'!M24</f>
        <v>N/A</v>
      </c>
      <c r="N24" s="142" t="str">
        <f>'Report (OMMi) - Var 1'!N24</f>
        <v>N/A</v>
      </c>
      <c r="O24" s="142" t="str">
        <f>'Report (OMMi) - Var 1'!O24</f>
        <v>N/A</v>
      </c>
      <c r="P24" s="142" t="str">
        <f>'Report (OMMi) - Var 1'!P24</f>
        <v>N/A</v>
      </c>
      <c r="Q24" s="142" t="str">
        <f>'Report (OMMi) - Var 1'!Q24</f>
        <v>N/A</v>
      </c>
      <c r="R24" s="142" t="str">
        <f>'Report (OMMi) - Var 1'!R24</f>
        <v>N/A</v>
      </c>
      <c r="S24" s="142" t="str">
        <f>'Report (OMMi) - Var 1'!S24</f>
        <v>N/A</v>
      </c>
      <c r="T24" s="142" t="str">
        <f>'Report (OMMi) - Var 1'!T24</f>
        <v>N/A</v>
      </c>
      <c r="U24" s="142" t="str">
        <f>'Report (OMMi) - Var 1'!U24</f>
        <v>N/A</v>
      </c>
      <c r="V24" s="142" t="str">
        <f>'Report (OMMi) - Var 1'!V24</f>
        <v>N/A</v>
      </c>
      <c r="W24" s="364">
        <f>'Report (OMMi) - Var 1'!W24:AG24</f>
        <v>0</v>
      </c>
      <c r="X24" s="365"/>
      <c r="Y24" s="365"/>
      <c r="Z24" s="365"/>
      <c r="AA24" s="365"/>
      <c r="AB24" s="365"/>
      <c r="AC24" s="365"/>
      <c r="AD24" s="365"/>
      <c r="AE24" s="365"/>
      <c r="AF24" s="365"/>
      <c r="AG24" s="366"/>
    </row>
    <row r="25" spans="1:33" ht="15" customHeight="1" x14ac:dyDescent="0.3">
      <c r="A25" s="151"/>
      <c r="B25" s="329" t="s">
        <v>831</v>
      </c>
      <c r="C25" s="330"/>
      <c r="D25" s="331"/>
      <c r="E25" s="142" t="str">
        <f>'Report (OMMi) - Var 1'!E25</f>
        <v>N/A</v>
      </c>
      <c r="F25" s="228"/>
      <c r="G25" s="142" t="str">
        <f>'Report (OMMi) - Var 1'!G25</f>
        <v>N/A</v>
      </c>
      <c r="H25" s="228"/>
      <c r="I25" s="228"/>
      <c r="J25" s="228"/>
      <c r="K25" s="228"/>
      <c r="L25" s="228"/>
      <c r="M25" s="228"/>
      <c r="N25" s="228"/>
      <c r="O25" s="228"/>
      <c r="P25" s="228"/>
      <c r="Q25" s="228"/>
      <c r="R25" s="228"/>
      <c r="S25" s="228"/>
      <c r="T25" s="228"/>
      <c r="U25" s="228"/>
      <c r="V25" s="228"/>
      <c r="W25" s="364">
        <f>'Report (OMMi) - Var 1'!W25:AG25</f>
        <v>0</v>
      </c>
      <c r="X25" s="365"/>
      <c r="Y25" s="365"/>
      <c r="Z25" s="365"/>
      <c r="AA25" s="365"/>
      <c r="AB25" s="365"/>
      <c r="AC25" s="365"/>
      <c r="AD25" s="365"/>
      <c r="AE25" s="365"/>
      <c r="AF25" s="365"/>
      <c r="AG25" s="366"/>
    </row>
    <row r="26" spans="1:33" ht="15" customHeight="1" x14ac:dyDescent="0.3">
      <c r="A26" s="151"/>
      <c r="B26" s="329" t="s">
        <v>833</v>
      </c>
      <c r="C26" s="330"/>
      <c r="D26" s="331"/>
      <c r="E26" s="142" t="str">
        <f>'Report (OMMi) - Var 1'!E26</f>
        <v>N/A</v>
      </c>
      <c r="F26" s="228"/>
      <c r="G26" s="228"/>
      <c r="H26" s="142" t="str">
        <f>'Report (OMMi) - Var 1'!H26</f>
        <v>N/A</v>
      </c>
      <c r="I26" s="142" t="str">
        <f>'Report (OMMi) - Var 1'!I26</f>
        <v>N/A</v>
      </c>
      <c r="J26" s="142" t="str">
        <f>'Report (OMMi) - Var 1'!J26</f>
        <v>N/A</v>
      </c>
      <c r="K26" s="142" t="str">
        <f>'Report (OMMi) - Var 1'!K26</f>
        <v>N/A</v>
      </c>
      <c r="L26" s="142" t="str">
        <f>'Report (OMMi) - Var 1'!L26</f>
        <v>N/A</v>
      </c>
      <c r="M26" s="142" t="str">
        <f>'Report (OMMi) - Var 1'!M26</f>
        <v>N/A</v>
      </c>
      <c r="N26" s="142" t="str">
        <f>'Report (OMMi) - Var 1'!N26</f>
        <v>N/A</v>
      </c>
      <c r="O26" s="142" t="str">
        <f>'Report (OMMi) - Var 1'!O26</f>
        <v>N/A</v>
      </c>
      <c r="P26" s="142" t="str">
        <f>'Report (OMMi) - Var 1'!P26</f>
        <v>N/A</v>
      </c>
      <c r="Q26" s="142" t="str">
        <f>'Report (OMMi) - Var 1'!Q26</f>
        <v>N/A</v>
      </c>
      <c r="R26" s="142" t="str">
        <f>'Report (OMMi) - Var 1'!R26</f>
        <v>N/A</v>
      </c>
      <c r="S26" s="142" t="str">
        <f>'Report (OMMi) - Var 1'!S26</f>
        <v>N/A</v>
      </c>
      <c r="T26" s="142" t="str">
        <f>'Report (OMMi) - Var 1'!T26</f>
        <v>N/A</v>
      </c>
      <c r="U26" s="142" t="str">
        <f>'Report (OMMi) - Var 1'!U26</f>
        <v>N/A</v>
      </c>
      <c r="V26" s="142" t="str">
        <f>'Report (OMMi) - Var 1'!V26</f>
        <v>N/A</v>
      </c>
      <c r="W26" s="364">
        <f>'Report (OMMi) - Var 1'!W26:AG26</f>
        <v>0</v>
      </c>
      <c r="X26" s="365"/>
      <c r="Y26" s="365"/>
      <c r="Z26" s="365"/>
      <c r="AA26" s="365"/>
      <c r="AB26" s="365"/>
      <c r="AC26" s="365"/>
      <c r="AD26" s="365"/>
      <c r="AE26" s="365"/>
      <c r="AF26" s="365"/>
      <c r="AG26" s="366"/>
    </row>
    <row r="27" spans="1:33" ht="15" customHeight="1" x14ac:dyDescent="0.3">
      <c r="A27" s="151"/>
      <c r="B27" s="329" t="s">
        <v>835</v>
      </c>
      <c r="C27" s="330"/>
      <c r="D27" s="331"/>
      <c r="E27" s="142" t="str">
        <f>'Report (OMMi) - Var 1'!E27</f>
        <v>N/A</v>
      </c>
      <c r="F27" s="228"/>
      <c r="G27" s="142" t="str">
        <f>'Report (OMMi) - Var 1'!G27</f>
        <v>N/A</v>
      </c>
      <c r="H27" s="228"/>
      <c r="I27" s="228"/>
      <c r="J27" s="228"/>
      <c r="K27" s="228"/>
      <c r="L27" s="228"/>
      <c r="M27" s="228"/>
      <c r="N27" s="228"/>
      <c r="O27" s="228"/>
      <c r="P27" s="228"/>
      <c r="Q27" s="228"/>
      <c r="R27" s="228"/>
      <c r="S27" s="228"/>
      <c r="T27" s="228"/>
      <c r="U27" s="228"/>
      <c r="V27" s="228"/>
      <c r="W27" s="364"/>
      <c r="X27" s="365"/>
      <c r="Y27" s="365"/>
      <c r="Z27" s="365"/>
      <c r="AA27" s="365"/>
      <c r="AB27" s="365"/>
      <c r="AC27" s="365"/>
      <c r="AD27" s="365"/>
      <c r="AE27" s="365"/>
      <c r="AF27" s="365"/>
      <c r="AG27" s="366"/>
    </row>
    <row r="28" spans="1:33" ht="15" hidden="1" customHeight="1" x14ac:dyDescent="0.3">
      <c r="A28" s="151"/>
      <c r="B28" s="329" t="s">
        <v>836</v>
      </c>
      <c r="C28" s="330"/>
      <c r="D28" s="331"/>
      <c r="E28" s="142" t="str">
        <f>'Report (OMMi) - Var 1'!E28</f>
        <v>N/A</v>
      </c>
      <c r="F28" s="228"/>
      <c r="G28" s="228"/>
      <c r="H28" s="142" t="str">
        <f>'Report (OMMi) - Var 1'!H28</f>
        <v>N/A</v>
      </c>
      <c r="I28" s="142" t="str">
        <f>'Report (OMMi) - Var 1'!I28</f>
        <v>N/A</v>
      </c>
      <c r="J28" s="142" t="str">
        <f>'Report (OMMi) - Var 1'!J28</f>
        <v>N/A</v>
      </c>
      <c r="K28" s="142" t="str">
        <f>'Report (OMMi) - Var 1'!K28</f>
        <v>N/A</v>
      </c>
      <c r="L28" s="142" t="str">
        <f>'Report (OMMi) - Var 1'!L28</f>
        <v>N/A</v>
      </c>
      <c r="M28" s="142" t="str">
        <f>'Report (OMMi) - Var 1'!M28</f>
        <v>N/A</v>
      </c>
      <c r="N28" s="142" t="str">
        <f>'Report (OMMi) - Var 1'!N28</f>
        <v>N/A</v>
      </c>
      <c r="O28" s="142" t="str">
        <f>'Report (OMMi) - Var 1'!O28</f>
        <v>N/A</v>
      </c>
      <c r="P28" s="142" t="str">
        <f>'Report (OMMi) - Var 1'!P28</f>
        <v>N/A</v>
      </c>
      <c r="Q28" s="142" t="str">
        <f>'Report (OMMi) - Var 1'!Q28</f>
        <v>N/A</v>
      </c>
      <c r="R28" s="142" t="str">
        <f>'Report (OMMi) - Var 1'!R28</f>
        <v>N/A</v>
      </c>
      <c r="S28" s="142" t="str">
        <f>'Report (OMMi) - Var 1'!S28</f>
        <v>N/A</v>
      </c>
      <c r="T28" s="142" t="str">
        <f>'Report (OMMi) - Var 1'!T28</f>
        <v>N/A</v>
      </c>
      <c r="U28" s="142" t="str">
        <f>'Report (OMMi) - Var 1'!U28</f>
        <v>N/A</v>
      </c>
      <c r="V28" s="142" t="str">
        <f>'Report (OMMi) - Var 1'!V28</f>
        <v>N/A</v>
      </c>
      <c r="W28" s="364">
        <f>'Report (OMMi) - Var 1'!W28:AG28</f>
        <v>0</v>
      </c>
      <c r="X28" s="365"/>
      <c r="Y28" s="365"/>
      <c r="Z28" s="365"/>
      <c r="AA28" s="365"/>
      <c r="AB28" s="365"/>
      <c r="AC28" s="365"/>
      <c r="AD28" s="365"/>
      <c r="AE28" s="365"/>
      <c r="AF28" s="365"/>
      <c r="AG28" s="366"/>
    </row>
    <row r="29" spans="1:33" ht="15" customHeight="1" x14ac:dyDescent="0.3">
      <c r="A29" s="151"/>
      <c r="B29" s="329" t="s">
        <v>837</v>
      </c>
      <c r="C29" s="330"/>
      <c r="D29" s="331"/>
      <c r="E29" s="142" t="str">
        <f>'Report (OMMi) - Var 1'!E29</f>
        <v>N/A</v>
      </c>
      <c r="F29" s="228"/>
      <c r="G29" s="142" t="str">
        <f>'Report (OMMi) - Var 1'!G29</f>
        <v>N/A</v>
      </c>
      <c r="H29" s="142" t="str">
        <f>'Report (OMMi) - Var 1'!H29</f>
        <v>N/A</v>
      </c>
      <c r="I29" s="142" t="str">
        <f>'Report (OMMi) - Var 1'!I29</f>
        <v>N/A</v>
      </c>
      <c r="J29" s="142" t="str">
        <f>'Report (OMMi) - Var 1'!J29</f>
        <v>N/A</v>
      </c>
      <c r="K29" s="142" t="str">
        <f>'Report (OMMi) - Var 1'!K29</f>
        <v>N/A</v>
      </c>
      <c r="L29" s="142" t="str">
        <f>'Report (OMMi) - Var 1'!L29</f>
        <v>N/A</v>
      </c>
      <c r="M29" s="142" t="str">
        <f>'Report (OMMi) - Var 1'!M29</f>
        <v>N/A</v>
      </c>
      <c r="N29" s="142" t="str">
        <f>'Report (OMMi) - Var 1'!N29</f>
        <v>N/A</v>
      </c>
      <c r="O29" s="142" t="str">
        <f>'Report (OMMi) - Var 1'!O29</f>
        <v>N/A</v>
      </c>
      <c r="P29" s="142" t="str">
        <f>'Report (OMMi) - Var 1'!P29</f>
        <v>N/A</v>
      </c>
      <c r="Q29" s="142" t="str">
        <f>'Report (OMMi) - Var 1'!Q29</f>
        <v>N/A</v>
      </c>
      <c r="R29" s="142" t="str">
        <f>'Report (OMMi) - Var 1'!R29</f>
        <v>N/A</v>
      </c>
      <c r="S29" s="142" t="str">
        <f>'Report (OMMi) - Var 1'!S29</f>
        <v>N/A</v>
      </c>
      <c r="T29" s="142" t="str">
        <f>'Report (OMMi) - Var 1'!T29</f>
        <v>N/A</v>
      </c>
      <c r="U29" s="142" t="str">
        <f>'Report (OMMi) - Var 1'!U29</f>
        <v>N/A</v>
      </c>
      <c r="V29" s="142" t="str">
        <f>'Report (OMMi) - Var 1'!V29</f>
        <v>N/A</v>
      </c>
      <c r="W29" s="364">
        <f>'Report (OMMi) - Var 1'!W29:AG29</f>
        <v>0</v>
      </c>
      <c r="X29" s="365"/>
      <c r="Y29" s="365"/>
      <c r="Z29" s="365"/>
      <c r="AA29" s="365"/>
      <c r="AB29" s="365"/>
      <c r="AC29" s="365"/>
      <c r="AD29" s="365"/>
      <c r="AE29" s="365"/>
      <c r="AF29" s="365"/>
      <c r="AG29" s="366"/>
    </row>
    <row r="30" spans="1:33" ht="15" hidden="1" customHeight="1" x14ac:dyDescent="0.3">
      <c r="A30" s="151"/>
      <c r="B30" s="329" t="s">
        <v>838</v>
      </c>
      <c r="C30" s="330"/>
      <c r="D30" s="331"/>
      <c r="E30" s="142" t="str">
        <f>'Report (OMMi) - Var 1'!E30</f>
        <v>N/A</v>
      </c>
      <c r="F30" s="228"/>
      <c r="G30" s="228"/>
      <c r="H30" s="142" t="str">
        <f>'Report (OMMi) - Var 1'!H30</f>
        <v>N/A</v>
      </c>
      <c r="I30" s="142" t="str">
        <f>'Report (OMMi) - Var 1'!I30</f>
        <v>N/A</v>
      </c>
      <c r="J30" s="142" t="str">
        <f>'Report (OMMi) - Var 1'!J30</f>
        <v>N/A</v>
      </c>
      <c r="K30" s="142" t="str">
        <f>'Report (OMMi) - Var 1'!K30</f>
        <v>N/A</v>
      </c>
      <c r="L30" s="142" t="str">
        <f>'Report (OMMi) - Var 1'!L30</f>
        <v>N/A</v>
      </c>
      <c r="M30" s="142" t="str">
        <f>'Report (OMMi) - Var 1'!M30</f>
        <v>N/A</v>
      </c>
      <c r="N30" s="142" t="str">
        <f>'Report (OMMi) - Var 1'!N30</f>
        <v>N/A</v>
      </c>
      <c r="O30" s="142" t="str">
        <f>'Report (OMMi) - Var 1'!O30</f>
        <v>N/A</v>
      </c>
      <c r="P30" s="142" t="str">
        <f>'Report (OMMi) - Var 1'!P30</f>
        <v>N/A</v>
      </c>
      <c r="Q30" s="142" t="str">
        <f>'Report (OMMi) - Var 1'!Q30</f>
        <v>N/A</v>
      </c>
      <c r="R30" s="142" t="str">
        <f>'Report (OMMi) - Var 1'!R30</f>
        <v>N/A</v>
      </c>
      <c r="S30" s="142" t="str">
        <f>'Report (OMMi) - Var 1'!S30</f>
        <v>N/A</v>
      </c>
      <c r="T30" s="142" t="str">
        <f>'Report (OMMi) - Var 1'!T30</f>
        <v>N/A</v>
      </c>
      <c r="U30" s="142" t="str">
        <f>'Report (OMMi) - Var 1'!U30</f>
        <v>N/A</v>
      </c>
      <c r="V30" s="142" t="str">
        <f>'Report (OMMi) - Var 1'!V30</f>
        <v>N/A</v>
      </c>
      <c r="W30" s="364">
        <f>'Report (OMMi) - Var 1'!W30:AG30</f>
        <v>0</v>
      </c>
      <c r="X30" s="365"/>
      <c r="Y30" s="365"/>
      <c r="Z30" s="365"/>
      <c r="AA30" s="365"/>
      <c r="AB30" s="365"/>
      <c r="AC30" s="365"/>
      <c r="AD30" s="365"/>
      <c r="AE30" s="365"/>
      <c r="AF30" s="365"/>
      <c r="AG30" s="366"/>
    </row>
    <row r="31" spans="1:33" ht="15" hidden="1" customHeight="1" x14ac:dyDescent="0.3">
      <c r="A31" s="151"/>
      <c r="B31" s="329" t="s">
        <v>839</v>
      </c>
      <c r="C31" s="330"/>
      <c r="D31" s="331"/>
      <c r="E31" s="142" t="str">
        <f>'Report (OMMi) - Var 1'!E31</f>
        <v>N/A</v>
      </c>
      <c r="F31" s="228"/>
      <c r="G31" s="228"/>
      <c r="H31" s="142" t="str">
        <f>'Report (OMMi) - Var 1'!H31</f>
        <v>N/A</v>
      </c>
      <c r="I31" s="142" t="str">
        <f>'Report (OMMi) - Var 1'!I31</f>
        <v>N/A</v>
      </c>
      <c r="J31" s="142" t="str">
        <f>'Report (OMMi) - Var 1'!J31</f>
        <v>N/A</v>
      </c>
      <c r="K31" s="142" t="str">
        <f>'Report (OMMi) - Var 1'!K31</f>
        <v>N/A</v>
      </c>
      <c r="L31" s="142" t="str">
        <f>'Report (OMMi) - Var 1'!L31</f>
        <v>N/A</v>
      </c>
      <c r="M31" s="142" t="str">
        <f>'Report (OMMi) - Var 1'!M31</f>
        <v>N/A</v>
      </c>
      <c r="N31" s="142" t="str">
        <f>'Report (OMMi) - Var 1'!N31</f>
        <v>N/A</v>
      </c>
      <c r="O31" s="142" t="str">
        <f>'Report (OMMi) - Var 1'!O31</f>
        <v>N/A</v>
      </c>
      <c r="P31" s="142" t="str">
        <f>'Report (OMMi) - Var 1'!P31</f>
        <v>N/A</v>
      </c>
      <c r="Q31" s="142" t="str">
        <f>'Report (OMMi) - Var 1'!Q31</f>
        <v>N/A</v>
      </c>
      <c r="R31" s="142" t="str">
        <f>'Report (OMMi) - Var 1'!R31</f>
        <v>N/A</v>
      </c>
      <c r="S31" s="142" t="str">
        <f>'Report (OMMi) - Var 1'!S31</f>
        <v>N/A</v>
      </c>
      <c r="T31" s="142" t="str">
        <f>'Report (OMMi) - Var 1'!T31</f>
        <v>N/A</v>
      </c>
      <c r="U31" s="142" t="str">
        <f>'Report (OMMi) - Var 1'!U31</f>
        <v>N/A</v>
      </c>
      <c r="V31" s="142" t="str">
        <f>'Report (OMMi) - Var 1'!V31</f>
        <v>N/A</v>
      </c>
      <c r="W31" s="364">
        <f>'Report (OMMi) - Var 1'!W31:AG31</f>
        <v>0</v>
      </c>
      <c r="X31" s="365"/>
      <c r="Y31" s="365"/>
      <c r="Z31" s="365"/>
      <c r="AA31" s="365"/>
      <c r="AB31" s="365"/>
      <c r="AC31" s="365"/>
      <c r="AD31" s="365"/>
      <c r="AE31" s="365"/>
      <c r="AF31" s="365"/>
      <c r="AG31" s="366"/>
    </row>
    <row r="32" spans="1:33" ht="15" hidden="1" customHeight="1" x14ac:dyDescent="0.3">
      <c r="A32" s="151"/>
      <c r="B32" s="329" t="s">
        <v>827</v>
      </c>
      <c r="C32" s="330"/>
      <c r="D32" s="331"/>
      <c r="E32" s="142" t="str">
        <f>'Report (OMMi) - Var 1'!E32</f>
        <v>N/A</v>
      </c>
      <c r="F32" s="228"/>
      <c r="G32" s="228"/>
      <c r="H32" s="142" t="str">
        <f>'Report (OMMi) - Var 1'!H32</f>
        <v>N/A</v>
      </c>
      <c r="I32" s="142" t="str">
        <f>'Report (OMMi) - Var 1'!I32</f>
        <v>N/A</v>
      </c>
      <c r="J32" s="142" t="str">
        <f>'Report (OMMi) - Var 1'!J32</f>
        <v>N/A</v>
      </c>
      <c r="K32" s="142" t="str">
        <f>'Report (OMMi) - Var 1'!K32</f>
        <v>N/A</v>
      </c>
      <c r="L32" s="142" t="str">
        <f>'Report (OMMi) - Var 1'!L32</f>
        <v>N/A</v>
      </c>
      <c r="M32" s="142" t="str">
        <f>'Report (OMMi) - Var 1'!M32</f>
        <v>N/A</v>
      </c>
      <c r="N32" s="142" t="str">
        <f>'Report (OMMi) - Var 1'!N32</f>
        <v>N/A</v>
      </c>
      <c r="O32" s="142" t="str">
        <f>'Report (OMMi) - Var 1'!O32</f>
        <v>N/A</v>
      </c>
      <c r="P32" s="142" t="str">
        <f>'Report (OMMi) - Var 1'!P32</f>
        <v>N/A</v>
      </c>
      <c r="Q32" s="142" t="str">
        <f>'Report (OMMi) - Var 1'!Q32</f>
        <v>N/A</v>
      </c>
      <c r="R32" s="142" t="str">
        <f>'Report (OMMi) - Var 1'!R32</f>
        <v>N/A</v>
      </c>
      <c r="S32" s="142" t="str">
        <f>'Report (OMMi) - Var 1'!S32</f>
        <v>N/A</v>
      </c>
      <c r="T32" s="142" t="str">
        <f>'Report (OMMi) - Var 1'!T32</f>
        <v>N/A</v>
      </c>
      <c r="U32" s="142" t="str">
        <f>'Report (OMMi) - Var 1'!U32</f>
        <v>N/A</v>
      </c>
      <c r="V32" s="142" t="str">
        <f>'Report (OMMi) - Var 1'!V32</f>
        <v>N/A</v>
      </c>
      <c r="W32" s="364">
        <f>'Report (OMMi) - Var 1'!W32:AG32</f>
        <v>0</v>
      </c>
      <c r="X32" s="365"/>
      <c r="Y32" s="365"/>
      <c r="Z32" s="365"/>
      <c r="AA32" s="365"/>
      <c r="AB32" s="365"/>
      <c r="AC32" s="365"/>
      <c r="AD32" s="365"/>
      <c r="AE32" s="365"/>
      <c r="AF32" s="365"/>
      <c r="AG32" s="366"/>
    </row>
    <row r="33" spans="1:33" ht="15" hidden="1" customHeight="1" x14ac:dyDescent="0.3">
      <c r="A33" s="151"/>
      <c r="B33" s="329" t="s">
        <v>828</v>
      </c>
      <c r="C33" s="330"/>
      <c r="D33" s="331"/>
      <c r="E33" s="142" t="str">
        <f>'Report (OMMi) - Var 1'!E33</f>
        <v>N/A</v>
      </c>
      <c r="F33" s="228"/>
      <c r="G33" s="228"/>
      <c r="H33" s="142" t="str">
        <f>'Report (OMMi) - Var 1'!H33</f>
        <v>N/A</v>
      </c>
      <c r="I33" s="142" t="str">
        <f>'Report (OMMi) - Var 1'!I33</f>
        <v>N/A</v>
      </c>
      <c r="J33" s="142" t="str">
        <f>'Report (OMMi) - Var 1'!J33</f>
        <v>N/A</v>
      </c>
      <c r="K33" s="142" t="str">
        <f>'Report (OMMi) - Var 1'!K33</f>
        <v>N/A</v>
      </c>
      <c r="L33" s="142" t="str">
        <f>'Report (OMMi) - Var 1'!L33</f>
        <v>N/A</v>
      </c>
      <c r="M33" s="142" t="str">
        <f>'Report (OMMi) - Var 1'!M33</f>
        <v>N/A</v>
      </c>
      <c r="N33" s="142" t="str">
        <f>'Report (OMMi) - Var 1'!N33</f>
        <v>N/A</v>
      </c>
      <c r="O33" s="142" t="str">
        <f>'Report (OMMi) - Var 1'!O33</f>
        <v>N/A</v>
      </c>
      <c r="P33" s="142" t="str">
        <f>'Report (OMMi) - Var 1'!P33</f>
        <v>N/A</v>
      </c>
      <c r="Q33" s="142" t="str">
        <f>'Report (OMMi) - Var 1'!Q33</f>
        <v>N/A</v>
      </c>
      <c r="R33" s="142" t="str">
        <f>'Report (OMMi) - Var 1'!R33</f>
        <v>N/A</v>
      </c>
      <c r="S33" s="142" t="str">
        <f>'Report (OMMi) - Var 1'!S33</f>
        <v>N/A</v>
      </c>
      <c r="T33" s="142" t="str">
        <f>'Report (OMMi) - Var 1'!T33</f>
        <v>N/A</v>
      </c>
      <c r="U33" s="142" t="str">
        <f>'Report (OMMi) - Var 1'!U33</f>
        <v>N/A</v>
      </c>
      <c r="V33" s="142" t="str">
        <f>'Report (OMMi) - Var 1'!V33</f>
        <v>N/A</v>
      </c>
      <c r="W33" s="364">
        <f>'Report (OMMi) - Var 1'!W33:AG33</f>
        <v>0</v>
      </c>
      <c r="X33" s="365"/>
      <c r="Y33" s="365"/>
      <c r="Z33" s="365"/>
      <c r="AA33" s="365"/>
      <c r="AB33" s="365"/>
      <c r="AC33" s="365"/>
      <c r="AD33" s="365"/>
      <c r="AE33" s="365"/>
      <c r="AF33" s="365"/>
      <c r="AG33" s="366"/>
    </row>
    <row r="34" spans="1:33" ht="15" hidden="1" customHeight="1" x14ac:dyDescent="0.3">
      <c r="A34" s="151"/>
      <c r="B34" s="329" t="s">
        <v>829</v>
      </c>
      <c r="C34" s="330"/>
      <c r="D34" s="331"/>
      <c r="E34" s="142" t="str">
        <f>'Report (OMMi) - Var 1'!E34</f>
        <v>N/A</v>
      </c>
      <c r="F34" s="228"/>
      <c r="G34" s="228"/>
      <c r="H34" s="142" t="str">
        <f>'Report (OMMi) - Var 1'!H34</f>
        <v>N/A</v>
      </c>
      <c r="I34" s="142" t="str">
        <f>'Report (OMMi) - Var 1'!I34</f>
        <v>N/A</v>
      </c>
      <c r="J34" s="142" t="str">
        <f>'Report (OMMi) - Var 1'!J34</f>
        <v>N/A</v>
      </c>
      <c r="K34" s="142" t="str">
        <f>'Report (OMMi) - Var 1'!K34</f>
        <v>N/A</v>
      </c>
      <c r="L34" s="142" t="str">
        <f>'Report (OMMi) - Var 1'!L34</f>
        <v>N/A</v>
      </c>
      <c r="M34" s="142" t="str">
        <f>'Report (OMMi) - Var 1'!M34</f>
        <v>N/A</v>
      </c>
      <c r="N34" s="142" t="str">
        <f>'Report (OMMi) - Var 1'!N34</f>
        <v>N/A</v>
      </c>
      <c r="O34" s="142" t="str">
        <f>'Report (OMMi) - Var 1'!O34</f>
        <v>N/A</v>
      </c>
      <c r="P34" s="142" t="str">
        <f>'Report (OMMi) - Var 1'!P34</f>
        <v>N/A</v>
      </c>
      <c r="Q34" s="142" t="str">
        <f>'Report (OMMi) - Var 1'!Q34</f>
        <v>N/A</v>
      </c>
      <c r="R34" s="142" t="str">
        <f>'Report (OMMi) - Var 1'!R34</f>
        <v>N/A</v>
      </c>
      <c r="S34" s="142" t="str">
        <f>'Report (OMMi) - Var 1'!S34</f>
        <v>N/A</v>
      </c>
      <c r="T34" s="142" t="str">
        <f>'Report (OMMi) - Var 1'!T34</f>
        <v>N/A</v>
      </c>
      <c r="U34" s="142" t="str">
        <f>'Report (OMMi) - Var 1'!U34</f>
        <v>N/A</v>
      </c>
      <c r="V34" s="142" t="str">
        <f>'Report (OMMi) - Var 1'!V34</f>
        <v>N/A</v>
      </c>
      <c r="W34" s="364">
        <f>'Report (OMMi) - Var 1'!W34:AG34</f>
        <v>0</v>
      </c>
      <c r="X34" s="365"/>
      <c r="Y34" s="365"/>
      <c r="Z34" s="365"/>
      <c r="AA34" s="365"/>
      <c r="AB34" s="365"/>
      <c r="AC34" s="365"/>
      <c r="AD34" s="365"/>
      <c r="AE34" s="365"/>
      <c r="AF34" s="365"/>
      <c r="AG34" s="366"/>
    </row>
    <row r="35" spans="1:33" ht="15" hidden="1" customHeight="1" x14ac:dyDescent="0.3">
      <c r="A35" s="151"/>
      <c r="B35" s="329" t="s">
        <v>824</v>
      </c>
      <c r="C35" s="330"/>
      <c r="D35" s="331"/>
      <c r="E35" s="142" t="str">
        <f>'Report (OMMi) - Var 1'!E35</f>
        <v>N/A</v>
      </c>
      <c r="F35" s="228"/>
      <c r="G35" s="228"/>
      <c r="H35" s="142" t="str">
        <f>'Report (OMMi) - Var 1'!H35</f>
        <v>N/A</v>
      </c>
      <c r="I35" s="142" t="str">
        <f>'Report (OMMi) - Var 1'!I35</f>
        <v>N/A</v>
      </c>
      <c r="J35" s="142" t="str">
        <f>'Report (OMMi) - Var 1'!J35</f>
        <v>N/A</v>
      </c>
      <c r="K35" s="142" t="str">
        <f>'Report (OMMi) - Var 1'!K35</f>
        <v>N/A</v>
      </c>
      <c r="L35" s="142" t="str">
        <f>'Report (OMMi) - Var 1'!L35</f>
        <v>N/A</v>
      </c>
      <c r="M35" s="142" t="str">
        <f>'Report (OMMi) - Var 1'!M35</f>
        <v>N/A</v>
      </c>
      <c r="N35" s="142" t="str">
        <f>'Report (OMMi) - Var 1'!N35</f>
        <v>N/A</v>
      </c>
      <c r="O35" s="142" t="str">
        <f>'Report (OMMi) - Var 1'!O35</f>
        <v>N/A</v>
      </c>
      <c r="P35" s="142" t="str">
        <f>'Report (OMMi) - Var 1'!P35</f>
        <v>N/A</v>
      </c>
      <c r="Q35" s="142" t="str">
        <f>'Report (OMMi) - Var 1'!Q35</f>
        <v>N/A</v>
      </c>
      <c r="R35" s="142" t="str">
        <f>'Report (OMMi) - Var 1'!R35</f>
        <v>N/A</v>
      </c>
      <c r="S35" s="142" t="str">
        <f>'Report (OMMi) - Var 1'!S35</f>
        <v>N/A</v>
      </c>
      <c r="T35" s="142" t="str">
        <f>'Report (OMMi) - Var 1'!T35</f>
        <v>N/A</v>
      </c>
      <c r="U35" s="142" t="str">
        <f>'Report (OMMi) - Var 1'!U35</f>
        <v>N/A</v>
      </c>
      <c r="V35" s="142" t="str">
        <f>'Report (OMMi) - Var 1'!V35</f>
        <v>N/A</v>
      </c>
      <c r="W35" s="364">
        <f>'Report (OMMi) - Var 1'!W35:AG35</f>
        <v>0</v>
      </c>
      <c r="X35" s="365"/>
      <c r="Y35" s="365"/>
      <c r="Z35" s="365"/>
      <c r="AA35" s="365"/>
      <c r="AB35" s="365"/>
      <c r="AC35" s="365"/>
      <c r="AD35" s="365"/>
      <c r="AE35" s="365"/>
      <c r="AF35" s="365"/>
      <c r="AG35" s="366"/>
    </row>
    <row r="36" spans="1:33" ht="15" hidden="1" customHeight="1" x14ac:dyDescent="0.3">
      <c r="A36" s="151"/>
      <c r="B36" s="329" t="s">
        <v>819</v>
      </c>
      <c r="C36" s="330"/>
      <c r="D36" s="331"/>
      <c r="E36" s="142" t="str">
        <f>'Report (OMMi) - Var 1'!E36</f>
        <v>N/A</v>
      </c>
      <c r="F36" s="228"/>
      <c r="G36" s="228"/>
      <c r="H36" s="142" t="str">
        <f>'Report (OMMi) - Var 1'!H36</f>
        <v>N/A</v>
      </c>
      <c r="I36" s="142" t="str">
        <f>'Report (OMMi) - Var 1'!I36</f>
        <v>N/A</v>
      </c>
      <c r="J36" s="142" t="str">
        <f>'Report (OMMi) - Var 1'!J36</f>
        <v>N/A</v>
      </c>
      <c r="K36" s="142" t="str">
        <f>'Report (OMMi) - Var 1'!K36</f>
        <v>N/A</v>
      </c>
      <c r="L36" s="142" t="str">
        <f>'Report (OMMi) - Var 1'!L36</f>
        <v>N/A</v>
      </c>
      <c r="M36" s="142" t="str">
        <f>'Report (OMMi) - Var 1'!M36</f>
        <v>N/A</v>
      </c>
      <c r="N36" s="142" t="str">
        <f>'Report (OMMi) - Var 1'!N36</f>
        <v>N/A</v>
      </c>
      <c r="O36" s="142" t="str">
        <f>'Report (OMMi) - Var 1'!O36</f>
        <v>N/A</v>
      </c>
      <c r="P36" s="142" t="str">
        <f>'Report (OMMi) - Var 1'!P36</f>
        <v>N/A</v>
      </c>
      <c r="Q36" s="142" t="str">
        <f>'Report (OMMi) - Var 1'!Q36</f>
        <v>N/A</v>
      </c>
      <c r="R36" s="142" t="str">
        <f>'Report (OMMi) - Var 1'!R36</f>
        <v>N/A</v>
      </c>
      <c r="S36" s="142" t="str">
        <f>'Report (OMMi) - Var 1'!S36</f>
        <v>N/A</v>
      </c>
      <c r="T36" s="142" t="str">
        <f>'Report (OMMi) - Var 1'!T36</f>
        <v>N/A</v>
      </c>
      <c r="U36" s="142" t="str">
        <f>'Report (OMMi) - Var 1'!U36</f>
        <v>N/A</v>
      </c>
      <c r="V36" s="142" t="str">
        <f>'Report (OMMi) - Var 1'!V36</f>
        <v>N/A</v>
      </c>
      <c r="W36" s="364">
        <f>'Report (OMMi) - Var 1'!W36:AG36</f>
        <v>0</v>
      </c>
      <c r="X36" s="365"/>
      <c r="Y36" s="365"/>
      <c r="Z36" s="365"/>
      <c r="AA36" s="365"/>
      <c r="AB36" s="365"/>
      <c r="AC36" s="365"/>
      <c r="AD36" s="365"/>
      <c r="AE36" s="365"/>
      <c r="AF36" s="365"/>
      <c r="AG36" s="366"/>
    </row>
    <row r="37" spans="1:33" ht="15" hidden="1" customHeight="1" x14ac:dyDescent="0.3">
      <c r="A37" s="151"/>
      <c r="B37" s="329" t="s">
        <v>1045</v>
      </c>
      <c r="C37" s="330"/>
      <c r="D37" s="331"/>
      <c r="E37" s="142" t="str">
        <f>'Report (OMMi) - Var 1'!E37</f>
        <v>N/A</v>
      </c>
      <c r="F37" s="228"/>
      <c r="G37" s="228"/>
      <c r="H37" s="142" t="str">
        <f>'Report (OMMi) - Var 1'!H37</f>
        <v>N/A</v>
      </c>
      <c r="I37" s="142" t="str">
        <f>'Report (OMMi) - Var 1'!I37</f>
        <v>N/A</v>
      </c>
      <c r="J37" s="142" t="str">
        <f>'Report (OMMi) - Var 1'!J37</f>
        <v>N/A</v>
      </c>
      <c r="K37" s="142" t="str">
        <f>'Report (OMMi) - Var 1'!K37</f>
        <v>N/A</v>
      </c>
      <c r="L37" s="142" t="str">
        <f>'Report (OMMi) - Var 1'!L37</f>
        <v>N/A</v>
      </c>
      <c r="M37" s="142" t="str">
        <f>'Report (OMMi) - Var 1'!M37</f>
        <v>N/A</v>
      </c>
      <c r="N37" s="142" t="str">
        <f>'Report (OMMi) - Var 1'!N37</f>
        <v>N/A</v>
      </c>
      <c r="O37" s="142" t="str">
        <f>'Report (OMMi) - Var 1'!O37</f>
        <v>N/A</v>
      </c>
      <c r="P37" s="142" t="str">
        <f>'Report (OMMi) - Var 1'!P37</f>
        <v>N/A</v>
      </c>
      <c r="Q37" s="142" t="str">
        <f>'Report (OMMi) - Var 1'!Q37</f>
        <v>N/A</v>
      </c>
      <c r="R37" s="142" t="str">
        <f>'Report (OMMi) - Var 1'!R37</f>
        <v>N/A</v>
      </c>
      <c r="S37" s="142" t="str">
        <f>'Report (OMMi) - Var 1'!S37</f>
        <v>N/A</v>
      </c>
      <c r="T37" s="142" t="str">
        <f>'Report (OMMi) - Var 1'!T37</f>
        <v>N/A</v>
      </c>
      <c r="U37" s="142" t="str">
        <f>'Report (OMMi) - Var 1'!U37</f>
        <v>N/A</v>
      </c>
      <c r="V37" s="142" t="str">
        <f>'Report (OMMi) - Var 1'!V37</f>
        <v>N/A</v>
      </c>
      <c r="W37" s="364">
        <f>'Report (OMMi) - Var 1'!W37:AG37</f>
        <v>0</v>
      </c>
      <c r="X37" s="365"/>
      <c r="Y37" s="365"/>
      <c r="Z37" s="365"/>
      <c r="AA37" s="365"/>
      <c r="AB37" s="365"/>
      <c r="AC37" s="365"/>
      <c r="AD37" s="365"/>
      <c r="AE37" s="365"/>
      <c r="AF37" s="365"/>
      <c r="AG37" s="366"/>
    </row>
    <row r="38" spans="1:33" ht="15" customHeight="1" x14ac:dyDescent="0.3">
      <c r="A38" s="151"/>
      <c r="B38" s="329" t="s">
        <v>1153</v>
      </c>
      <c r="C38" s="330"/>
      <c r="D38" s="331"/>
      <c r="E38" s="142" t="str">
        <f>'Report (OMMi) - Var 1'!E38</f>
        <v>N/A</v>
      </c>
      <c r="F38" s="228"/>
      <c r="G38" s="142" t="str">
        <f>'Report (OMMi) - Var 1'!G38</f>
        <v>N/A</v>
      </c>
      <c r="H38" s="228"/>
      <c r="I38" s="228"/>
      <c r="J38" s="228"/>
      <c r="K38" s="228"/>
      <c r="L38" s="228"/>
      <c r="M38" s="228"/>
      <c r="N38" s="228"/>
      <c r="O38" s="228"/>
      <c r="P38" s="228"/>
      <c r="Q38" s="228"/>
      <c r="R38" s="228"/>
      <c r="S38" s="228"/>
      <c r="T38" s="228"/>
      <c r="U38" s="228"/>
      <c r="V38" s="228"/>
      <c r="W38" s="364"/>
      <c r="X38" s="365"/>
      <c r="Y38" s="365"/>
      <c r="Z38" s="365"/>
      <c r="AA38" s="365"/>
      <c r="AB38" s="365"/>
      <c r="AC38" s="365"/>
      <c r="AD38" s="365"/>
      <c r="AE38" s="365"/>
      <c r="AF38" s="365"/>
      <c r="AG38" s="366"/>
    </row>
    <row r="39" spans="1:33" ht="15" customHeight="1" x14ac:dyDescent="0.3">
      <c r="A39" s="151"/>
      <c r="B39" s="329" t="s">
        <v>1195</v>
      </c>
      <c r="C39" s="330"/>
      <c r="D39" s="331"/>
      <c r="E39" s="142" t="str">
        <f>'Report (OMMi) - Var 1'!E39</f>
        <v>N/A</v>
      </c>
      <c r="F39" s="228"/>
      <c r="G39" s="142" t="str">
        <f>'Report (OMMi) - Var 1'!G39</f>
        <v>N/A</v>
      </c>
      <c r="H39" s="228"/>
      <c r="I39" s="228"/>
      <c r="J39" s="228"/>
      <c r="K39" s="228"/>
      <c r="L39" s="228"/>
      <c r="M39" s="228"/>
      <c r="N39" s="228"/>
      <c r="O39" s="228"/>
      <c r="P39" s="228"/>
      <c r="Q39" s="228"/>
      <c r="R39" s="228"/>
      <c r="S39" s="228"/>
      <c r="T39" s="228"/>
      <c r="U39" s="228"/>
      <c r="V39" s="228"/>
      <c r="W39" s="364"/>
      <c r="X39" s="365"/>
      <c r="Y39" s="365"/>
      <c r="Z39" s="365"/>
      <c r="AA39" s="365"/>
      <c r="AB39" s="365"/>
      <c r="AC39" s="365"/>
      <c r="AD39" s="365"/>
      <c r="AE39" s="365"/>
      <c r="AF39" s="365"/>
      <c r="AG39" s="366"/>
    </row>
    <row r="40" spans="1:33" ht="15" customHeight="1" x14ac:dyDescent="0.3">
      <c r="A40" s="151"/>
      <c r="B40" s="140"/>
      <c r="C40" s="140"/>
      <c r="D40" s="140"/>
      <c r="E40" s="208" t="s">
        <v>453</v>
      </c>
      <c r="F40" s="208" t="s">
        <v>505</v>
      </c>
      <c r="G40" s="208" t="s">
        <v>505</v>
      </c>
      <c r="H40" s="208" t="s">
        <v>505</v>
      </c>
      <c r="I40" s="208" t="s">
        <v>505</v>
      </c>
      <c r="J40" s="208" t="s">
        <v>505</v>
      </c>
      <c r="K40" s="208" t="s">
        <v>505</v>
      </c>
      <c r="L40" s="208" t="s">
        <v>505</v>
      </c>
      <c r="M40" s="208" t="s">
        <v>505</v>
      </c>
      <c r="N40" s="208" t="s">
        <v>505</v>
      </c>
      <c r="O40" s="208" t="s">
        <v>505</v>
      </c>
      <c r="P40" s="208" t="s">
        <v>505</v>
      </c>
      <c r="Q40" s="155"/>
      <c r="R40" s="155"/>
      <c r="S40" s="155"/>
    </row>
    <row r="41" spans="1:33" x14ac:dyDescent="0.3">
      <c r="A41" s="151"/>
      <c r="B41" s="151"/>
      <c r="C41" s="342" t="s">
        <v>23</v>
      </c>
      <c r="D41" s="342"/>
      <c r="E41" s="342"/>
      <c r="F41" s="342"/>
      <c r="G41" s="342"/>
      <c r="H41" s="151"/>
      <c r="I41" s="151"/>
      <c r="J41" s="151"/>
      <c r="K41" s="151"/>
    </row>
    <row r="42" spans="1:33" ht="6.6" customHeight="1" x14ac:dyDescent="0.3">
      <c r="A42" s="151"/>
      <c r="B42" s="255"/>
      <c r="C42" s="255"/>
      <c r="D42" s="255"/>
      <c r="E42" s="255"/>
      <c r="F42" s="255"/>
      <c r="G42" s="151"/>
      <c r="H42" s="151"/>
      <c r="I42" s="151"/>
      <c r="J42" s="151"/>
      <c r="K42" s="151"/>
    </row>
    <row r="43" spans="1:33" x14ac:dyDescent="0.3">
      <c r="A43" s="151"/>
      <c r="B43" s="151"/>
      <c r="C43" s="157" t="s">
        <v>450</v>
      </c>
      <c r="D43" s="217" t="s">
        <v>425</v>
      </c>
      <c r="E43" s="158" t="s">
        <v>426</v>
      </c>
      <c r="F43" s="201" t="s">
        <v>427</v>
      </c>
      <c r="G43" s="202" t="s">
        <v>33</v>
      </c>
      <c r="H43" s="151"/>
      <c r="I43" s="151"/>
      <c r="J43" s="151"/>
      <c r="K43" s="151"/>
    </row>
    <row r="44" spans="1:33" x14ac:dyDescent="0.3">
      <c r="A44" s="151"/>
      <c r="B44" s="151"/>
      <c r="C44" s="151"/>
      <c r="D44" s="151"/>
      <c r="E44" s="151"/>
      <c r="F44" s="151"/>
      <c r="G44" s="151"/>
      <c r="H44" s="151"/>
      <c r="I44" s="151"/>
      <c r="J44" s="151"/>
      <c r="K44" s="151"/>
    </row>
    <row r="45" spans="1:33" x14ac:dyDescent="0.3">
      <c r="A45" s="151"/>
      <c r="B45" s="151"/>
      <c r="C45" s="341" t="s">
        <v>22</v>
      </c>
      <c r="D45" s="341"/>
      <c r="E45" s="341"/>
      <c r="F45" s="341"/>
      <c r="G45" s="341"/>
      <c r="H45" s="147"/>
      <c r="I45" s="147"/>
      <c r="J45" s="147"/>
      <c r="K45" s="151"/>
    </row>
    <row r="46" spans="1:33" x14ac:dyDescent="0.3">
      <c r="A46" s="151"/>
      <c r="B46" s="151"/>
      <c r="C46" s="151"/>
      <c r="D46" s="151"/>
      <c r="E46" s="151"/>
      <c r="F46" s="151"/>
      <c r="G46" s="151"/>
      <c r="H46" s="151"/>
      <c r="I46" s="151"/>
      <c r="J46" s="151"/>
      <c r="K46" s="151"/>
    </row>
    <row r="47" spans="1:33" x14ac:dyDescent="0.3">
      <c r="A47" s="151"/>
      <c r="B47" s="339"/>
      <c r="C47" s="339"/>
      <c r="D47" s="339"/>
      <c r="E47" s="339"/>
      <c r="F47" s="339"/>
      <c r="G47" s="159"/>
      <c r="H47" s="151"/>
      <c r="I47" s="151"/>
      <c r="J47" s="151"/>
      <c r="K47" s="151"/>
    </row>
  </sheetData>
  <sheetProtection password="DAE1" sheet="1" objects="1" scenarios="1" formatColumns="0" formatRows="0" autoFilter="0"/>
  <mergeCells count="66">
    <mergeCell ref="B47:F47"/>
    <mergeCell ref="C41:G41"/>
    <mergeCell ref="C45:G45"/>
    <mergeCell ref="B39:D39"/>
    <mergeCell ref="W39:AG39"/>
    <mergeCell ref="B36:D36"/>
    <mergeCell ref="W36:AG36"/>
    <mergeCell ref="B37:D37"/>
    <mergeCell ref="W37:AG37"/>
    <mergeCell ref="B38:D38"/>
    <mergeCell ref="W38:AG38"/>
    <mergeCell ref="B33:D33"/>
    <mergeCell ref="W33:AG33"/>
    <mergeCell ref="B34:D34"/>
    <mergeCell ref="W34:AG34"/>
    <mergeCell ref="B35:D35"/>
    <mergeCell ref="W35:AG35"/>
    <mergeCell ref="B30:D30"/>
    <mergeCell ref="W30:AG30"/>
    <mergeCell ref="B31:D31"/>
    <mergeCell ref="W31:AG31"/>
    <mergeCell ref="B32:D32"/>
    <mergeCell ref="W32:AG32"/>
    <mergeCell ref="B27:D27"/>
    <mergeCell ref="W27:AG27"/>
    <mergeCell ref="B28:D28"/>
    <mergeCell ref="W28:AG28"/>
    <mergeCell ref="B29:D29"/>
    <mergeCell ref="W29:AG29"/>
    <mergeCell ref="B24:D24"/>
    <mergeCell ref="W24:AG24"/>
    <mergeCell ref="B25:D25"/>
    <mergeCell ref="W25:AG25"/>
    <mergeCell ref="B26:D26"/>
    <mergeCell ref="W26:AG26"/>
    <mergeCell ref="B21:D21"/>
    <mergeCell ref="W21:AG21"/>
    <mergeCell ref="B22:D22"/>
    <mergeCell ref="W22:AG22"/>
    <mergeCell ref="B23:D23"/>
    <mergeCell ref="W23:AG23"/>
    <mergeCell ref="B18:D18"/>
    <mergeCell ref="W18:AG18"/>
    <mergeCell ref="B19:D19"/>
    <mergeCell ref="W19:AG19"/>
    <mergeCell ref="B20:D20"/>
    <mergeCell ref="W20:AG20"/>
    <mergeCell ref="H14:V14"/>
    <mergeCell ref="B15:D15"/>
    <mergeCell ref="B16:D16"/>
    <mergeCell ref="W16:AG16"/>
    <mergeCell ref="B17:D17"/>
    <mergeCell ref="W17:AG17"/>
    <mergeCell ref="C14:D14"/>
    <mergeCell ref="E14:E15"/>
    <mergeCell ref="E7:G7"/>
    <mergeCell ref="E8:G8"/>
    <mergeCell ref="B10:D10"/>
    <mergeCell ref="C11:D11"/>
    <mergeCell ref="B12:D12"/>
    <mergeCell ref="B2:G2"/>
    <mergeCell ref="A4:D4"/>
    <mergeCell ref="C5:D5"/>
    <mergeCell ref="E5:G5"/>
    <mergeCell ref="A6:D6"/>
    <mergeCell ref="E6:G6"/>
  </mergeCells>
  <conditionalFormatting sqref="H13:H14 E13:F14">
    <cfRule type="cellIs" dxfId="5591" priority="104" operator="between">
      <formula>13</formula>
      <formula>15.9999</formula>
    </cfRule>
    <cfRule type="cellIs" dxfId="5590" priority="105" operator="between">
      <formula>10</formula>
      <formula>12.9999</formula>
    </cfRule>
    <cfRule type="cellIs" dxfId="5589" priority="106" operator="between">
      <formula>7</formula>
      <formula>9.9999</formula>
    </cfRule>
    <cfRule type="cellIs" dxfId="5588" priority="107" operator="between">
      <formula>4</formula>
      <formula>6.9999</formula>
    </cfRule>
    <cfRule type="cellIs" dxfId="5587" priority="108" operator="between">
      <formula>0.1</formula>
      <formula>3.9999</formula>
    </cfRule>
  </conditionalFormatting>
  <conditionalFormatting sqref="E10 E17">
    <cfRule type="cellIs" dxfId="5586" priority="97" operator="equal">
      <formula>"N/A"</formula>
    </cfRule>
    <cfRule type="cellIs" dxfId="5585" priority="98" operator="between">
      <formula>2.45</formula>
      <formula>2.94</formula>
    </cfRule>
    <cfRule type="cellIs" dxfId="5584" priority="99" operator="greaterThanOrEqual">
      <formula>4.55</formula>
    </cfRule>
    <cfRule type="cellIs" dxfId="5583" priority="100" operator="between">
      <formula>3.95</formula>
      <formula>4.94</formula>
    </cfRule>
    <cfRule type="cellIs" dxfId="5582" priority="101" operator="between">
      <formula>2.95</formula>
      <formula>3.94</formula>
    </cfRule>
    <cfRule type="cellIs" dxfId="5581" priority="102" operator="between">
      <formula>1.95</formula>
      <formula>2.44</formula>
    </cfRule>
    <cfRule type="cellIs" dxfId="5580" priority="103" operator="lessThanOrEqual">
      <formula>1.94</formula>
    </cfRule>
  </conditionalFormatting>
  <conditionalFormatting sqref="F17">
    <cfRule type="cellIs" dxfId="5579" priority="90" operator="equal">
      <formula>"N/A"</formula>
    </cfRule>
    <cfRule type="cellIs" dxfId="5578" priority="91" operator="between">
      <formula>2.45</formula>
      <formula>2.94</formula>
    </cfRule>
    <cfRule type="cellIs" dxfId="5577" priority="92" operator="greaterThanOrEqual">
      <formula>4.55</formula>
    </cfRule>
    <cfRule type="cellIs" dxfId="5576" priority="93" operator="between">
      <formula>3.95</formula>
      <formula>4.94</formula>
    </cfRule>
    <cfRule type="cellIs" dxfId="5575" priority="94" operator="between">
      <formula>2.95</formula>
      <formula>3.94</formula>
    </cfRule>
    <cfRule type="cellIs" dxfId="5574" priority="95" operator="between">
      <formula>1.95</formula>
      <formula>2.44</formula>
    </cfRule>
    <cfRule type="cellIs" dxfId="5573" priority="96" operator="lessThanOrEqual">
      <formula>1.94</formula>
    </cfRule>
  </conditionalFormatting>
  <conditionalFormatting sqref="G13:G14">
    <cfRule type="cellIs" dxfId="5572" priority="85" operator="between">
      <formula>13</formula>
      <formula>15.9999</formula>
    </cfRule>
    <cfRule type="cellIs" dxfId="5571" priority="86" operator="between">
      <formula>10</formula>
      <formula>12.9999</formula>
    </cfRule>
    <cfRule type="cellIs" dxfId="5570" priority="87" operator="between">
      <formula>7</formula>
      <formula>9.9999</formula>
    </cfRule>
    <cfRule type="cellIs" dxfId="5569" priority="88" operator="between">
      <formula>4</formula>
      <formula>6.9999</formula>
    </cfRule>
    <cfRule type="cellIs" dxfId="5568" priority="89" operator="between">
      <formula>0.1</formula>
      <formula>3.9999</formula>
    </cfRule>
  </conditionalFormatting>
  <conditionalFormatting sqref="G22">
    <cfRule type="cellIs" dxfId="5567" priority="78" operator="equal">
      <formula>"N/A"</formula>
    </cfRule>
    <cfRule type="cellIs" dxfId="5566" priority="79" operator="between">
      <formula>2.45</formula>
      <formula>2.94</formula>
    </cfRule>
    <cfRule type="cellIs" dxfId="5565" priority="80" operator="greaterThanOrEqual">
      <formula>4.55</formula>
    </cfRule>
    <cfRule type="cellIs" dxfId="5564" priority="81" operator="between">
      <formula>3.95</formula>
      <formula>4.94</formula>
    </cfRule>
    <cfRule type="cellIs" dxfId="5563" priority="82" operator="between">
      <formula>2.95</formula>
      <formula>3.94</formula>
    </cfRule>
    <cfRule type="cellIs" dxfId="5562" priority="83" operator="between">
      <formula>1.95</formula>
      <formula>2.44</formula>
    </cfRule>
    <cfRule type="cellIs" dxfId="5561" priority="84" operator="lessThanOrEqual">
      <formula>1.94</formula>
    </cfRule>
  </conditionalFormatting>
  <conditionalFormatting sqref="F12">
    <cfRule type="cellIs" dxfId="5560" priority="71" operator="equal">
      <formula>"N/A"</formula>
    </cfRule>
    <cfRule type="cellIs" dxfId="5559" priority="72" operator="between">
      <formula>2.45</formula>
      <formula>2.94</formula>
    </cfRule>
    <cfRule type="cellIs" dxfId="5558" priority="73" operator="greaterThanOrEqual">
      <formula>4.55</formula>
    </cfRule>
    <cfRule type="cellIs" dxfId="5557" priority="74" operator="between">
      <formula>3.95</formula>
      <formula>4.94</formula>
    </cfRule>
    <cfRule type="cellIs" dxfId="5556" priority="75" operator="between">
      <formula>2.95</formula>
      <formula>3.94</formula>
    </cfRule>
    <cfRule type="cellIs" dxfId="5555" priority="76" operator="between">
      <formula>1.95</formula>
      <formula>2.44</formula>
    </cfRule>
    <cfRule type="cellIs" dxfId="5554" priority="77" operator="lessThanOrEqual">
      <formula>1.94</formula>
    </cfRule>
  </conditionalFormatting>
  <conditionalFormatting sqref="G12:V12">
    <cfRule type="cellIs" dxfId="5553" priority="64" operator="equal">
      <formula>"N/A"</formula>
    </cfRule>
    <cfRule type="cellIs" dxfId="5552" priority="65" operator="between">
      <formula>2.45</formula>
      <formula>2.94</formula>
    </cfRule>
    <cfRule type="cellIs" dxfId="5551" priority="66" operator="greaterThanOrEqual">
      <formula>4.55</formula>
    </cfRule>
    <cfRule type="cellIs" dxfId="5550" priority="67" operator="between">
      <formula>3.95</formula>
      <formula>4.94</formula>
    </cfRule>
    <cfRule type="cellIs" dxfId="5549" priority="68" operator="between">
      <formula>2.95</formula>
      <formula>3.94</formula>
    </cfRule>
    <cfRule type="cellIs" dxfId="5548" priority="69" operator="between">
      <formula>1.95</formula>
      <formula>2.44</formula>
    </cfRule>
    <cfRule type="cellIs" dxfId="5547" priority="70" operator="lessThanOrEqual">
      <formula>1.94</formula>
    </cfRule>
  </conditionalFormatting>
  <conditionalFormatting sqref="F18:F21">
    <cfRule type="cellIs" dxfId="5546" priority="57" operator="equal">
      <formula>"N/A"</formula>
    </cfRule>
    <cfRule type="cellIs" dxfId="5545" priority="58" operator="between">
      <formula>2.45</formula>
      <formula>2.94</formula>
    </cfRule>
    <cfRule type="cellIs" dxfId="5544" priority="59" operator="greaterThanOrEqual">
      <formula>4.55</formula>
    </cfRule>
    <cfRule type="cellIs" dxfId="5543" priority="60" operator="between">
      <formula>3.95</formula>
      <formula>4.94</formula>
    </cfRule>
    <cfRule type="cellIs" dxfId="5542" priority="61" operator="between">
      <formula>2.95</formula>
      <formula>3.94</formula>
    </cfRule>
    <cfRule type="cellIs" dxfId="5541" priority="62" operator="between">
      <formula>1.95</formula>
      <formula>2.44</formula>
    </cfRule>
    <cfRule type="cellIs" dxfId="5540" priority="63" operator="lessThanOrEqual">
      <formula>1.94</formula>
    </cfRule>
  </conditionalFormatting>
  <conditionalFormatting sqref="H23:V24 H26:V26">
    <cfRule type="cellIs" dxfId="5539" priority="50" operator="equal">
      <formula>"N/A"</formula>
    </cfRule>
    <cfRule type="cellIs" dxfId="5538" priority="51" operator="between">
      <formula>2.45</formula>
      <formula>2.94</formula>
    </cfRule>
    <cfRule type="cellIs" dxfId="5537" priority="52" operator="greaterThanOrEqual">
      <formula>4.55</formula>
    </cfRule>
    <cfRule type="cellIs" dxfId="5536" priority="53" operator="between">
      <formula>3.95</formula>
      <formula>4.94</formula>
    </cfRule>
    <cfRule type="cellIs" dxfId="5535" priority="54" operator="between">
      <formula>2.95</formula>
      <formula>3.94</formula>
    </cfRule>
    <cfRule type="cellIs" dxfId="5534" priority="55" operator="between">
      <formula>1.95</formula>
      <formula>2.44</formula>
    </cfRule>
    <cfRule type="cellIs" dxfId="5533" priority="56" operator="lessThanOrEqual">
      <formula>1.94</formula>
    </cfRule>
  </conditionalFormatting>
  <conditionalFormatting sqref="H28:V37">
    <cfRule type="cellIs" dxfId="5532" priority="43" operator="equal">
      <formula>"N/A"</formula>
    </cfRule>
    <cfRule type="cellIs" dxfId="5531" priority="44" operator="between">
      <formula>2.45</formula>
      <formula>2.94</formula>
    </cfRule>
    <cfRule type="cellIs" dxfId="5530" priority="45" operator="greaterThanOrEqual">
      <formula>4.55</formula>
    </cfRule>
    <cfRule type="cellIs" dxfId="5529" priority="46" operator="between">
      <formula>3.95</formula>
      <formula>4.94</formula>
    </cfRule>
    <cfRule type="cellIs" dxfId="5528" priority="47" operator="between">
      <formula>2.95</formula>
      <formula>3.94</formula>
    </cfRule>
    <cfRule type="cellIs" dxfId="5527" priority="48" operator="between">
      <formula>1.95</formula>
      <formula>2.44</formula>
    </cfRule>
    <cfRule type="cellIs" dxfId="5526" priority="49" operator="lessThanOrEqual">
      <formula>1.94</formula>
    </cfRule>
  </conditionalFormatting>
  <conditionalFormatting sqref="G25">
    <cfRule type="cellIs" dxfId="5525" priority="36" operator="equal">
      <formula>"N/A"</formula>
    </cfRule>
    <cfRule type="cellIs" dxfId="5524" priority="37" operator="between">
      <formula>2.45</formula>
      <formula>2.94</formula>
    </cfRule>
    <cfRule type="cellIs" dxfId="5523" priority="38" operator="greaterThanOrEqual">
      <formula>4.55</formula>
    </cfRule>
    <cfRule type="cellIs" dxfId="5522" priority="39" operator="between">
      <formula>3.95</formula>
      <formula>4.94</formula>
    </cfRule>
    <cfRule type="cellIs" dxfId="5521" priority="40" operator="between">
      <formula>2.95</formula>
      <formula>3.94</formula>
    </cfRule>
    <cfRule type="cellIs" dxfId="5520" priority="41" operator="between">
      <formula>1.95</formula>
      <formula>2.44</formula>
    </cfRule>
    <cfRule type="cellIs" dxfId="5519" priority="42" operator="lessThanOrEqual">
      <formula>1.94</formula>
    </cfRule>
  </conditionalFormatting>
  <conditionalFormatting sqref="G27">
    <cfRule type="cellIs" dxfId="5518" priority="29" operator="equal">
      <formula>"N/A"</formula>
    </cfRule>
    <cfRule type="cellIs" dxfId="5517" priority="30" operator="between">
      <formula>2.45</formula>
      <formula>2.94</formula>
    </cfRule>
    <cfRule type="cellIs" dxfId="5516" priority="31" operator="greaterThanOrEqual">
      <formula>4.55</formula>
    </cfRule>
    <cfRule type="cellIs" dxfId="5515" priority="32" operator="between">
      <formula>3.95</formula>
      <formula>4.94</formula>
    </cfRule>
    <cfRule type="cellIs" dxfId="5514" priority="33" operator="between">
      <formula>2.95</formula>
      <formula>3.94</formula>
    </cfRule>
    <cfRule type="cellIs" dxfId="5513" priority="34" operator="between">
      <formula>1.95</formula>
      <formula>2.44</formula>
    </cfRule>
    <cfRule type="cellIs" dxfId="5512" priority="35" operator="lessThanOrEqual">
      <formula>1.94</formula>
    </cfRule>
  </conditionalFormatting>
  <conditionalFormatting sqref="G29">
    <cfRule type="cellIs" dxfId="5511" priority="22" operator="equal">
      <formula>"N/A"</formula>
    </cfRule>
    <cfRule type="cellIs" dxfId="5510" priority="23" operator="between">
      <formula>2.45</formula>
      <formula>2.94</formula>
    </cfRule>
    <cfRule type="cellIs" dxfId="5509" priority="24" operator="greaterThanOrEqual">
      <formula>4.55</formula>
    </cfRule>
    <cfRule type="cellIs" dxfId="5508" priority="25" operator="between">
      <formula>3.95</formula>
      <formula>4.94</formula>
    </cfRule>
    <cfRule type="cellIs" dxfId="5507" priority="26" operator="between">
      <formula>2.95</formula>
      <formula>3.94</formula>
    </cfRule>
    <cfRule type="cellIs" dxfId="5506" priority="27" operator="between">
      <formula>1.95</formula>
      <formula>2.44</formula>
    </cfRule>
    <cfRule type="cellIs" dxfId="5505" priority="28" operator="lessThanOrEqual">
      <formula>1.94</formula>
    </cfRule>
  </conditionalFormatting>
  <conditionalFormatting sqref="G38:G39">
    <cfRule type="cellIs" dxfId="5504" priority="15" operator="equal">
      <formula>"N/A"</formula>
    </cfRule>
    <cfRule type="cellIs" dxfId="5503" priority="16" operator="between">
      <formula>2.45</formula>
      <formula>2.94</formula>
    </cfRule>
    <cfRule type="cellIs" dxfId="5502" priority="17" operator="greaterThanOrEqual">
      <formula>4.55</formula>
    </cfRule>
    <cfRule type="cellIs" dxfId="5501" priority="18" operator="between">
      <formula>3.95</formula>
      <formula>4.94</formula>
    </cfRule>
    <cfRule type="cellIs" dxfId="5500" priority="19" operator="between">
      <formula>2.95</formula>
      <formula>3.94</formula>
    </cfRule>
    <cfRule type="cellIs" dxfId="5499" priority="20" operator="between">
      <formula>1.95</formula>
      <formula>2.44</formula>
    </cfRule>
    <cfRule type="cellIs" dxfId="5498" priority="21" operator="lessThanOrEqual">
      <formula>1.94</formula>
    </cfRule>
  </conditionalFormatting>
  <conditionalFormatting sqref="E18:E39">
    <cfRule type="cellIs" dxfId="5497" priority="8" operator="equal">
      <formula>"N/A"</formula>
    </cfRule>
    <cfRule type="cellIs" dxfId="5496" priority="9" operator="between">
      <formula>2.45</formula>
      <formula>2.94</formula>
    </cfRule>
    <cfRule type="cellIs" dxfId="5495" priority="10" operator="greaterThanOrEqual">
      <formula>4.55</formula>
    </cfRule>
    <cfRule type="cellIs" dxfId="5494" priority="11" operator="between">
      <formula>3.95</formula>
      <formula>4.94</formula>
    </cfRule>
    <cfRule type="cellIs" dxfId="5493" priority="12" operator="between">
      <formula>2.95</formula>
      <formula>3.94</formula>
    </cfRule>
    <cfRule type="cellIs" dxfId="5492" priority="13" operator="between">
      <formula>1.95</formula>
      <formula>2.44</formula>
    </cfRule>
    <cfRule type="cellIs" dxfId="5491" priority="14" operator="lessThanOrEqual">
      <formula>1.94</formula>
    </cfRule>
  </conditionalFormatting>
  <pageMargins left="0.70866141732283472" right="0.70866141732283472" top="0.61" bottom="0.51" header="0.31496062992125984" footer="0.31496062992125984"/>
  <pageSetup paperSize="9" scale="10" orientation="portrait" r:id="rId1"/>
  <headerFooter>
    <oddHeader>&amp;RInformation Classification: SEC2 Customer Confidential</oddHeader>
    <oddFooter>&amp;LFIle: &amp;F&amp;RPage: &amp;P/&amp;N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Normal="100" workbookViewId="0">
      <pane xSplit="4" ySplit="4" topLeftCell="G5" activePane="bottomRight" state="frozen"/>
      <selection pane="topRight" activeCell="F1" sqref="F1"/>
      <selection pane="bottomLeft" activeCell="A5" sqref="A5"/>
      <selection pane="bottomRight" activeCell="G5" sqref="G5"/>
    </sheetView>
  </sheetViews>
  <sheetFormatPr defaultColWidth="8.88671875" defaultRowHeight="14.4" x14ac:dyDescent="0.3"/>
  <cols>
    <col min="1" max="1" width="0.88671875" style="62"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8.88671875" style="70" customWidth="1"/>
    <col min="12" max="13" width="60.33203125" style="21" customWidth="1"/>
    <col min="14" max="14" width="30.33203125" style="21" customWidth="1"/>
    <col min="15" max="16384" width="8.88671875" style="19"/>
  </cols>
  <sheetData>
    <row r="1" spans="1:14" s="37" customFormat="1" ht="8.4" customHeight="1" x14ac:dyDescent="0.3">
      <c r="A1" s="62"/>
      <c r="B1" s="20" t="s">
        <v>18</v>
      </c>
      <c r="C1" s="31"/>
      <c r="D1" s="34"/>
      <c r="E1" s="206"/>
      <c r="F1" s="206"/>
      <c r="G1" s="42"/>
      <c r="H1" s="42"/>
      <c r="I1" s="42"/>
      <c r="J1" s="42"/>
      <c r="K1" s="70"/>
      <c r="L1" s="21"/>
      <c r="M1" s="21"/>
      <c r="N1" s="21"/>
    </row>
    <row r="2" spans="1:14" s="37" customFormat="1" ht="30.6" customHeight="1" x14ac:dyDescent="0.3">
      <c r="A2" s="62"/>
      <c r="B2" s="367"/>
      <c r="C2" s="367"/>
      <c r="D2" s="135" t="s">
        <v>517</v>
      </c>
      <c r="E2" s="136" t="str">
        <f>"Account: "&amp;'Report (OMMi) - Var 1'!E5</f>
        <v>Account: A Big Important Account</v>
      </c>
      <c r="F2" s="136" t="str">
        <f>'Report (OMMi) - Var 1'!F15</f>
        <v>ODM: A.N Other</v>
      </c>
      <c r="G2" s="372"/>
      <c r="H2" s="373"/>
      <c r="I2" s="373"/>
      <c r="J2" s="373"/>
      <c r="K2" s="373"/>
      <c r="L2" s="373"/>
      <c r="M2" s="373"/>
      <c r="N2" s="374"/>
    </row>
    <row r="3" spans="1:14" s="17" customFormat="1" ht="12.75" customHeight="1" x14ac:dyDescent="0.3">
      <c r="B3" s="114" t="s">
        <v>18</v>
      </c>
      <c r="C3" s="115"/>
      <c r="D3" s="116"/>
      <c r="E3" s="370" t="s">
        <v>34</v>
      </c>
      <c r="F3" s="371"/>
      <c r="G3" s="368" t="s">
        <v>420</v>
      </c>
      <c r="H3" s="369"/>
      <c r="I3" s="369"/>
      <c r="J3" s="128"/>
      <c r="K3" s="121"/>
      <c r="L3" s="121"/>
      <c r="M3" s="122"/>
      <c r="N3" s="122"/>
    </row>
    <row r="4" spans="1:14" s="118" customFormat="1" ht="42.75" customHeight="1"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1:14" s="30" customFormat="1" ht="162.75" customHeight="1" x14ac:dyDescent="0.3">
      <c r="B5" s="127" t="s">
        <v>421</v>
      </c>
      <c r="C5" s="58">
        <v>1</v>
      </c>
      <c r="D5" s="117" t="s">
        <v>446</v>
      </c>
      <c r="E5" s="113" t="s">
        <v>664</v>
      </c>
      <c r="F5" s="113" t="s">
        <v>682</v>
      </c>
      <c r="G5" s="123"/>
      <c r="H5" s="138" t="e">
        <f>VLOOKUP($G5,LookUps!$B$4:$C$19,2)</f>
        <v>#N/A</v>
      </c>
      <c r="I5" s="138" t="str">
        <f>IFERROR(VLOOKUP($G5,LookUps!$B$4:$D$19,3),"")</f>
        <v/>
      </c>
      <c r="J5" s="141" t="str">
        <f>IF($G5=1,1,IF($G5=2,1,IF($G5=3,1,IF($G5=4,2,IF($G5=5,2,IF($G5=6,2,IF($G5=7,3,IF($G5=8,3,IF($G5=9,3,IF($G5=10,4,IF($G5=11,4,IF($G5=12,4,IF($G5=13,5,IF($G5=14,5,IF($G5=15,5,"")))))))))))))))</f>
        <v/>
      </c>
      <c r="K5" s="105"/>
      <c r="L5" s="120"/>
      <c r="M5" s="120"/>
      <c r="N5" s="230" t="str">
        <f>IF(OR($G5=1,$G5=2,$G5=3,$G5=4,$G5=5,$G5=6),'20k Cross Ref (ODM)'!$BU4,"")</f>
        <v/>
      </c>
    </row>
    <row r="6" spans="1:14" s="30" customFormat="1" ht="142.80000000000001" x14ac:dyDescent="0.3">
      <c r="B6" s="127" t="s">
        <v>421</v>
      </c>
      <c r="C6" s="58">
        <v>2</v>
      </c>
      <c r="D6" s="117" t="s">
        <v>656</v>
      </c>
      <c r="E6" s="124" t="s">
        <v>447</v>
      </c>
      <c r="F6" s="124" t="s">
        <v>665</v>
      </c>
      <c r="G6" s="123"/>
      <c r="H6" s="138" t="e">
        <f>VLOOKUP($G6,LookUps!$B$4:$C$19,2)</f>
        <v>#N/A</v>
      </c>
      <c r="I6" s="138" t="str">
        <f>IFERROR(VLOOKUP($G6,LookUps!$B$4:$D$19,3),"")</f>
        <v/>
      </c>
      <c r="J6" s="141" t="str">
        <f t="shared" ref="J6:J17" si="0">IF($G6=1,1,IF($G6=2,1,IF($G6=3,1,IF($G6=4,2,IF($G6=5,2,IF($G6=6,2,IF($G6=7,3,IF($G6=8,3,IF($G6=9,3,IF($G6=10,4,IF($G6=11,4,IF($G6=12,4,IF($G6=13,5,IF($G6=14,5,IF($G6=15,5,"")))))))))))))))</f>
        <v/>
      </c>
      <c r="K6" s="105"/>
      <c r="L6" s="120"/>
      <c r="M6" s="120"/>
      <c r="N6" s="230" t="str">
        <f>IF(OR($G6=1,$G6=2,$G6=3,$G6=4,$G6=5,$G6=6),'20k Cross Ref (ODM)'!$BU5,"")</f>
        <v/>
      </c>
    </row>
    <row r="7" spans="1:14" s="30" customFormat="1" ht="51" x14ac:dyDescent="0.3">
      <c r="B7" s="127" t="s">
        <v>421</v>
      </c>
      <c r="C7" s="58">
        <v>3</v>
      </c>
      <c r="D7" s="117" t="s">
        <v>659</v>
      </c>
      <c r="E7" s="124" t="s">
        <v>657</v>
      </c>
      <c r="F7" s="124" t="s">
        <v>658</v>
      </c>
      <c r="G7" s="123"/>
      <c r="H7" s="138" t="e">
        <f>VLOOKUP($G7,LookUps!$B$4:$C$19,2)</f>
        <v>#N/A</v>
      </c>
      <c r="I7" s="138" t="str">
        <f>IFERROR(VLOOKUP($G7,LookUps!$B$4:$D$19,3),"")</f>
        <v/>
      </c>
      <c r="J7" s="141" t="str">
        <f t="shared" si="0"/>
        <v/>
      </c>
      <c r="K7" s="105"/>
      <c r="L7" s="120"/>
      <c r="M7" s="120"/>
      <c r="N7" s="230" t="str">
        <f>IF(OR($G7=1,$G7=2,$G7=3,$G7=4,$G7=5,$G7=6),'20k Cross Ref (ODM)'!$BU6,"")</f>
        <v/>
      </c>
    </row>
    <row r="8" spans="1:14" s="30" customFormat="1" ht="61.2" x14ac:dyDescent="0.3">
      <c r="B8" s="127" t="s">
        <v>421</v>
      </c>
      <c r="C8" s="58">
        <v>4</v>
      </c>
      <c r="D8" s="117" t="s">
        <v>430</v>
      </c>
      <c r="E8" s="124" t="s">
        <v>666</v>
      </c>
      <c r="F8" s="124" t="s">
        <v>667</v>
      </c>
      <c r="G8" s="123"/>
      <c r="H8" s="138" t="e">
        <f>VLOOKUP($G8,LookUps!$B$4:$C$19,2)</f>
        <v>#N/A</v>
      </c>
      <c r="I8" s="138" t="str">
        <f>IFERROR(VLOOKUP($G8,LookUps!$B$4:$D$19,3),"")</f>
        <v/>
      </c>
      <c r="J8" s="141" t="str">
        <f t="shared" si="0"/>
        <v/>
      </c>
      <c r="K8" s="105"/>
      <c r="L8" s="120"/>
      <c r="M8" s="120"/>
      <c r="N8" s="230" t="str">
        <f>IF(OR($G8=1,$G8=2,$G8=3,$G8=4,$G8=5,$G8=6),'20k Cross Ref (ODM)'!$BU7,"")</f>
        <v/>
      </c>
    </row>
    <row r="9" spans="1:14" s="30" customFormat="1" ht="102" x14ac:dyDescent="0.3">
      <c r="B9" s="127" t="s">
        <v>421</v>
      </c>
      <c r="C9" s="58">
        <v>5</v>
      </c>
      <c r="D9" s="117" t="s">
        <v>545</v>
      </c>
      <c r="E9" s="124" t="s">
        <v>668</v>
      </c>
      <c r="F9" s="124" t="s">
        <v>669</v>
      </c>
      <c r="G9" s="123"/>
      <c r="H9" s="138" t="e">
        <f>VLOOKUP($G9,LookUps!$B$4:$C$19,2)</f>
        <v>#N/A</v>
      </c>
      <c r="I9" s="138" t="str">
        <f>IFERROR(VLOOKUP($G9,LookUps!$B$4:$D$19,3),"")</f>
        <v/>
      </c>
      <c r="J9" s="141" t="str">
        <f t="shared" si="0"/>
        <v/>
      </c>
      <c r="K9" s="105"/>
      <c r="L9" s="120"/>
      <c r="M9" s="120"/>
      <c r="N9" s="230" t="str">
        <f>IF(OR($G9=1,$G9=2,$G9=3,$G9=4,$G9=5,$G9=6),'20k Cross Ref (ODM)'!$BU8,"")</f>
        <v/>
      </c>
    </row>
    <row r="10" spans="1:14" s="30" customFormat="1" ht="71.400000000000006" x14ac:dyDescent="0.3">
      <c r="B10" s="127" t="s">
        <v>433</v>
      </c>
      <c r="C10" s="58">
        <v>6</v>
      </c>
      <c r="D10" s="117" t="s">
        <v>541</v>
      </c>
      <c r="E10" s="124" t="s">
        <v>670</v>
      </c>
      <c r="F10" s="124" t="s">
        <v>671</v>
      </c>
      <c r="G10" s="123"/>
      <c r="H10" s="138" t="e">
        <f>VLOOKUP($G10,LookUps!$B$4:$C$19,2)</f>
        <v>#N/A</v>
      </c>
      <c r="I10" s="138" t="str">
        <f>IFERROR(VLOOKUP($G10,LookUps!$B$4:$D$19,3),"")</f>
        <v/>
      </c>
      <c r="J10" s="141" t="str">
        <f t="shared" si="0"/>
        <v/>
      </c>
      <c r="K10" s="105"/>
      <c r="L10" s="120"/>
      <c r="M10" s="120"/>
      <c r="N10" s="230" t="str">
        <f>IF(OR($G10=1,$G10=2,$G10=3,$G10=4,$G10=5,$G10=6),'20k Cross Ref (ODM)'!$BU9,"")</f>
        <v/>
      </c>
    </row>
    <row r="11" spans="1:14" s="30" customFormat="1" ht="51" x14ac:dyDescent="0.3">
      <c r="B11" s="127" t="s">
        <v>433</v>
      </c>
      <c r="C11" s="58">
        <v>7</v>
      </c>
      <c r="D11" s="117" t="s">
        <v>542</v>
      </c>
      <c r="E11" s="124" t="s">
        <v>672</v>
      </c>
      <c r="F11" s="124" t="s">
        <v>673</v>
      </c>
      <c r="G11" s="123"/>
      <c r="H11" s="138" t="e">
        <f>VLOOKUP($G11,LookUps!$B$4:$C$19,2)</f>
        <v>#N/A</v>
      </c>
      <c r="I11" s="138" t="str">
        <f>IFERROR(VLOOKUP($G11,LookUps!$B$4:$D$19,3),"")</f>
        <v/>
      </c>
      <c r="J11" s="141" t="str">
        <f t="shared" si="0"/>
        <v/>
      </c>
      <c r="K11" s="105"/>
      <c r="L11" s="120"/>
      <c r="M11" s="120"/>
      <c r="N11" s="230" t="str">
        <f>IF(OR($G11=1,$G11=2,$G11=3,$G11=4,$G11=5,$G11=6),'20k Cross Ref (ODM)'!$BU10,"")</f>
        <v/>
      </c>
    </row>
    <row r="12" spans="1:14" s="30" customFormat="1" ht="61.2" x14ac:dyDescent="0.3">
      <c r="B12" s="127" t="s">
        <v>434</v>
      </c>
      <c r="C12" s="58">
        <v>8</v>
      </c>
      <c r="D12" s="117" t="s">
        <v>543</v>
      </c>
      <c r="E12" s="124" t="s">
        <v>548</v>
      </c>
      <c r="F12" s="124" t="s">
        <v>592</v>
      </c>
      <c r="G12" s="123"/>
      <c r="H12" s="138" t="e">
        <f>VLOOKUP($G12,LookUps!$B$4:$C$19,2)</f>
        <v>#N/A</v>
      </c>
      <c r="I12" s="138" t="str">
        <f>IFERROR(VLOOKUP($G12,LookUps!$B$4:$D$19,3),"")</f>
        <v/>
      </c>
      <c r="J12" s="141" t="str">
        <f t="shared" si="0"/>
        <v/>
      </c>
      <c r="K12" s="105"/>
      <c r="L12" s="120"/>
      <c r="M12" s="120"/>
      <c r="N12" s="230" t="str">
        <f>IF(OR($G12=1,$G12=2,$G12=3,$G12=4,$G12=5,$G12=6),'20k Cross Ref (ODM)'!$BU11,"")</f>
        <v/>
      </c>
    </row>
    <row r="13" spans="1:14" s="30" customFormat="1" ht="20.399999999999999" x14ac:dyDescent="0.3">
      <c r="B13" s="127" t="s">
        <v>434</v>
      </c>
      <c r="C13" s="58">
        <v>9</v>
      </c>
      <c r="D13" s="117" t="s">
        <v>448</v>
      </c>
      <c r="E13" s="124" t="s">
        <v>675</v>
      </c>
      <c r="F13" s="124" t="s">
        <v>674</v>
      </c>
      <c r="G13" s="123"/>
      <c r="H13" s="138" t="e">
        <f>VLOOKUP($G13,LookUps!$B$4:$C$19,2)</f>
        <v>#N/A</v>
      </c>
      <c r="I13" s="138" t="str">
        <f>IFERROR(VLOOKUP($G13,LookUps!$B$4:$D$19,3),"")</f>
        <v/>
      </c>
      <c r="J13" s="141" t="str">
        <f t="shared" si="0"/>
        <v/>
      </c>
      <c r="K13" s="105"/>
      <c r="L13" s="120"/>
      <c r="M13" s="120"/>
      <c r="N13" s="230" t="str">
        <f>IF(OR($G13=1,$G13=2,$G13=3,$G13=4,$G13=5,$G13=6),'20k Cross Ref (ODM)'!$BU12,"")</f>
        <v/>
      </c>
    </row>
    <row r="14" spans="1:14" s="30" customFormat="1" ht="41.4" x14ac:dyDescent="0.3">
      <c r="B14" s="127" t="s">
        <v>435</v>
      </c>
      <c r="C14" s="58">
        <v>10</v>
      </c>
      <c r="D14" s="117" t="s">
        <v>544</v>
      </c>
      <c r="E14" s="124" t="s">
        <v>676</v>
      </c>
      <c r="F14" s="124" t="s">
        <v>677</v>
      </c>
      <c r="G14" s="123"/>
      <c r="H14" s="138" t="e">
        <f>VLOOKUP($G14,LookUps!$B$4:$C$19,2)</f>
        <v>#N/A</v>
      </c>
      <c r="I14" s="138" t="str">
        <f>IFERROR(VLOOKUP($G14,LookUps!$B$4:$D$19,3),"")</f>
        <v/>
      </c>
      <c r="J14" s="141" t="str">
        <f t="shared" si="0"/>
        <v/>
      </c>
      <c r="K14" s="105"/>
      <c r="L14" s="120"/>
      <c r="M14" s="120"/>
      <c r="N14" s="230" t="str">
        <f>IF(OR($G14=1,$G14=2,$G14=3,$G14=4,$G14=5,$G14=6),'20k Cross Ref (ODM)'!$BU13,"")</f>
        <v/>
      </c>
    </row>
    <row r="15" spans="1:14" s="30" customFormat="1" ht="20.399999999999999" x14ac:dyDescent="0.3">
      <c r="B15" s="127" t="s">
        <v>435</v>
      </c>
      <c r="C15" s="58">
        <v>11</v>
      </c>
      <c r="D15" s="117" t="s">
        <v>546</v>
      </c>
      <c r="E15" s="124" t="s">
        <v>549</v>
      </c>
      <c r="F15" s="124" t="s">
        <v>431</v>
      </c>
      <c r="G15" s="123"/>
      <c r="H15" s="138" t="e">
        <f>VLOOKUP($G15,LookUps!$B$4:$C$19,2)</f>
        <v>#N/A</v>
      </c>
      <c r="I15" s="138" t="str">
        <f>IFERROR(VLOOKUP($G15,LookUps!$B$4:$D$19,3),"")</f>
        <v/>
      </c>
      <c r="J15" s="141" t="str">
        <f t="shared" si="0"/>
        <v/>
      </c>
      <c r="K15" s="105"/>
      <c r="L15" s="120"/>
      <c r="M15" s="120"/>
      <c r="N15" s="230" t="str">
        <f>IF(OR($G15=1,$G15=2,$G15=3,$G15=4,$G15=5,$G15=6),'20k Cross Ref (ODM)'!$BU14,"")</f>
        <v/>
      </c>
    </row>
    <row r="16" spans="1:14" s="30" customFormat="1" ht="71.400000000000006" x14ac:dyDescent="0.3">
      <c r="B16" s="127" t="s">
        <v>651</v>
      </c>
      <c r="C16" s="58">
        <v>12</v>
      </c>
      <c r="D16" s="117" t="s">
        <v>652</v>
      </c>
      <c r="E16" s="124" t="s">
        <v>678</v>
      </c>
      <c r="F16" s="124" t="s">
        <v>679</v>
      </c>
      <c r="G16" s="123"/>
      <c r="H16" s="138" t="e">
        <f>VLOOKUP($G16,LookUps!$B$4:$C$19,2)</f>
        <v>#N/A</v>
      </c>
      <c r="I16" s="138" t="str">
        <f>IFERROR(VLOOKUP($G16,LookUps!$B$4:$D$19,3),"")</f>
        <v/>
      </c>
      <c r="J16" s="141" t="str">
        <f t="shared" si="0"/>
        <v/>
      </c>
      <c r="K16" s="105"/>
      <c r="L16" s="120"/>
      <c r="M16" s="120"/>
      <c r="N16" s="230" t="str">
        <f>IF(OR($G16=1,$G16=2,$G16=3,$G16=4,$G16=5,$G16=6),'20k Cross Ref (ODM)'!$BU15,"")</f>
        <v/>
      </c>
    </row>
    <row r="17" spans="2:14" s="30" customFormat="1" ht="20.399999999999999" x14ac:dyDescent="0.3">
      <c r="B17" s="127" t="s">
        <v>651</v>
      </c>
      <c r="C17" s="58">
        <v>13</v>
      </c>
      <c r="D17" s="117" t="s">
        <v>546</v>
      </c>
      <c r="E17" s="124" t="s">
        <v>660</v>
      </c>
      <c r="F17" s="124" t="s">
        <v>660</v>
      </c>
      <c r="G17" s="123"/>
      <c r="H17" s="138" t="e">
        <f>VLOOKUP($G17,LookUps!$B$4:$C$19,2)</f>
        <v>#N/A</v>
      </c>
      <c r="I17" s="138" t="str">
        <f>IFERROR(VLOOKUP($G17,LookUps!$B$4:$D$19,3),"")</f>
        <v/>
      </c>
      <c r="J17" s="141" t="str">
        <f t="shared" si="0"/>
        <v/>
      </c>
      <c r="K17" s="105"/>
      <c r="L17" s="120"/>
      <c r="M17" s="120"/>
      <c r="N17" s="230" t="str">
        <f>IF(OR($G17=1,$G17=2,$G17=3,$G17=4,$G17=5,$G17=6),'20k Cross Ref (ODM)'!$BU16,"")</f>
        <v/>
      </c>
    </row>
    <row r="18" spans="2:14" x14ac:dyDescent="0.3">
      <c r="G18" s="45"/>
      <c r="H18" s="45"/>
      <c r="I18" s="45"/>
      <c r="J18" s="45"/>
    </row>
  </sheetData>
  <sheetProtection password="DAE1" sheet="1" objects="1" scenarios="1" formatColumns="0" formatRows="0" autoFilter="0"/>
  <autoFilter ref="B4:L17"/>
  <mergeCells count="4">
    <mergeCell ref="B2:C2"/>
    <mergeCell ref="G3:I3"/>
    <mergeCell ref="E3:F3"/>
    <mergeCell ref="G2:N2"/>
  </mergeCells>
  <conditionalFormatting sqref="I5:I17">
    <cfRule type="cellIs" dxfId="5490" priority="6" operator="equal">
      <formula>"Improving"</formula>
    </cfRule>
    <cfRule type="cellIs" dxfId="5489" priority="7" operator="equal">
      <formula>"Optimising"</formula>
    </cfRule>
    <cfRule type="cellIs" dxfId="5488" priority="8" operator="equal">
      <formula>"Proactive"</formula>
    </cfRule>
    <cfRule type="cellIs" dxfId="5487" priority="9" operator="equal">
      <formula>"Reactive"</formula>
    </cfRule>
    <cfRule type="cellIs" dxfId="5486" priority="10" operator="equal">
      <formula>"No Formal Approach"</formula>
    </cfRule>
  </conditionalFormatting>
  <conditionalFormatting sqref="G5:G17">
    <cfRule type="cellIs" dxfId="5485" priority="1" operator="between">
      <formula>13</formula>
      <formula>15.9999</formula>
    </cfRule>
    <cfRule type="cellIs" dxfId="5484" priority="2" operator="between">
      <formula>10</formula>
      <formula>12.9999</formula>
    </cfRule>
    <cfRule type="cellIs" dxfId="5483" priority="3" operator="between">
      <formula>7</formula>
      <formula>9.9999</formula>
    </cfRule>
    <cfRule type="cellIs" dxfId="5482" priority="4" operator="between">
      <formula>4</formula>
      <formula>6.9999</formula>
    </cfRule>
    <cfRule type="cellIs" dxfId="5481" priority="5" operator="between">
      <formula>0.1</formula>
      <formula>3.9999</formula>
    </cfRule>
  </conditionalFormatting>
  <dataValidations count="2">
    <dataValidation type="list" allowBlank="1" showInputMessage="1" showErrorMessage="1" sqref="G5:G17">
      <formula1>Scores</formula1>
    </dataValidation>
    <dataValidation type="list" allowBlank="1" showInputMessage="1" showErrorMessage="1" sqref="K5:K17">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41"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B1:N207"/>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33"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33"/>
  </cols>
  <sheetData>
    <row r="1" spans="2:14" ht="8.4" customHeight="1" x14ac:dyDescent="0.3">
      <c r="B1" s="20" t="s">
        <v>18</v>
      </c>
      <c r="E1" s="206"/>
      <c r="F1" s="206"/>
    </row>
    <row r="2" spans="2:14" ht="30.6" customHeight="1" x14ac:dyDescent="0.3">
      <c r="B2" s="367"/>
      <c r="C2" s="367"/>
      <c r="D2" s="135" t="s">
        <v>517</v>
      </c>
      <c r="E2" s="136" t="str">
        <f>"Account: "&amp;'Report (OMMi) - Var 1'!E5</f>
        <v>Account: A Big Important Account</v>
      </c>
      <c r="F2" s="136" t="str">
        <f>'Report (OMMi) - Var 1'!G15</f>
        <v>Service Desk Specific</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32"/>
      <c r="K3" s="121"/>
      <c r="L3" s="121"/>
      <c r="M3" s="122"/>
      <c r="N3" s="122"/>
    </row>
    <row r="4" spans="2:14" s="118" customFormat="1" ht="42.75" customHeight="1"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20.399999999999999" x14ac:dyDescent="0.3">
      <c r="B5" s="127" t="s">
        <v>832</v>
      </c>
      <c r="C5" s="58">
        <v>1</v>
      </c>
      <c r="D5" s="375" t="s">
        <v>685</v>
      </c>
      <c r="E5" s="113" t="s">
        <v>845</v>
      </c>
      <c r="F5" s="113" t="s">
        <v>845</v>
      </c>
      <c r="G5" s="249" t="str">
        <f>IFERROR(TRUNC(AVERAGE($G6:$G18),2), "")</f>
        <v/>
      </c>
      <c r="H5" s="247"/>
      <c r="I5" s="248" t="str">
        <f>IFERROR(VLOOKUP($G5,LookUps!$B$4:$D$19,3),"")</f>
        <v/>
      </c>
      <c r="J5" s="141"/>
      <c r="K5" s="250"/>
      <c r="L5" s="250"/>
      <c r="M5" s="250"/>
      <c r="N5" s="251"/>
    </row>
    <row r="6" spans="2:14" s="30" customFormat="1" ht="20.399999999999999" x14ac:dyDescent="0.3">
      <c r="B6" s="127" t="s">
        <v>832</v>
      </c>
      <c r="C6" s="58">
        <v>2</v>
      </c>
      <c r="D6" s="376"/>
      <c r="E6" s="113" t="s">
        <v>846</v>
      </c>
      <c r="F6" s="113" t="s">
        <v>1042</v>
      </c>
      <c r="G6" s="123"/>
      <c r="H6" s="138" t="e">
        <f>VLOOKUP($G6,LookUps!$B$4:$C$19,2)</f>
        <v>#N/A</v>
      </c>
      <c r="I6" s="248" t="str">
        <f>IFERROR(VLOOKUP($G6,LookUps!$B$4:$D$19,3),"")</f>
        <v/>
      </c>
      <c r="J6" s="141" t="str">
        <f t="shared" ref="J6:J18" si="0">IF($G6=1,1,IF($G6=2,1,IF($G6=3,1,IF($G6=4,2,IF($G6=5,2,IF($G6=6,2,IF($G6=7,3,IF($G6=8,3,IF($G6=9,3,IF($G6=10,4,IF($G6=11,4,IF($G6=12,4,IF($G6=13,5,IF($G6=14,5,IF($G6=15,5,"")))))))))))))))</f>
        <v/>
      </c>
      <c r="K6" s="105"/>
      <c r="L6" s="120"/>
      <c r="M6" s="120"/>
      <c r="N6" s="230" t="str">
        <f>IF(OR($G6=1,$G6=2,$G6=3,$G6=4,$G6=5,$G6=6),'20k Cross Ref (SD)'!$BU5,"")</f>
        <v/>
      </c>
    </row>
    <row r="7" spans="2:14" s="30" customFormat="1" ht="30.6" x14ac:dyDescent="0.3">
      <c r="B7" s="127" t="s">
        <v>832</v>
      </c>
      <c r="C7" s="58">
        <v>3</v>
      </c>
      <c r="D7" s="376"/>
      <c r="E7" s="113" t="s">
        <v>847</v>
      </c>
      <c r="F7" s="113" t="s">
        <v>1043</v>
      </c>
      <c r="G7" s="123"/>
      <c r="H7" s="138" t="e">
        <f>VLOOKUP($G7,LookUps!$B$4:$C$19,2)</f>
        <v>#N/A</v>
      </c>
      <c r="I7" s="248" t="str">
        <f>IFERROR(VLOOKUP($G7,LookUps!$B$4:$D$19,3),"")</f>
        <v/>
      </c>
      <c r="J7" s="141" t="str">
        <f t="shared" si="0"/>
        <v/>
      </c>
      <c r="K7" s="105"/>
      <c r="L7" s="120"/>
      <c r="M7" s="120"/>
      <c r="N7" s="230" t="str">
        <f>IF(OR($G7=1,$G7=2,$G7=3,$G7=4,$G7=5,$G7=6),'20k Cross Ref (SD)'!$BU6,"")</f>
        <v/>
      </c>
    </row>
    <row r="8" spans="2:14" s="30" customFormat="1" ht="20.399999999999999" x14ac:dyDescent="0.3">
      <c r="B8" s="127" t="s">
        <v>832</v>
      </c>
      <c r="C8" s="58">
        <v>4</v>
      </c>
      <c r="D8" s="376"/>
      <c r="E8" s="113" t="s">
        <v>848</v>
      </c>
      <c r="F8" s="113" t="s">
        <v>1044</v>
      </c>
      <c r="G8" s="123"/>
      <c r="H8" s="138" t="e">
        <f>VLOOKUP($G8,LookUps!$B$4:$C$19,2)</f>
        <v>#N/A</v>
      </c>
      <c r="I8" s="248" t="str">
        <f>IFERROR(VLOOKUP($G8,LookUps!$B$4:$D$19,3),"")</f>
        <v/>
      </c>
      <c r="J8" s="141" t="str">
        <f t="shared" si="0"/>
        <v/>
      </c>
      <c r="K8" s="105"/>
      <c r="L8" s="120"/>
      <c r="M8" s="120"/>
      <c r="N8" s="230" t="str">
        <f>IF(OR($G8=1,$G8=2,$G8=3,$G8=4,$G8=5,$G8=6),'20k Cross Ref (SD)'!$BU7,"")</f>
        <v/>
      </c>
    </row>
    <row r="9" spans="2:14" s="30" customFormat="1" ht="20.399999999999999" x14ac:dyDescent="0.3">
      <c r="B9" s="127" t="s">
        <v>832</v>
      </c>
      <c r="C9" s="58">
        <v>5</v>
      </c>
      <c r="D9" s="376"/>
      <c r="E9" s="113" t="s">
        <v>849</v>
      </c>
      <c r="F9" s="113" t="s">
        <v>850</v>
      </c>
      <c r="G9" s="123"/>
      <c r="H9" s="138" t="e">
        <f>VLOOKUP($G9,LookUps!$B$4:$C$19,2)</f>
        <v>#N/A</v>
      </c>
      <c r="I9" s="248" t="str">
        <f>IFERROR(VLOOKUP($G9,LookUps!$B$4:$D$19,3),"")</f>
        <v/>
      </c>
      <c r="J9" s="141" t="str">
        <f t="shared" si="0"/>
        <v/>
      </c>
      <c r="K9" s="105"/>
      <c r="L9" s="120"/>
      <c r="M9" s="120"/>
      <c r="N9" s="230" t="str">
        <f>IF(OR($G9=1,$G9=2,$G9=3,$G9=4,$G9=5,$G9=6),'20k Cross Ref (SD)'!$BU8,"")</f>
        <v/>
      </c>
    </row>
    <row r="10" spans="2:14" s="30" customFormat="1" ht="20.399999999999999" x14ac:dyDescent="0.3">
      <c r="B10" s="127" t="s">
        <v>832</v>
      </c>
      <c r="C10" s="58">
        <v>6</v>
      </c>
      <c r="D10" s="376"/>
      <c r="E10" s="113" t="s">
        <v>851</v>
      </c>
      <c r="F10" s="113" t="s">
        <v>852</v>
      </c>
      <c r="G10" s="123"/>
      <c r="H10" s="138" t="e">
        <f>VLOOKUP($G10,LookUps!$B$4:$C$19,2)</f>
        <v>#N/A</v>
      </c>
      <c r="I10" s="248" t="str">
        <f>IFERROR(VLOOKUP($G10,LookUps!$B$4:$D$19,3),"")</f>
        <v/>
      </c>
      <c r="J10" s="141" t="str">
        <f t="shared" si="0"/>
        <v/>
      </c>
      <c r="K10" s="105"/>
      <c r="L10" s="120"/>
      <c r="M10" s="120"/>
      <c r="N10" s="230" t="str">
        <f>IF(OR($G10=1,$G10=2,$G10=3,$G10=4,$G10=5,$G10=6),'20k Cross Ref (SD)'!$BU9,"")</f>
        <v/>
      </c>
    </row>
    <row r="11" spans="2:14" s="30" customFormat="1" ht="30.6" x14ac:dyDescent="0.3">
      <c r="B11" s="127" t="s">
        <v>832</v>
      </c>
      <c r="C11" s="58">
        <v>7</v>
      </c>
      <c r="D11" s="376"/>
      <c r="E11" s="113" t="s">
        <v>864</v>
      </c>
      <c r="F11" s="113" t="s">
        <v>1062</v>
      </c>
      <c r="G11" s="123"/>
      <c r="H11" s="138" t="e">
        <f>VLOOKUP($G11,LookUps!$B$4:$C$19,2)</f>
        <v>#N/A</v>
      </c>
      <c r="I11" s="248" t="str">
        <f>IFERROR(VLOOKUP($G11,LookUps!$B$4:$D$19,3),"")</f>
        <v/>
      </c>
      <c r="J11" s="141" t="str">
        <f t="shared" si="0"/>
        <v/>
      </c>
      <c r="K11" s="105"/>
      <c r="L11" s="120"/>
      <c r="M11" s="120"/>
      <c r="N11" s="230" t="str">
        <f>IF(OR($G11=1,$G11=2,$G11=3,$G11=4,$G11=5,$G11=6),'20k Cross Ref (SD)'!$BU10,"")</f>
        <v/>
      </c>
    </row>
    <row r="12" spans="2:14" s="30" customFormat="1" ht="20.399999999999999" x14ac:dyDescent="0.3">
      <c r="B12" s="127" t="s">
        <v>832</v>
      </c>
      <c r="C12" s="58">
        <v>8</v>
      </c>
      <c r="D12" s="376"/>
      <c r="E12" s="113" t="s">
        <v>863</v>
      </c>
      <c r="F12" s="113" t="s">
        <v>866</v>
      </c>
      <c r="G12" s="123"/>
      <c r="H12" s="138" t="e">
        <f>VLOOKUP($G12,LookUps!$B$4:$C$19,2)</f>
        <v>#N/A</v>
      </c>
      <c r="I12" s="248" t="str">
        <f>IFERROR(VLOOKUP($G12,LookUps!$B$4:$D$19,3),"")</f>
        <v/>
      </c>
      <c r="J12" s="141" t="str">
        <f t="shared" si="0"/>
        <v/>
      </c>
      <c r="K12" s="105"/>
      <c r="L12" s="120"/>
      <c r="M12" s="120"/>
      <c r="N12" s="230" t="str">
        <f>IF(OR($G12=1,$G12=2,$G12=3,$G12=4,$G12=5,$G12=6),'20k Cross Ref (SD)'!$BU11,"")</f>
        <v/>
      </c>
    </row>
    <row r="13" spans="2:14" s="30" customFormat="1" ht="20.399999999999999" x14ac:dyDescent="0.3">
      <c r="B13" s="127" t="s">
        <v>832</v>
      </c>
      <c r="C13" s="58">
        <v>9</v>
      </c>
      <c r="D13" s="376"/>
      <c r="E13" s="113" t="s">
        <v>862</v>
      </c>
      <c r="F13" s="113" t="s">
        <v>865</v>
      </c>
      <c r="G13" s="123"/>
      <c r="H13" s="138" t="e">
        <f>VLOOKUP($G13,LookUps!$B$4:$C$19,2)</f>
        <v>#N/A</v>
      </c>
      <c r="I13" s="248" t="str">
        <f>IFERROR(VLOOKUP($G13,LookUps!$B$4:$D$19,3),"")</f>
        <v/>
      </c>
      <c r="J13" s="141" t="str">
        <f t="shared" si="0"/>
        <v/>
      </c>
      <c r="K13" s="105"/>
      <c r="L13" s="120"/>
      <c r="M13" s="120"/>
      <c r="N13" s="230" t="str">
        <f>IF(OR($G13=1,$G13=2,$G13=3,$G13=4,$G13=5,$G13=6),'20k Cross Ref (SD)'!$BU12,"")</f>
        <v/>
      </c>
    </row>
    <row r="14" spans="2:14" s="30" customFormat="1" ht="20.399999999999999" x14ac:dyDescent="0.3">
      <c r="B14" s="127" t="s">
        <v>832</v>
      </c>
      <c r="C14" s="58">
        <v>10</v>
      </c>
      <c r="D14" s="376"/>
      <c r="E14" s="113" t="s">
        <v>861</v>
      </c>
      <c r="F14" s="113" t="s">
        <v>853</v>
      </c>
      <c r="G14" s="123"/>
      <c r="H14" s="138" t="e">
        <f>VLOOKUP($G14,LookUps!$B$4:$C$19,2)</f>
        <v>#N/A</v>
      </c>
      <c r="I14" s="248" t="str">
        <f>IFERROR(VLOOKUP($G14,LookUps!$B$4:$D$19,3),"")</f>
        <v/>
      </c>
      <c r="J14" s="141" t="str">
        <f t="shared" si="0"/>
        <v/>
      </c>
      <c r="K14" s="105"/>
      <c r="L14" s="120"/>
      <c r="M14" s="120"/>
      <c r="N14" s="230" t="str">
        <f>IF(OR($G14=1,$G14=2,$G14=3,$G14=4,$G14=5,$G14=6),'20k Cross Ref (SD)'!$BU13,"")</f>
        <v/>
      </c>
    </row>
    <row r="15" spans="2:14" s="30" customFormat="1" ht="20.399999999999999" x14ac:dyDescent="0.3">
      <c r="B15" s="127" t="s">
        <v>832</v>
      </c>
      <c r="C15" s="58">
        <v>11</v>
      </c>
      <c r="D15" s="376"/>
      <c r="E15" s="113" t="s">
        <v>860</v>
      </c>
      <c r="F15" s="113" t="s">
        <v>857</v>
      </c>
      <c r="G15" s="123"/>
      <c r="H15" s="138" t="e">
        <f>VLOOKUP($G15,LookUps!$B$4:$C$19,2)</f>
        <v>#N/A</v>
      </c>
      <c r="I15" s="248" t="str">
        <f>IFERROR(VLOOKUP($G15,LookUps!$B$4:$D$19,3),"")</f>
        <v/>
      </c>
      <c r="J15" s="141" t="str">
        <f t="shared" si="0"/>
        <v/>
      </c>
      <c r="K15" s="105"/>
      <c r="L15" s="120"/>
      <c r="M15" s="120"/>
      <c r="N15" s="230" t="str">
        <f>IF(OR($G15=1,$G15=2,$G15=3,$G15=4,$G15=5,$G15=6),'20k Cross Ref (SD)'!$BU14,"")</f>
        <v/>
      </c>
    </row>
    <row r="16" spans="2:14" s="30" customFormat="1" ht="20.399999999999999" x14ac:dyDescent="0.3">
      <c r="B16" s="127" t="s">
        <v>832</v>
      </c>
      <c r="C16" s="58">
        <v>12</v>
      </c>
      <c r="D16" s="376"/>
      <c r="E16" s="113" t="s">
        <v>858</v>
      </c>
      <c r="F16" s="113" t="s">
        <v>854</v>
      </c>
      <c r="G16" s="123"/>
      <c r="H16" s="138" t="e">
        <f>VLOOKUP($G16,LookUps!$B$4:$C$19,2)</f>
        <v>#N/A</v>
      </c>
      <c r="I16" s="248" t="str">
        <f>IFERROR(VLOOKUP($G16,LookUps!$B$4:$D$19,3),"")</f>
        <v/>
      </c>
      <c r="J16" s="141" t="str">
        <f t="shared" si="0"/>
        <v/>
      </c>
      <c r="K16" s="105"/>
      <c r="L16" s="120"/>
      <c r="M16" s="120"/>
      <c r="N16" s="230" t="str">
        <f>IF(OR($G16=1,$G16=2,$G16=3,$G16=4,$G16=5,$G16=6),'20k Cross Ref (SD)'!$BU15,"")</f>
        <v/>
      </c>
    </row>
    <row r="17" spans="2:14" s="30" customFormat="1" ht="20.399999999999999" x14ac:dyDescent="0.3">
      <c r="B17" s="127" t="s">
        <v>832</v>
      </c>
      <c r="C17" s="58">
        <v>13</v>
      </c>
      <c r="D17" s="376"/>
      <c r="E17" s="113" t="s">
        <v>859</v>
      </c>
      <c r="F17" s="113" t="s">
        <v>1063</v>
      </c>
      <c r="G17" s="123"/>
      <c r="H17" s="138" t="e">
        <f>VLOOKUP($G17,LookUps!$B$4:$C$19,2)</f>
        <v>#N/A</v>
      </c>
      <c r="I17" s="248" t="str">
        <f>IFERROR(VLOOKUP($G17,LookUps!$B$4:$D$19,3),"")</f>
        <v/>
      </c>
      <c r="J17" s="141" t="str">
        <f t="shared" si="0"/>
        <v/>
      </c>
      <c r="K17" s="105"/>
      <c r="L17" s="120"/>
      <c r="M17" s="120"/>
      <c r="N17" s="230" t="str">
        <f>IF(OR($G17=1,$G17=2,$G17=3,$G17=4,$G17=5,$G17=6),'20k Cross Ref (SD)'!$BU16,"")</f>
        <v/>
      </c>
    </row>
    <row r="18" spans="2:14" s="30" customFormat="1" ht="20.399999999999999" x14ac:dyDescent="0.3">
      <c r="B18" s="127" t="s">
        <v>832</v>
      </c>
      <c r="C18" s="58">
        <v>14</v>
      </c>
      <c r="D18" s="377"/>
      <c r="E18" s="113" t="s">
        <v>855</v>
      </c>
      <c r="F18" s="113" t="s">
        <v>856</v>
      </c>
      <c r="G18" s="123"/>
      <c r="H18" s="138" t="e">
        <f>VLOOKUP($G18,LookUps!$B$4:$C$19,2)</f>
        <v>#N/A</v>
      </c>
      <c r="I18" s="248" t="str">
        <f>IFERROR(VLOOKUP($G18,LookUps!$B$4:$D$19,3),"")</f>
        <v/>
      </c>
      <c r="J18" s="141" t="str">
        <f t="shared" si="0"/>
        <v/>
      </c>
      <c r="K18" s="105"/>
      <c r="L18" s="120"/>
      <c r="M18" s="120"/>
      <c r="N18" s="230" t="str">
        <f>IF(OR($G18=1,$G18=2,$G18=3,$G18=4,$G18=5,$G18=6),'20k Cross Ref (SD)'!$BU17,"")</f>
        <v/>
      </c>
    </row>
    <row r="19" spans="2:14" s="30" customFormat="1" ht="22.5" customHeight="1" x14ac:dyDescent="0.3">
      <c r="B19" s="127" t="s">
        <v>832</v>
      </c>
      <c r="C19" s="58">
        <v>15</v>
      </c>
      <c r="D19" s="375" t="s">
        <v>1067</v>
      </c>
      <c r="E19" s="113" t="s">
        <v>845</v>
      </c>
      <c r="F19" s="113" t="s">
        <v>845</v>
      </c>
      <c r="G19" s="249" t="str">
        <f>IFERROR(TRUNC(AVERAGE($G20:$G20),2), "")</f>
        <v/>
      </c>
      <c r="H19" s="247"/>
      <c r="I19" s="248" t="str">
        <f>IFERROR(VLOOKUP($G19,LookUps!$B$4:$D$19,3),"")</f>
        <v/>
      </c>
      <c r="J19" s="141"/>
      <c r="K19" s="250"/>
      <c r="L19" s="250"/>
      <c r="M19" s="250"/>
      <c r="N19" s="250"/>
    </row>
    <row r="20" spans="2:14" s="30" customFormat="1" ht="30.6" x14ac:dyDescent="0.3">
      <c r="B20" s="127" t="s">
        <v>832</v>
      </c>
      <c r="C20" s="58">
        <v>16</v>
      </c>
      <c r="D20" s="377"/>
      <c r="E20" s="124" t="s">
        <v>1069</v>
      </c>
      <c r="F20" s="124" t="s">
        <v>1068</v>
      </c>
      <c r="G20" s="123"/>
      <c r="H20" s="138" t="e">
        <f>VLOOKUP($G20,LookUps!$B$4:$C$19,2)</f>
        <v>#N/A</v>
      </c>
      <c r="I20" s="248" t="str">
        <f>IFERROR(VLOOKUP($G20,LookUps!$B$4:$D$19,3),"")</f>
        <v/>
      </c>
      <c r="J20" s="141" t="str">
        <f t="shared" ref="J20:J145" si="1">IF($G20=1,1,IF($G20=2,1,IF($G20=3,1,IF($G20=4,2,IF($G20=5,2,IF($G20=6,2,IF($G20=7,3,IF($G20=8,3,IF($G20=9,3,IF($G20=10,4,IF($G20=11,4,IF($G20=12,4,IF($G20=13,5,IF($G20=14,5,IF($G20=15,5,"")))))))))))))))</f>
        <v/>
      </c>
      <c r="K20" s="105"/>
      <c r="L20" s="120"/>
      <c r="M20" s="120"/>
      <c r="N20" s="230" t="str">
        <f>IF(OR($G20=1,$G20=2,$G20=3,$G20=4,$G20=5,$G20=6),'20k Cross Ref (SD)'!$BU19,"")</f>
        <v/>
      </c>
    </row>
    <row r="21" spans="2:14" s="30" customFormat="1" ht="22.5" customHeight="1" x14ac:dyDescent="0.3">
      <c r="B21" s="127" t="s">
        <v>832</v>
      </c>
      <c r="C21" s="58">
        <v>17</v>
      </c>
      <c r="D21" s="375" t="s">
        <v>1070</v>
      </c>
      <c r="E21" s="113" t="s">
        <v>845</v>
      </c>
      <c r="F21" s="113" t="s">
        <v>845</v>
      </c>
      <c r="G21" s="249" t="str">
        <f>IFERROR(TRUNC(AVERAGE($G22:$G23),2), "")</f>
        <v/>
      </c>
      <c r="H21" s="247"/>
      <c r="I21" s="248" t="str">
        <f>IFERROR(VLOOKUP($G21,LookUps!$B$4:$D$19,3),"")</f>
        <v/>
      </c>
      <c r="J21" s="141"/>
      <c r="K21" s="250"/>
      <c r="L21" s="250"/>
      <c r="M21" s="250"/>
      <c r="N21" s="250"/>
    </row>
    <row r="22" spans="2:14" s="30" customFormat="1" ht="20.399999999999999" x14ac:dyDescent="0.3">
      <c r="B22" s="127" t="s">
        <v>832</v>
      </c>
      <c r="C22" s="58">
        <v>18</v>
      </c>
      <c r="D22" s="376"/>
      <c r="E22" s="124" t="s">
        <v>1071</v>
      </c>
      <c r="F22" s="124" t="s">
        <v>1072</v>
      </c>
      <c r="G22" s="123"/>
      <c r="H22" s="138" t="e">
        <f>VLOOKUP($G22,LookUps!$B$4:$C$19,2)</f>
        <v>#N/A</v>
      </c>
      <c r="I22" s="248" t="str">
        <f>IFERROR(VLOOKUP($G22,LookUps!$B$4:$D$19,3),"")</f>
        <v/>
      </c>
      <c r="J22" s="141" t="str">
        <f t="shared" si="1"/>
        <v/>
      </c>
      <c r="K22" s="105"/>
      <c r="L22" s="120"/>
      <c r="M22" s="120"/>
      <c r="N22" s="230" t="str">
        <f>IF(OR($G22=1,$G22=2,$G22=3,$G22=4,$G22=5,$G22=6),'20k Cross Ref (SD)'!$BU21,"")</f>
        <v/>
      </c>
    </row>
    <row r="23" spans="2:14" s="30" customFormat="1" ht="20.399999999999999" x14ac:dyDescent="0.3">
      <c r="B23" s="127" t="s">
        <v>832</v>
      </c>
      <c r="C23" s="58">
        <v>19</v>
      </c>
      <c r="D23" s="377"/>
      <c r="E23" s="124" t="s">
        <v>1073</v>
      </c>
      <c r="F23" s="124" t="s">
        <v>1074</v>
      </c>
      <c r="G23" s="123"/>
      <c r="H23" s="138" t="e">
        <f>VLOOKUP($G23,LookUps!$B$4:$C$19,2)</f>
        <v>#N/A</v>
      </c>
      <c r="I23" s="248" t="str">
        <f>IFERROR(VLOOKUP($G23,LookUps!$B$4:$D$19,3),"")</f>
        <v/>
      </c>
      <c r="J23" s="141" t="str">
        <f t="shared" si="1"/>
        <v/>
      </c>
      <c r="K23" s="105"/>
      <c r="L23" s="120"/>
      <c r="M23" s="120"/>
      <c r="N23" s="230" t="str">
        <f>IF(OR($G23=1,$G23=2,$G23=3,$G23=4,$G23=5,$G23=6),'20k Cross Ref (SD)'!$BU22,"")</f>
        <v/>
      </c>
    </row>
    <row r="24" spans="2:14" s="30" customFormat="1" ht="22.5" customHeight="1" x14ac:dyDescent="0.3">
      <c r="B24" s="127" t="s">
        <v>832</v>
      </c>
      <c r="C24" s="58">
        <v>20</v>
      </c>
      <c r="D24" s="375" t="s">
        <v>763</v>
      </c>
      <c r="E24" s="113" t="s">
        <v>845</v>
      </c>
      <c r="F24" s="113" t="s">
        <v>845</v>
      </c>
      <c r="G24" s="249" t="str">
        <f>IFERROR(TRUNC(AVERAGE($G25:$G32),2), "")</f>
        <v/>
      </c>
      <c r="H24" s="247"/>
      <c r="I24" s="248" t="str">
        <f>IFERROR(VLOOKUP($G24,LookUps!$B$4:$D$19,3),"")</f>
        <v/>
      </c>
      <c r="J24" s="141"/>
      <c r="K24" s="250"/>
      <c r="L24" s="250"/>
      <c r="M24" s="250"/>
      <c r="N24" s="250"/>
    </row>
    <row r="25" spans="2:14" s="30" customFormat="1" ht="20.399999999999999" x14ac:dyDescent="0.3">
      <c r="B25" s="127" t="s">
        <v>832</v>
      </c>
      <c r="C25" s="58">
        <v>21</v>
      </c>
      <c r="D25" s="376"/>
      <c r="E25" s="124" t="s">
        <v>867</v>
      </c>
      <c r="F25" s="124" t="s">
        <v>868</v>
      </c>
      <c r="G25" s="123"/>
      <c r="H25" s="138" t="e">
        <f>VLOOKUP($G25,LookUps!$B$4:$C$19,2)</f>
        <v>#N/A</v>
      </c>
      <c r="I25" s="248" t="str">
        <f>IFERROR(VLOOKUP($G25,LookUps!$B$4:$D$19,3),"")</f>
        <v/>
      </c>
      <c r="J25" s="141" t="str">
        <f t="shared" si="1"/>
        <v/>
      </c>
      <c r="K25" s="105"/>
      <c r="L25" s="120"/>
      <c r="M25" s="120"/>
      <c r="N25" s="230" t="str">
        <f>IF(OR($G25=1,$G25=2,$G25=3,$G25=4,$G25=5,$G25=6),'20k Cross Ref (SD)'!$BU24,"")</f>
        <v/>
      </c>
    </row>
    <row r="26" spans="2:14" s="30" customFormat="1" ht="30.6" x14ac:dyDescent="0.3">
      <c r="B26" s="127" t="s">
        <v>832</v>
      </c>
      <c r="C26" s="58">
        <v>22</v>
      </c>
      <c r="D26" s="376"/>
      <c r="E26" s="124" t="s">
        <v>869</v>
      </c>
      <c r="F26" s="124" t="s">
        <v>870</v>
      </c>
      <c r="G26" s="123"/>
      <c r="H26" s="138" t="e">
        <f>VLOOKUP($G26,LookUps!$B$4:$C$19,2)</f>
        <v>#N/A</v>
      </c>
      <c r="I26" s="248" t="str">
        <f>IFERROR(VLOOKUP($G26,LookUps!$B$4:$D$19,3),"")</f>
        <v/>
      </c>
      <c r="J26" s="141" t="str">
        <f t="shared" si="1"/>
        <v/>
      </c>
      <c r="K26" s="105"/>
      <c r="L26" s="120"/>
      <c r="M26" s="120"/>
      <c r="N26" s="230" t="str">
        <f>IF(OR($G26=1,$G26=2,$G26=3,$G26=4,$G26=5,$G26=6),'20k Cross Ref (SD)'!$BU25,"")</f>
        <v/>
      </c>
    </row>
    <row r="27" spans="2:14" s="30" customFormat="1" ht="20.399999999999999" x14ac:dyDescent="0.3">
      <c r="B27" s="127" t="s">
        <v>832</v>
      </c>
      <c r="C27" s="58">
        <v>23</v>
      </c>
      <c r="D27" s="376"/>
      <c r="E27" s="124" t="s">
        <v>871</v>
      </c>
      <c r="F27" s="124" t="s">
        <v>872</v>
      </c>
      <c r="G27" s="123"/>
      <c r="H27" s="138" t="e">
        <f>VLOOKUP($G27,LookUps!$B$4:$C$19,2)</f>
        <v>#N/A</v>
      </c>
      <c r="I27" s="248" t="str">
        <f>IFERROR(VLOOKUP($G27,LookUps!$B$4:$D$19,3),"")</f>
        <v/>
      </c>
      <c r="J27" s="141" t="str">
        <f t="shared" si="1"/>
        <v/>
      </c>
      <c r="K27" s="105"/>
      <c r="L27" s="120"/>
      <c r="M27" s="120"/>
      <c r="N27" s="230" t="str">
        <f>IF(OR($G27=1,$G27=2,$G27=3,$G27=4,$G27=5,$G27=6),'20k Cross Ref (SD)'!$BU26,"")</f>
        <v/>
      </c>
    </row>
    <row r="28" spans="2:14" s="30" customFormat="1" ht="20.399999999999999" x14ac:dyDescent="0.3">
      <c r="B28" s="127" t="s">
        <v>832</v>
      </c>
      <c r="C28" s="58">
        <v>24</v>
      </c>
      <c r="D28" s="376"/>
      <c r="E28" s="124" t="s">
        <v>873</v>
      </c>
      <c r="F28" s="124" t="s">
        <v>874</v>
      </c>
      <c r="G28" s="123"/>
      <c r="H28" s="138" t="e">
        <f>VLOOKUP($G28,LookUps!$B$4:$C$19,2)</f>
        <v>#N/A</v>
      </c>
      <c r="I28" s="248" t="str">
        <f>IFERROR(VLOOKUP($G28,LookUps!$B$4:$D$19,3),"")</f>
        <v/>
      </c>
      <c r="J28" s="141" t="str">
        <f t="shared" si="1"/>
        <v/>
      </c>
      <c r="K28" s="105"/>
      <c r="L28" s="120"/>
      <c r="M28" s="120"/>
      <c r="N28" s="230" t="str">
        <f>IF(OR($G28=1,$G28=2,$G28=3,$G28=4,$G28=5,$G28=6),'20k Cross Ref (SD)'!$BU27,"")</f>
        <v/>
      </c>
    </row>
    <row r="29" spans="2:14" s="30" customFormat="1" ht="20.399999999999999" x14ac:dyDescent="0.3">
      <c r="B29" s="127" t="s">
        <v>832</v>
      </c>
      <c r="C29" s="58">
        <v>25</v>
      </c>
      <c r="D29" s="376"/>
      <c r="E29" s="124" t="s">
        <v>875</v>
      </c>
      <c r="F29" s="124" t="s">
        <v>876</v>
      </c>
      <c r="G29" s="123"/>
      <c r="H29" s="138" t="e">
        <f>VLOOKUP($G29,LookUps!$B$4:$C$19,2)</f>
        <v>#N/A</v>
      </c>
      <c r="I29" s="248" t="str">
        <f>IFERROR(VLOOKUP($G29,LookUps!$B$4:$D$19,3),"")</f>
        <v/>
      </c>
      <c r="J29" s="141" t="str">
        <f t="shared" si="1"/>
        <v/>
      </c>
      <c r="K29" s="105"/>
      <c r="L29" s="120"/>
      <c r="M29" s="120"/>
      <c r="N29" s="230" t="str">
        <f>IF(OR($G29=1,$G29=2,$G29=3,$G29=4,$G29=5,$G29=6),'20k Cross Ref (SD)'!$BU28,"")</f>
        <v/>
      </c>
    </row>
    <row r="30" spans="2:14" s="30" customFormat="1" ht="20.399999999999999" x14ac:dyDescent="0.3">
      <c r="B30" s="127" t="s">
        <v>832</v>
      </c>
      <c r="C30" s="58">
        <v>26</v>
      </c>
      <c r="D30" s="376"/>
      <c r="E30" s="124" t="s">
        <v>877</v>
      </c>
      <c r="F30" s="124" t="s">
        <v>878</v>
      </c>
      <c r="G30" s="123"/>
      <c r="H30" s="138" t="e">
        <f>VLOOKUP($G30,LookUps!$B$4:$C$19,2)</f>
        <v>#N/A</v>
      </c>
      <c r="I30" s="248" t="str">
        <f>IFERROR(VLOOKUP($G30,LookUps!$B$4:$D$19,3),"")</f>
        <v/>
      </c>
      <c r="J30" s="141" t="str">
        <f t="shared" si="1"/>
        <v/>
      </c>
      <c r="K30" s="105"/>
      <c r="L30" s="120"/>
      <c r="M30" s="120"/>
      <c r="N30" s="230" t="str">
        <f>IF(OR($G30=1,$G30=2,$G30=3,$G30=4,$G30=5,$G30=6),'20k Cross Ref (SD)'!$BU29,"")</f>
        <v/>
      </c>
    </row>
    <row r="31" spans="2:14" s="30" customFormat="1" ht="20.399999999999999" x14ac:dyDescent="0.3">
      <c r="B31" s="127" t="s">
        <v>832</v>
      </c>
      <c r="C31" s="58">
        <v>27</v>
      </c>
      <c r="D31" s="376"/>
      <c r="E31" s="124" t="s">
        <v>879</v>
      </c>
      <c r="F31" s="124" t="s">
        <v>880</v>
      </c>
      <c r="G31" s="123"/>
      <c r="H31" s="138" t="e">
        <f>VLOOKUP($G31,LookUps!$B$4:$C$19,2)</f>
        <v>#N/A</v>
      </c>
      <c r="I31" s="248" t="str">
        <f>IFERROR(VLOOKUP($G31,LookUps!$B$4:$D$19,3),"")</f>
        <v/>
      </c>
      <c r="J31" s="141" t="str">
        <f t="shared" si="1"/>
        <v/>
      </c>
      <c r="K31" s="105"/>
      <c r="L31" s="120"/>
      <c r="M31" s="120"/>
      <c r="N31" s="230" t="str">
        <f>IF(OR($G31=1,$G31=2,$G31=3,$G31=4,$G31=5,$G31=6),'20k Cross Ref (SD)'!$BU30,"")</f>
        <v/>
      </c>
    </row>
    <row r="32" spans="2:14" s="30" customFormat="1" ht="20.399999999999999" x14ac:dyDescent="0.3">
      <c r="B32" s="127" t="s">
        <v>832</v>
      </c>
      <c r="C32" s="58">
        <v>28</v>
      </c>
      <c r="D32" s="377"/>
      <c r="E32" s="124" t="s">
        <v>881</v>
      </c>
      <c r="F32" s="124" t="s">
        <v>882</v>
      </c>
      <c r="G32" s="123"/>
      <c r="H32" s="138" t="e">
        <f>VLOOKUP($G32,LookUps!$B$4:$C$19,2)</f>
        <v>#N/A</v>
      </c>
      <c r="I32" s="248" t="str">
        <f>IFERROR(VLOOKUP($G32,LookUps!$B$4:$D$19,3),"")</f>
        <v/>
      </c>
      <c r="J32" s="141" t="str">
        <f t="shared" si="1"/>
        <v/>
      </c>
      <c r="K32" s="105"/>
      <c r="L32" s="120"/>
      <c r="M32" s="120"/>
      <c r="N32" s="230" t="str">
        <f>IF(OR($G32=1,$G32=2,$G32=3,$G32=4,$G32=5,$G32=6),'20k Cross Ref (SD)'!$BU31,"")</f>
        <v/>
      </c>
    </row>
    <row r="33" spans="2:14" s="30" customFormat="1" ht="20.399999999999999" x14ac:dyDescent="0.3">
      <c r="B33" s="127" t="s">
        <v>832</v>
      </c>
      <c r="C33" s="58">
        <v>29</v>
      </c>
      <c r="D33" s="375" t="s">
        <v>686</v>
      </c>
      <c r="E33" s="113" t="s">
        <v>845</v>
      </c>
      <c r="F33" s="113" t="s">
        <v>845</v>
      </c>
      <c r="G33" s="249" t="str">
        <f>IFERROR(TRUNC(AVERAGE($G34:$G38),2), "")</f>
        <v/>
      </c>
      <c r="H33" s="247"/>
      <c r="I33" s="248" t="str">
        <f>IFERROR(VLOOKUP($G33,LookUps!$B$4:$D$19,3),"")</f>
        <v/>
      </c>
      <c r="J33" s="141"/>
      <c r="K33" s="250"/>
      <c r="L33" s="250"/>
      <c r="M33" s="250"/>
      <c r="N33" s="250"/>
    </row>
    <row r="34" spans="2:14" s="30" customFormat="1" ht="20.399999999999999" x14ac:dyDescent="0.3">
      <c r="B34" s="127" t="s">
        <v>832</v>
      </c>
      <c r="C34" s="58">
        <v>30</v>
      </c>
      <c r="D34" s="376"/>
      <c r="E34" s="124" t="s">
        <v>883</v>
      </c>
      <c r="F34" s="124" t="s">
        <v>884</v>
      </c>
      <c r="G34" s="123"/>
      <c r="H34" s="138" t="e">
        <f>VLOOKUP($G34,LookUps!$B$4:$C$19,2)</f>
        <v>#N/A</v>
      </c>
      <c r="I34" s="248" t="str">
        <f>IFERROR(VLOOKUP($G34,LookUps!$B$4:$D$19,3),"")</f>
        <v/>
      </c>
      <c r="J34" s="141" t="str">
        <f t="shared" si="1"/>
        <v/>
      </c>
      <c r="K34" s="105"/>
      <c r="L34" s="120"/>
      <c r="M34" s="120"/>
      <c r="N34" s="230" t="str">
        <f>IF(OR($G34=1,$G34=2,$G34=3,$G34=4,$G34=5,$G34=6),'20k Cross Ref (SD)'!$BU33,"")</f>
        <v/>
      </c>
    </row>
    <row r="35" spans="2:14" s="30" customFormat="1" ht="20.399999999999999" x14ac:dyDescent="0.3">
      <c r="B35" s="127" t="s">
        <v>832</v>
      </c>
      <c r="C35" s="58">
        <v>31</v>
      </c>
      <c r="D35" s="376"/>
      <c r="E35" s="124" t="s">
        <v>885</v>
      </c>
      <c r="F35" s="124" t="s">
        <v>886</v>
      </c>
      <c r="G35" s="123"/>
      <c r="H35" s="138" t="e">
        <f>VLOOKUP($G35,LookUps!$B$4:$C$19,2)</f>
        <v>#N/A</v>
      </c>
      <c r="I35" s="248" t="str">
        <f>IFERROR(VLOOKUP($G35,LookUps!$B$4:$D$19,3),"")</f>
        <v/>
      </c>
      <c r="J35" s="141" t="str">
        <f t="shared" si="1"/>
        <v/>
      </c>
      <c r="K35" s="105"/>
      <c r="L35" s="120"/>
      <c r="M35" s="120"/>
      <c r="N35" s="230" t="str">
        <f>IF(OR($G35=1,$G35=2,$G35=3,$G35=4,$G35=5,$G35=6),'20k Cross Ref (SD)'!$BU34,"")</f>
        <v/>
      </c>
    </row>
    <row r="36" spans="2:14" s="30" customFormat="1" ht="20.399999999999999" x14ac:dyDescent="0.3">
      <c r="B36" s="127" t="s">
        <v>832</v>
      </c>
      <c r="C36" s="58">
        <v>32</v>
      </c>
      <c r="D36" s="376"/>
      <c r="E36" s="124" t="s">
        <v>887</v>
      </c>
      <c r="F36" s="124" t="s">
        <v>888</v>
      </c>
      <c r="G36" s="123"/>
      <c r="H36" s="138" t="e">
        <f>VLOOKUP($G36,LookUps!$B$4:$C$19,2)</f>
        <v>#N/A</v>
      </c>
      <c r="I36" s="248" t="str">
        <f>IFERROR(VLOOKUP($G36,LookUps!$B$4:$D$19,3),"")</f>
        <v/>
      </c>
      <c r="J36" s="141" t="str">
        <f t="shared" si="1"/>
        <v/>
      </c>
      <c r="K36" s="105"/>
      <c r="L36" s="120"/>
      <c r="M36" s="120"/>
      <c r="N36" s="230" t="str">
        <f>IF(OR($G36=1,$G36=2,$G36=3,$G36=4,$G36=5,$G36=6),'20k Cross Ref (SD)'!$BU35,"")</f>
        <v/>
      </c>
    </row>
    <row r="37" spans="2:14" s="30" customFormat="1" ht="20.399999999999999" x14ac:dyDescent="0.3">
      <c r="B37" s="127" t="s">
        <v>832</v>
      </c>
      <c r="C37" s="58">
        <v>33</v>
      </c>
      <c r="D37" s="376"/>
      <c r="E37" s="124" t="s">
        <v>889</v>
      </c>
      <c r="F37" s="124" t="s">
        <v>890</v>
      </c>
      <c r="G37" s="123"/>
      <c r="H37" s="138" t="e">
        <f>VLOOKUP($G37,LookUps!$B$4:$C$19,2)</f>
        <v>#N/A</v>
      </c>
      <c r="I37" s="248" t="str">
        <f>IFERROR(VLOOKUP($G37,LookUps!$B$4:$D$19,3),"")</f>
        <v/>
      </c>
      <c r="J37" s="141" t="str">
        <f t="shared" si="1"/>
        <v/>
      </c>
      <c r="K37" s="105"/>
      <c r="L37" s="120"/>
      <c r="M37" s="120"/>
      <c r="N37" s="230" t="str">
        <f>IF(OR($G37=1,$G37=2,$G37=3,$G37=4,$G37=5,$G37=6),'20k Cross Ref (SD)'!$BU36,"")</f>
        <v/>
      </c>
    </row>
    <row r="38" spans="2:14" s="30" customFormat="1" ht="20.399999999999999" x14ac:dyDescent="0.3">
      <c r="B38" s="127" t="s">
        <v>832</v>
      </c>
      <c r="C38" s="58">
        <v>34</v>
      </c>
      <c r="D38" s="376"/>
      <c r="E38" s="124" t="s">
        <v>891</v>
      </c>
      <c r="F38" s="124" t="s">
        <v>892</v>
      </c>
      <c r="G38" s="123"/>
      <c r="H38" s="138" t="e">
        <f>VLOOKUP($G38,LookUps!$B$4:$C$19,2)</f>
        <v>#N/A</v>
      </c>
      <c r="I38" s="248" t="str">
        <f>IFERROR(VLOOKUP($G38,LookUps!$B$4:$D$19,3),"")</f>
        <v/>
      </c>
      <c r="J38" s="141" t="str">
        <f t="shared" si="1"/>
        <v/>
      </c>
      <c r="K38" s="105"/>
      <c r="L38" s="120"/>
      <c r="M38" s="120"/>
      <c r="N38" s="230" t="str">
        <f>IF(OR($G38=1,$G38=2,$G38=3,$G38=4,$G38=5,$G38=6),'20k Cross Ref (SD)'!$BU37,"")</f>
        <v/>
      </c>
    </row>
    <row r="39" spans="2:14" s="30" customFormat="1" ht="20.399999999999999" x14ac:dyDescent="0.3">
      <c r="B39" s="127" t="s">
        <v>832</v>
      </c>
      <c r="C39" s="58">
        <v>35</v>
      </c>
      <c r="D39" s="375" t="s">
        <v>687</v>
      </c>
      <c r="E39" s="113" t="s">
        <v>845</v>
      </c>
      <c r="F39" s="113" t="s">
        <v>845</v>
      </c>
      <c r="G39" s="249" t="str">
        <f>IFERROR(TRUNC(AVERAGE($G40:$G44),2), "")</f>
        <v/>
      </c>
      <c r="H39" s="247"/>
      <c r="I39" s="248" t="str">
        <f>IFERROR(VLOOKUP($G39,LookUps!$B$4:$D$19,3),"")</f>
        <v/>
      </c>
      <c r="J39" s="141"/>
      <c r="K39" s="250"/>
      <c r="L39" s="250"/>
      <c r="M39" s="250"/>
      <c r="N39" s="250"/>
    </row>
    <row r="40" spans="2:14" s="30" customFormat="1" ht="20.399999999999999" x14ac:dyDescent="0.3">
      <c r="B40" s="127" t="s">
        <v>832</v>
      </c>
      <c r="C40" s="58">
        <v>36</v>
      </c>
      <c r="D40" s="376"/>
      <c r="E40" s="124" t="s">
        <v>893</v>
      </c>
      <c r="F40" s="124" t="s">
        <v>894</v>
      </c>
      <c r="G40" s="123"/>
      <c r="H40" s="138" t="e">
        <f>VLOOKUP($G40,LookUps!$B$4:$C$19,2)</f>
        <v>#N/A</v>
      </c>
      <c r="I40" s="248" t="str">
        <f>IFERROR(VLOOKUP($G40,LookUps!$B$4:$D$19,3),"")</f>
        <v/>
      </c>
      <c r="J40" s="141" t="str">
        <f t="shared" si="1"/>
        <v/>
      </c>
      <c r="K40" s="105"/>
      <c r="L40" s="120"/>
      <c r="M40" s="120"/>
      <c r="N40" s="230" t="str">
        <f>IF(OR($G40=1,$G40=2,$G40=3,$G40=4,$G40=5,$G40=6),'20k Cross Ref (SD)'!$BU39,"")</f>
        <v/>
      </c>
    </row>
    <row r="41" spans="2:14" s="30" customFormat="1" ht="20.399999999999999" x14ac:dyDescent="0.3">
      <c r="B41" s="127" t="s">
        <v>832</v>
      </c>
      <c r="C41" s="58">
        <v>37</v>
      </c>
      <c r="D41" s="376"/>
      <c r="E41" s="124" t="s">
        <v>895</v>
      </c>
      <c r="F41" s="124" t="s">
        <v>896</v>
      </c>
      <c r="G41" s="123"/>
      <c r="H41" s="138" t="e">
        <f>VLOOKUP($G41,LookUps!$B$4:$C$19,2)</f>
        <v>#N/A</v>
      </c>
      <c r="I41" s="248" t="str">
        <f>IFERROR(VLOOKUP($G41,LookUps!$B$4:$D$19,3),"")</f>
        <v/>
      </c>
      <c r="J41" s="141" t="str">
        <f t="shared" si="1"/>
        <v/>
      </c>
      <c r="K41" s="105"/>
      <c r="L41" s="120"/>
      <c r="M41" s="120"/>
      <c r="N41" s="230" t="str">
        <f>IF(OR($G41=1,$G41=2,$G41=3,$G41=4,$G41=5,$G41=6),'20k Cross Ref (SD)'!$BU40,"")</f>
        <v/>
      </c>
    </row>
    <row r="42" spans="2:14" s="30" customFormat="1" ht="20.399999999999999" x14ac:dyDescent="0.3">
      <c r="B42" s="127" t="s">
        <v>832</v>
      </c>
      <c r="C42" s="58">
        <v>38</v>
      </c>
      <c r="D42" s="376"/>
      <c r="E42" s="124" t="s">
        <v>897</v>
      </c>
      <c r="F42" s="124" t="s">
        <v>898</v>
      </c>
      <c r="G42" s="123"/>
      <c r="H42" s="138" t="e">
        <f>VLOOKUP($G42,LookUps!$B$4:$C$19,2)</f>
        <v>#N/A</v>
      </c>
      <c r="I42" s="248" t="str">
        <f>IFERROR(VLOOKUP($G42,LookUps!$B$4:$D$19,3),"")</f>
        <v/>
      </c>
      <c r="J42" s="141" t="str">
        <f t="shared" si="1"/>
        <v/>
      </c>
      <c r="K42" s="105"/>
      <c r="L42" s="120"/>
      <c r="M42" s="120"/>
      <c r="N42" s="230" t="str">
        <f>IF(OR($G42=1,$G42=2,$G42=3,$G42=4,$G42=5,$G42=6),'20k Cross Ref (SD)'!$BU41,"")</f>
        <v/>
      </c>
    </row>
    <row r="43" spans="2:14" s="30" customFormat="1" ht="20.399999999999999" x14ac:dyDescent="0.3">
      <c r="B43" s="127" t="s">
        <v>832</v>
      </c>
      <c r="C43" s="58">
        <v>39</v>
      </c>
      <c r="D43" s="376"/>
      <c r="E43" s="124" t="s">
        <v>899</v>
      </c>
      <c r="F43" s="124" t="s">
        <v>900</v>
      </c>
      <c r="G43" s="123"/>
      <c r="H43" s="138" t="e">
        <f>VLOOKUP($G43,LookUps!$B$4:$C$19,2)</f>
        <v>#N/A</v>
      </c>
      <c r="I43" s="248" t="str">
        <f>IFERROR(VLOOKUP($G43,LookUps!$B$4:$D$19,3),"")</f>
        <v/>
      </c>
      <c r="J43" s="141" t="str">
        <f t="shared" si="1"/>
        <v/>
      </c>
      <c r="K43" s="105"/>
      <c r="L43" s="120"/>
      <c r="M43" s="120"/>
      <c r="N43" s="230" t="str">
        <f>IF(OR($G43=1,$G43=2,$G43=3,$G43=4,$G43=5,$G43=6),'20k Cross Ref (SD)'!$BU42,"")</f>
        <v/>
      </c>
    </row>
    <row r="44" spans="2:14" s="30" customFormat="1" ht="20.399999999999999" x14ac:dyDescent="0.3">
      <c r="B44" s="127" t="s">
        <v>832</v>
      </c>
      <c r="C44" s="58">
        <v>40</v>
      </c>
      <c r="D44" s="377"/>
      <c r="E44" s="124" t="s">
        <v>901</v>
      </c>
      <c r="F44" s="124" t="s">
        <v>902</v>
      </c>
      <c r="G44" s="123"/>
      <c r="H44" s="138" t="e">
        <f>VLOOKUP($G44,LookUps!$B$4:$C$19,2)</f>
        <v>#N/A</v>
      </c>
      <c r="I44" s="248" t="str">
        <f>IFERROR(VLOOKUP($G44,LookUps!$B$4:$D$19,3),"")</f>
        <v/>
      </c>
      <c r="J44" s="141" t="str">
        <f t="shared" si="1"/>
        <v/>
      </c>
      <c r="K44" s="105"/>
      <c r="L44" s="120"/>
      <c r="M44" s="120"/>
      <c r="N44" s="230" t="str">
        <f>IF(OR($G44=1,$G44=2,$G44=3,$G44=4,$G44=5,$G44=6),'20k Cross Ref (SD)'!$BU43,"")</f>
        <v/>
      </c>
    </row>
    <row r="45" spans="2:14" s="30" customFormat="1" ht="20.399999999999999" x14ac:dyDescent="0.3">
      <c r="B45" s="127" t="s">
        <v>832</v>
      </c>
      <c r="C45" s="58">
        <v>41</v>
      </c>
      <c r="D45" s="375" t="s">
        <v>764</v>
      </c>
      <c r="E45" s="113" t="s">
        <v>845</v>
      </c>
      <c r="F45" s="113" t="s">
        <v>845</v>
      </c>
      <c r="G45" s="249" t="str">
        <f>IFERROR(TRUNC(AVERAGE($G46:$G47),2), "")</f>
        <v/>
      </c>
      <c r="H45" s="247"/>
      <c r="I45" s="248" t="str">
        <f>IFERROR(VLOOKUP($G45,LookUps!$B$4:$D$19,3),"")</f>
        <v/>
      </c>
      <c r="J45" s="141"/>
      <c r="K45" s="250"/>
      <c r="L45" s="250"/>
      <c r="M45" s="250"/>
      <c r="N45" s="250"/>
    </row>
    <row r="46" spans="2:14" s="30" customFormat="1" ht="30.6" x14ac:dyDescent="0.3">
      <c r="B46" s="127" t="s">
        <v>832</v>
      </c>
      <c r="C46" s="58">
        <v>42</v>
      </c>
      <c r="D46" s="376"/>
      <c r="E46" s="124" t="s">
        <v>903</v>
      </c>
      <c r="F46" s="124" t="s">
        <v>904</v>
      </c>
      <c r="G46" s="123"/>
      <c r="H46" s="138" t="e">
        <f>VLOOKUP($G46,LookUps!$B$4:$C$19,2)</f>
        <v>#N/A</v>
      </c>
      <c r="I46" s="248" t="str">
        <f>IFERROR(VLOOKUP($G46,LookUps!$B$4:$D$19,3),"")</f>
        <v/>
      </c>
      <c r="J46" s="141" t="str">
        <f t="shared" si="1"/>
        <v/>
      </c>
      <c r="K46" s="105"/>
      <c r="L46" s="120"/>
      <c r="M46" s="120"/>
      <c r="N46" s="230" t="str">
        <f>IF(OR($G46=1,$G46=2,$G46=3,$G46=4,$G46=5,$G46=6),'20k Cross Ref (SD)'!$BU45,"")</f>
        <v/>
      </c>
    </row>
    <row r="47" spans="2:14" s="30" customFormat="1" ht="20.399999999999999" x14ac:dyDescent="0.3">
      <c r="B47" s="127" t="s">
        <v>832</v>
      </c>
      <c r="C47" s="58">
        <v>43</v>
      </c>
      <c r="D47" s="377"/>
      <c r="E47" s="124" t="s">
        <v>905</v>
      </c>
      <c r="F47" s="124" t="s">
        <v>906</v>
      </c>
      <c r="G47" s="123"/>
      <c r="H47" s="138" t="e">
        <f>VLOOKUP($G47,LookUps!$B$4:$C$19,2)</f>
        <v>#N/A</v>
      </c>
      <c r="I47" s="248" t="str">
        <f>IFERROR(VLOOKUP($G47,LookUps!$B$4:$D$19,3),"")</f>
        <v/>
      </c>
      <c r="J47" s="141" t="str">
        <f t="shared" si="1"/>
        <v/>
      </c>
      <c r="K47" s="105"/>
      <c r="L47" s="120"/>
      <c r="M47" s="120"/>
      <c r="N47" s="230" t="str">
        <f>IF(OR($G47=1,$G47=2,$G47=3,$G47=4,$G47=5,$G47=6),'20k Cross Ref (SD)'!$BU46,"")</f>
        <v/>
      </c>
    </row>
    <row r="48" spans="2:14" s="30" customFormat="1" ht="20.399999999999999" x14ac:dyDescent="0.3">
      <c r="B48" s="127" t="s">
        <v>832</v>
      </c>
      <c r="C48" s="58">
        <v>44</v>
      </c>
      <c r="D48" s="375" t="s">
        <v>688</v>
      </c>
      <c r="E48" s="113" t="s">
        <v>845</v>
      </c>
      <c r="F48" s="113" t="s">
        <v>845</v>
      </c>
      <c r="G48" s="249" t="str">
        <f>IFERROR(TRUNC(AVERAGE($G49:$G51),2), "")</f>
        <v/>
      </c>
      <c r="H48" s="247"/>
      <c r="I48" s="248" t="str">
        <f>IFERROR(VLOOKUP($G48,LookUps!$B$4:$D$19,3),"")</f>
        <v/>
      </c>
      <c r="J48" s="141"/>
      <c r="K48" s="250"/>
      <c r="L48" s="250"/>
      <c r="M48" s="250"/>
      <c r="N48" s="250"/>
    </row>
    <row r="49" spans="2:14" s="30" customFormat="1" ht="20.399999999999999" x14ac:dyDescent="0.3">
      <c r="B49" s="127" t="s">
        <v>832</v>
      </c>
      <c r="C49" s="58">
        <v>45</v>
      </c>
      <c r="D49" s="376"/>
      <c r="E49" s="124" t="s">
        <v>907</v>
      </c>
      <c r="F49" s="124" t="s">
        <v>908</v>
      </c>
      <c r="G49" s="123"/>
      <c r="H49" s="138" t="e">
        <f>VLOOKUP($G49,LookUps!$B$4:$C$19,2)</f>
        <v>#N/A</v>
      </c>
      <c r="I49" s="248" t="str">
        <f>IFERROR(VLOOKUP($G49,LookUps!$B$4:$D$19,3),"")</f>
        <v/>
      </c>
      <c r="J49" s="141" t="str">
        <f t="shared" si="1"/>
        <v/>
      </c>
      <c r="K49" s="105"/>
      <c r="L49" s="120"/>
      <c r="M49" s="120"/>
      <c r="N49" s="230" t="str">
        <f>IF(OR($G49=1,$G49=2,$G49=3,$G49=4,$G49=5,$G49=6),'20k Cross Ref (SD)'!$BU48,"")</f>
        <v/>
      </c>
    </row>
    <row r="50" spans="2:14" s="30" customFormat="1" ht="20.399999999999999" x14ac:dyDescent="0.3">
      <c r="B50" s="127" t="s">
        <v>832</v>
      </c>
      <c r="C50" s="58">
        <v>46</v>
      </c>
      <c r="D50" s="376"/>
      <c r="E50" s="124" t="s">
        <v>909</v>
      </c>
      <c r="F50" s="124" t="s">
        <v>910</v>
      </c>
      <c r="G50" s="123"/>
      <c r="H50" s="138" t="e">
        <f>VLOOKUP($G50,LookUps!$B$4:$C$19,2)</f>
        <v>#N/A</v>
      </c>
      <c r="I50" s="248" t="str">
        <f>IFERROR(VLOOKUP($G50,LookUps!$B$4:$D$19,3),"")</f>
        <v/>
      </c>
      <c r="J50" s="141" t="str">
        <f t="shared" si="1"/>
        <v/>
      </c>
      <c r="K50" s="105"/>
      <c r="L50" s="120"/>
      <c r="M50" s="120"/>
      <c r="N50" s="230" t="str">
        <f>IF(OR($G50=1,$G50=2,$G50=3,$G50=4,$G50=5,$G50=6),'20k Cross Ref (SD)'!$BU49,"")</f>
        <v/>
      </c>
    </row>
    <row r="51" spans="2:14" s="30" customFormat="1" ht="20.399999999999999" x14ac:dyDescent="0.3">
      <c r="B51" s="127" t="s">
        <v>832</v>
      </c>
      <c r="C51" s="58">
        <v>47</v>
      </c>
      <c r="D51" s="377"/>
      <c r="E51" s="124" t="s">
        <v>911</v>
      </c>
      <c r="F51" s="124" t="s">
        <v>912</v>
      </c>
      <c r="G51" s="123"/>
      <c r="H51" s="138" t="e">
        <f>VLOOKUP($G51,LookUps!$B$4:$C$19,2)</f>
        <v>#N/A</v>
      </c>
      <c r="I51" s="248" t="str">
        <f>IFERROR(VLOOKUP($G51,LookUps!$B$4:$D$19,3),"")</f>
        <v/>
      </c>
      <c r="J51" s="141" t="str">
        <f t="shared" si="1"/>
        <v/>
      </c>
      <c r="K51" s="105"/>
      <c r="L51" s="120"/>
      <c r="M51" s="120"/>
      <c r="N51" s="230" t="str">
        <f>IF(OR($G51=1,$G51=2,$G51=3,$G51=4,$G51=5,$G51=6),'20k Cross Ref (SD)'!$BU50,"")</f>
        <v/>
      </c>
    </row>
    <row r="52" spans="2:14" s="30" customFormat="1" ht="20.399999999999999" x14ac:dyDescent="0.3">
      <c r="B52" s="127" t="s">
        <v>840</v>
      </c>
      <c r="C52" s="58">
        <v>48</v>
      </c>
      <c r="D52" s="375" t="s">
        <v>689</v>
      </c>
      <c r="E52" s="113" t="s">
        <v>845</v>
      </c>
      <c r="F52" s="113" t="s">
        <v>845</v>
      </c>
      <c r="G52" s="249" t="str">
        <f>IFERROR(TRUNC(AVERAGE($G53:$G59),2), "")</f>
        <v/>
      </c>
      <c r="H52" s="247"/>
      <c r="I52" s="248" t="str">
        <f>IFERROR(VLOOKUP($G52,LookUps!$B$4:$D$19,3),"")</f>
        <v/>
      </c>
      <c r="J52" s="141"/>
      <c r="K52" s="250"/>
      <c r="L52" s="250"/>
      <c r="M52" s="250"/>
      <c r="N52" s="250"/>
    </row>
    <row r="53" spans="2:14" s="30" customFormat="1" ht="20.399999999999999" x14ac:dyDescent="0.3">
      <c r="B53" s="127" t="s">
        <v>840</v>
      </c>
      <c r="C53" s="58">
        <v>49</v>
      </c>
      <c r="D53" s="376"/>
      <c r="E53" s="124" t="s">
        <v>913</v>
      </c>
      <c r="F53" s="124" t="s">
        <v>914</v>
      </c>
      <c r="G53" s="123"/>
      <c r="H53" s="138" t="e">
        <f>VLOOKUP($G53,LookUps!$B$4:$C$19,2)</f>
        <v>#N/A</v>
      </c>
      <c r="I53" s="248" t="str">
        <f>IFERROR(VLOOKUP($G53,LookUps!$B$4:$D$19,3),"")</f>
        <v/>
      </c>
      <c r="J53" s="141" t="str">
        <f t="shared" si="1"/>
        <v/>
      </c>
      <c r="K53" s="105"/>
      <c r="L53" s="120"/>
      <c r="M53" s="120"/>
      <c r="N53" s="230" t="str">
        <f>IF(OR($G53=1,$G53=2,$G53=3,$G53=4,$G53=5,$G53=6),'20k Cross Ref (SD)'!$BU52,"")</f>
        <v/>
      </c>
    </row>
    <row r="54" spans="2:14" s="30" customFormat="1" ht="51" x14ac:dyDescent="0.3">
      <c r="B54" s="127" t="s">
        <v>840</v>
      </c>
      <c r="C54" s="58">
        <v>50</v>
      </c>
      <c r="D54" s="376"/>
      <c r="E54" s="124" t="s">
        <v>1065</v>
      </c>
      <c r="F54" s="124" t="s">
        <v>1064</v>
      </c>
      <c r="G54" s="123"/>
      <c r="H54" s="138" t="e">
        <f>VLOOKUP($G54,LookUps!$B$4:$C$19,2)</f>
        <v>#N/A</v>
      </c>
      <c r="I54" s="248" t="str">
        <f>IFERROR(VLOOKUP($G54,LookUps!$B$4:$D$19,3),"")</f>
        <v/>
      </c>
      <c r="J54" s="141" t="str">
        <f t="shared" si="1"/>
        <v/>
      </c>
      <c r="K54" s="105"/>
      <c r="L54" s="120"/>
      <c r="M54" s="120"/>
      <c r="N54" s="230" t="str">
        <f>IF(OR($G54=1,$G54=2,$G54=3,$G54=4,$G54=5,$G54=6),'20k Cross Ref (SD)'!$BU53,"")</f>
        <v/>
      </c>
    </row>
    <row r="55" spans="2:14" s="30" customFormat="1" ht="30.6" x14ac:dyDescent="0.3">
      <c r="B55" s="127" t="s">
        <v>840</v>
      </c>
      <c r="C55" s="58">
        <v>51</v>
      </c>
      <c r="D55" s="376"/>
      <c r="E55" s="124" t="s">
        <v>915</v>
      </c>
      <c r="F55" s="124" t="s">
        <v>916</v>
      </c>
      <c r="G55" s="123"/>
      <c r="H55" s="138" t="e">
        <f>VLOOKUP($G55,LookUps!$B$4:$C$19,2)</f>
        <v>#N/A</v>
      </c>
      <c r="I55" s="248" t="str">
        <f>IFERROR(VLOOKUP($G55,LookUps!$B$4:$D$19,3),"")</f>
        <v/>
      </c>
      <c r="J55" s="141" t="str">
        <f t="shared" si="1"/>
        <v/>
      </c>
      <c r="K55" s="105"/>
      <c r="L55" s="120"/>
      <c r="M55" s="120"/>
      <c r="N55" s="230" t="str">
        <f>IF(OR($G55=1,$G55=2,$G55=3,$G55=4,$G55=5,$G55=6),'20k Cross Ref (SD)'!$BU54,"")</f>
        <v/>
      </c>
    </row>
    <row r="56" spans="2:14" s="30" customFormat="1" ht="20.399999999999999" x14ac:dyDescent="0.3">
      <c r="B56" s="127" t="s">
        <v>840</v>
      </c>
      <c r="C56" s="58">
        <v>52</v>
      </c>
      <c r="D56" s="376"/>
      <c r="E56" s="124" t="s">
        <v>917</v>
      </c>
      <c r="F56" s="124" t="s">
        <v>918</v>
      </c>
      <c r="G56" s="123"/>
      <c r="H56" s="138" t="e">
        <f>VLOOKUP($G56,LookUps!$B$4:$C$19,2)</f>
        <v>#N/A</v>
      </c>
      <c r="I56" s="248" t="str">
        <f>IFERROR(VLOOKUP($G56,LookUps!$B$4:$D$19,3),"")</f>
        <v/>
      </c>
      <c r="J56" s="141" t="str">
        <f t="shared" si="1"/>
        <v/>
      </c>
      <c r="K56" s="105"/>
      <c r="L56" s="120"/>
      <c r="M56" s="120"/>
      <c r="N56" s="230" t="str">
        <f>IF(OR($G56=1,$G56=2,$G56=3,$G56=4,$G56=5,$G56=6),'20k Cross Ref (SD)'!$BU55,"")</f>
        <v/>
      </c>
    </row>
    <row r="57" spans="2:14" s="30" customFormat="1" ht="20.399999999999999" x14ac:dyDescent="0.3">
      <c r="B57" s="127" t="s">
        <v>840</v>
      </c>
      <c r="C57" s="58">
        <v>53</v>
      </c>
      <c r="D57" s="376"/>
      <c r="E57" s="124" t="s">
        <v>919</v>
      </c>
      <c r="F57" s="124" t="s">
        <v>920</v>
      </c>
      <c r="G57" s="123"/>
      <c r="H57" s="138" t="e">
        <f>VLOOKUP($G57,LookUps!$B$4:$C$19,2)</f>
        <v>#N/A</v>
      </c>
      <c r="I57" s="248" t="str">
        <f>IFERROR(VLOOKUP($G57,LookUps!$B$4:$D$19,3),"")</f>
        <v/>
      </c>
      <c r="J57" s="141" t="str">
        <f t="shared" si="1"/>
        <v/>
      </c>
      <c r="K57" s="105"/>
      <c r="L57" s="120"/>
      <c r="M57" s="120"/>
      <c r="N57" s="230" t="str">
        <f>IF(OR($G57=1,$G57=2,$G57=3,$G57=4,$G57=5,$G57=6),'20k Cross Ref (SD)'!$BU56,"")</f>
        <v/>
      </c>
    </row>
    <row r="58" spans="2:14" s="30" customFormat="1" ht="30.6" x14ac:dyDescent="0.3">
      <c r="B58" s="127" t="s">
        <v>840</v>
      </c>
      <c r="C58" s="58">
        <v>54</v>
      </c>
      <c r="D58" s="376"/>
      <c r="E58" s="124" t="s">
        <v>921</v>
      </c>
      <c r="F58" s="124" t="s">
        <v>922</v>
      </c>
      <c r="G58" s="123"/>
      <c r="H58" s="138" t="e">
        <f>VLOOKUP($G58,LookUps!$B$4:$C$19,2)</f>
        <v>#N/A</v>
      </c>
      <c r="I58" s="248" t="str">
        <f>IFERROR(VLOOKUP($G58,LookUps!$B$4:$D$19,3),"")</f>
        <v/>
      </c>
      <c r="J58" s="141" t="str">
        <f t="shared" si="1"/>
        <v/>
      </c>
      <c r="K58" s="105"/>
      <c r="L58" s="120"/>
      <c r="M58" s="120"/>
      <c r="N58" s="230" t="str">
        <f>IF(OR($G58=1,$G58=2,$G58=3,$G58=4,$G58=5,$G58=6),'20k Cross Ref (SD)'!$BU57,"")</f>
        <v/>
      </c>
    </row>
    <row r="59" spans="2:14" s="30" customFormat="1" ht="20.399999999999999" x14ac:dyDescent="0.3">
      <c r="B59" s="127" t="s">
        <v>840</v>
      </c>
      <c r="C59" s="58">
        <v>55</v>
      </c>
      <c r="D59" s="377"/>
      <c r="E59" s="124" t="s">
        <v>924</v>
      </c>
      <c r="F59" s="124" t="s">
        <v>923</v>
      </c>
      <c r="G59" s="123"/>
      <c r="H59" s="138" t="e">
        <f>VLOOKUP($G59,LookUps!$B$4:$C$19,2)</f>
        <v>#N/A</v>
      </c>
      <c r="I59" s="248" t="str">
        <f>IFERROR(VLOOKUP($G59,LookUps!$B$4:$D$19,3),"")</f>
        <v/>
      </c>
      <c r="J59" s="141" t="str">
        <f t="shared" si="1"/>
        <v/>
      </c>
      <c r="K59" s="105"/>
      <c r="L59" s="120"/>
      <c r="M59" s="120"/>
      <c r="N59" s="230" t="str">
        <f>IF(OR($G59=1,$G59=2,$G59=3,$G59=4,$G59=5,$G59=6),'20k Cross Ref (SD)'!$BU58,"")</f>
        <v/>
      </c>
    </row>
    <row r="60" spans="2:14" s="30" customFormat="1" ht="20.399999999999999" x14ac:dyDescent="0.3">
      <c r="B60" s="127" t="s">
        <v>840</v>
      </c>
      <c r="C60" s="58">
        <v>56</v>
      </c>
      <c r="D60" s="375" t="s">
        <v>690</v>
      </c>
      <c r="E60" s="113" t="s">
        <v>845</v>
      </c>
      <c r="F60" s="113" t="s">
        <v>845</v>
      </c>
      <c r="G60" s="249" t="str">
        <f>IFERROR(TRUNC(AVERAGE($G61:$G63),2), "")</f>
        <v/>
      </c>
      <c r="H60" s="247"/>
      <c r="I60" s="248" t="str">
        <f>IFERROR(VLOOKUP($G60,LookUps!$B$4:$D$19,3),"")</f>
        <v/>
      </c>
      <c r="J60" s="141"/>
      <c r="K60" s="250"/>
      <c r="L60" s="250"/>
      <c r="M60" s="250"/>
      <c r="N60" s="250"/>
    </row>
    <row r="61" spans="2:14" s="30" customFormat="1" ht="20.399999999999999" x14ac:dyDescent="0.3">
      <c r="B61" s="127" t="s">
        <v>840</v>
      </c>
      <c r="C61" s="58">
        <v>57</v>
      </c>
      <c r="D61" s="376"/>
      <c r="E61" s="124" t="s">
        <v>925</v>
      </c>
      <c r="F61" s="124" t="s">
        <v>926</v>
      </c>
      <c r="G61" s="123"/>
      <c r="H61" s="138" t="e">
        <f>VLOOKUP($G61,LookUps!$B$4:$C$19,2)</f>
        <v>#N/A</v>
      </c>
      <c r="I61" s="248" t="str">
        <f>IFERROR(VLOOKUP($G61,LookUps!$B$4:$D$19,3),"")</f>
        <v/>
      </c>
      <c r="J61" s="141" t="str">
        <f t="shared" si="1"/>
        <v/>
      </c>
      <c r="K61" s="105"/>
      <c r="L61" s="120"/>
      <c r="M61" s="120"/>
      <c r="N61" s="230" t="str">
        <f>IF(OR($G61=1,$G61=2,$G61=3,$G61=4,$G61=5,$G61=6),'20k Cross Ref (SD)'!$BU60,"")</f>
        <v/>
      </c>
    </row>
    <row r="62" spans="2:14" s="30" customFormat="1" ht="20.399999999999999" x14ac:dyDescent="0.3">
      <c r="B62" s="127" t="s">
        <v>840</v>
      </c>
      <c r="C62" s="58">
        <v>58</v>
      </c>
      <c r="D62" s="376"/>
      <c r="E62" s="124" t="s">
        <v>927</v>
      </c>
      <c r="F62" s="124" t="s">
        <v>928</v>
      </c>
      <c r="G62" s="123"/>
      <c r="H62" s="138" t="e">
        <f>VLOOKUP($G62,LookUps!$B$4:$C$19,2)</f>
        <v>#N/A</v>
      </c>
      <c r="I62" s="248" t="str">
        <f>IFERROR(VLOOKUP($G62,LookUps!$B$4:$D$19,3),"")</f>
        <v/>
      </c>
      <c r="J62" s="141" t="str">
        <f t="shared" si="1"/>
        <v/>
      </c>
      <c r="K62" s="105"/>
      <c r="L62" s="120"/>
      <c r="M62" s="120"/>
      <c r="N62" s="230" t="str">
        <f>IF(OR($G62=1,$G62=2,$G62=3,$G62=4,$G62=5,$G62=6),'20k Cross Ref (SD)'!$BU61,"")</f>
        <v/>
      </c>
    </row>
    <row r="63" spans="2:14" s="30" customFormat="1" ht="20.399999999999999" x14ac:dyDescent="0.3">
      <c r="B63" s="127" t="s">
        <v>840</v>
      </c>
      <c r="C63" s="58">
        <v>59</v>
      </c>
      <c r="D63" s="377"/>
      <c r="E63" s="124" t="s">
        <v>929</v>
      </c>
      <c r="F63" s="124" t="s">
        <v>930</v>
      </c>
      <c r="G63" s="123"/>
      <c r="H63" s="138" t="e">
        <f>VLOOKUP($G63,LookUps!$B$4:$C$19,2)</f>
        <v>#N/A</v>
      </c>
      <c r="I63" s="248" t="str">
        <f>IFERROR(VLOOKUP($G63,LookUps!$B$4:$D$19,3),"")</f>
        <v/>
      </c>
      <c r="J63" s="141" t="str">
        <f t="shared" si="1"/>
        <v/>
      </c>
      <c r="K63" s="105"/>
      <c r="L63" s="120"/>
      <c r="M63" s="120"/>
      <c r="N63" s="230" t="str">
        <f>IF(OR($G63=1,$G63=2,$G63=3,$G63=4,$G63=5,$G63=6),'20k Cross Ref (SD)'!$BU62,"")</f>
        <v/>
      </c>
    </row>
    <row r="64" spans="2:14" s="30" customFormat="1" ht="20.399999999999999" x14ac:dyDescent="0.3">
      <c r="B64" s="127" t="s">
        <v>840</v>
      </c>
      <c r="C64" s="58">
        <v>60</v>
      </c>
      <c r="D64" s="375" t="s">
        <v>691</v>
      </c>
      <c r="E64" s="113" t="s">
        <v>845</v>
      </c>
      <c r="F64" s="113" t="s">
        <v>845</v>
      </c>
      <c r="G64" s="249" t="str">
        <f>IFERROR(TRUNC(AVERAGE($G65:$G77),2), "")</f>
        <v/>
      </c>
      <c r="H64" s="247"/>
      <c r="I64" s="248" t="str">
        <f>IFERROR(VLOOKUP($G64,LookUps!$B$4:$D$19,3),"")</f>
        <v/>
      </c>
      <c r="J64" s="141"/>
      <c r="K64" s="250"/>
      <c r="L64" s="250"/>
      <c r="M64" s="250"/>
      <c r="N64" s="250"/>
    </row>
    <row r="65" spans="2:14" s="30" customFormat="1" ht="20.399999999999999" x14ac:dyDescent="0.3">
      <c r="B65" s="127" t="s">
        <v>840</v>
      </c>
      <c r="C65" s="58">
        <v>61</v>
      </c>
      <c r="D65" s="376"/>
      <c r="E65" s="124" t="s">
        <v>931</v>
      </c>
      <c r="F65" s="124" t="s">
        <v>932</v>
      </c>
      <c r="G65" s="123"/>
      <c r="H65" s="138" t="e">
        <f>VLOOKUP($G65,LookUps!$B$4:$C$19,2)</f>
        <v>#N/A</v>
      </c>
      <c r="I65" s="248" t="str">
        <f>IFERROR(VLOOKUP($G65,LookUps!$B$4:$D$19,3),"")</f>
        <v/>
      </c>
      <c r="J65" s="141" t="str">
        <f t="shared" si="1"/>
        <v/>
      </c>
      <c r="K65" s="105"/>
      <c r="L65" s="120"/>
      <c r="M65" s="120"/>
      <c r="N65" s="230" t="str">
        <f>IF(OR($G65=1,$G65=2,$G65=3,$G65=4,$G65=5,$G65=6),'20k Cross Ref (SD)'!$BU64,"")</f>
        <v/>
      </c>
    </row>
    <row r="66" spans="2:14" s="30" customFormat="1" ht="20.399999999999999" x14ac:dyDescent="0.3">
      <c r="B66" s="127" t="s">
        <v>840</v>
      </c>
      <c r="C66" s="58">
        <v>62</v>
      </c>
      <c r="D66" s="376"/>
      <c r="E66" s="124" t="s">
        <v>933</v>
      </c>
      <c r="F66" s="124" t="s">
        <v>934</v>
      </c>
      <c r="G66" s="123"/>
      <c r="H66" s="138" t="e">
        <f>VLOOKUP($G66,LookUps!$B$4:$C$19,2)</f>
        <v>#N/A</v>
      </c>
      <c r="I66" s="248" t="str">
        <f>IFERROR(VLOOKUP($G66,LookUps!$B$4:$D$19,3),"")</f>
        <v/>
      </c>
      <c r="J66" s="141" t="str">
        <f t="shared" si="1"/>
        <v/>
      </c>
      <c r="K66" s="105"/>
      <c r="L66" s="120"/>
      <c r="M66" s="120"/>
      <c r="N66" s="230" t="str">
        <f>IF(OR($G66=1,$G66=2,$G66=3,$G66=4,$G66=5,$G66=6),'20k Cross Ref (SD)'!$BU65,"")</f>
        <v/>
      </c>
    </row>
    <row r="67" spans="2:14" s="30" customFormat="1" ht="40.799999999999997" x14ac:dyDescent="0.3">
      <c r="B67" s="127" t="s">
        <v>840</v>
      </c>
      <c r="C67" s="58">
        <v>63</v>
      </c>
      <c r="D67" s="376"/>
      <c r="E67" s="124" t="s">
        <v>935</v>
      </c>
      <c r="F67" s="124" t="s">
        <v>1066</v>
      </c>
      <c r="G67" s="123"/>
      <c r="H67" s="138" t="e">
        <f>VLOOKUP($G67,LookUps!$B$4:$C$19,2)</f>
        <v>#N/A</v>
      </c>
      <c r="I67" s="248" t="str">
        <f>IFERROR(VLOOKUP($G67,LookUps!$B$4:$D$19,3),"")</f>
        <v/>
      </c>
      <c r="J67" s="141" t="str">
        <f t="shared" si="1"/>
        <v/>
      </c>
      <c r="K67" s="105"/>
      <c r="L67" s="120"/>
      <c r="M67" s="120"/>
      <c r="N67" s="230" t="str">
        <f>IF(OR($G67=1,$G67=2,$G67=3,$G67=4,$G67=5,$G67=6),'20k Cross Ref (SD)'!$BU66,"")</f>
        <v/>
      </c>
    </row>
    <row r="68" spans="2:14" s="30" customFormat="1" ht="61.2" x14ac:dyDescent="0.3">
      <c r="B68" s="127" t="s">
        <v>840</v>
      </c>
      <c r="C68" s="58">
        <v>64</v>
      </c>
      <c r="D68" s="376"/>
      <c r="E68" s="124" t="s">
        <v>1075</v>
      </c>
      <c r="F68" s="124" t="s">
        <v>1132</v>
      </c>
      <c r="G68" s="123"/>
      <c r="H68" s="138" t="e">
        <f>VLOOKUP($G68,LookUps!$B$4:$C$19,2)</f>
        <v>#N/A</v>
      </c>
      <c r="I68" s="248" t="str">
        <f>IFERROR(VLOOKUP($G68,LookUps!$B$4:$D$19,3),"")</f>
        <v/>
      </c>
      <c r="J68" s="141" t="str">
        <f t="shared" si="1"/>
        <v/>
      </c>
      <c r="K68" s="105"/>
      <c r="L68" s="120"/>
      <c r="M68" s="120"/>
      <c r="N68" s="230" t="str">
        <f>IF(OR($G68=1,$G68=2,$G68=3,$G68=4,$G68=5,$G68=6),'20k Cross Ref (SD)'!$BU67,"")</f>
        <v/>
      </c>
    </row>
    <row r="69" spans="2:14" s="30" customFormat="1" ht="30.6" x14ac:dyDescent="0.3">
      <c r="B69" s="127" t="s">
        <v>840</v>
      </c>
      <c r="C69" s="58">
        <v>65</v>
      </c>
      <c r="D69" s="376"/>
      <c r="E69" s="124" t="s">
        <v>936</v>
      </c>
      <c r="F69" s="124" t="s">
        <v>1133</v>
      </c>
      <c r="G69" s="123"/>
      <c r="H69" s="138" t="e">
        <f>VLOOKUP($G69,LookUps!$B$4:$C$19,2)</f>
        <v>#N/A</v>
      </c>
      <c r="I69" s="248" t="str">
        <f>IFERROR(VLOOKUP($G69,LookUps!$B$4:$D$19,3),"")</f>
        <v/>
      </c>
      <c r="J69" s="141" t="str">
        <f t="shared" si="1"/>
        <v/>
      </c>
      <c r="K69" s="105"/>
      <c r="L69" s="120"/>
      <c r="M69" s="120"/>
      <c r="N69" s="230" t="str">
        <f>IF(OR($G69=1,$G69=2,$G69=3,$G69=4,$G69=5,$G69=6),'20k Cross Ref (SD)'!$BU68,"")</f>
        <v/>
      </c>
    </row>
    <row r="70" spans="2:14" s="30" customFormat="1" ht="20.399999999999999" x14ac:dyDescent="0.3">
      <c r="B70" s="127" t="s">
        <v>840</v>
      </c>
      <c r="C70" s="58">
        <v>66</v>
      </c>
      <c r="D70" s="376"/>
      <c r="E70" s="124" t="s">
        <v>937</v>
      </c>
      <c r="F70" s="124" t="s">
        <v>938</v>
      </c>
      <c r="G70" s="123"/>
      <c r="H70" s="138" t="e">
        <f>VLOOKUP($G70,LookUps!$B$4:$C$19,2)</f>
        <v>#N/A</v>
      </c>
      <c r="I70" s="248" t="str">
        <f>IFERROR(VLOOKUP($G70,LookUps!$B$4:$D$19,3),"")</f>
        <v/>
      </c>
      <c r="J70" s="141" t="str">
        <f t="shared" si="1"/>
        <v/>
      </c>
      <c r="K70" s="105"/>
      <c r="L70" s="120"/>
      <c r="M70" s="120"/>
      <c r="N70" s="230" t="str">
        <f>IF(OR($G70=1,$G70=2,$G70=3,$G70=4,$G70=5,$G70=6),'20k Cross Ref (SD)'!$BU69,"")</f>
        <v/>
      </c>
    </row>
    <row r="71" spans="2:14" s="30" customFormat="1" ht="20.399999999999999" x14ac:dyDescent="0.3">
      <c r="B71" s="127" t="s">
        <v>840</v>
      </c>
      <c r="C71" s="58">
        <v>67</v>
      </c>
      <c r="D71" s="376"/>
      <c r="E71" s="124" t="s">
        <v>939</v>
      </c>
      <c r="F71" s="124" t="s">
        <v>940</v>
      </c>
      <c r="G71" s="123"/>
      <c r="H71" s="138" t="e">
        <f>VLOOKUP($G71,LookUps!$B$4:$C$19,2)</f>
        <v>#N/A</v>
      </c>
      <c r="I71" s="248" t="str">
        <f>IFERROR(VLOOKUP($G71,LookUps!$B$4:$D$19,3),"")</f>
        <v/>
      </c>
      <c r="J71" s="141" t="str">
        <f t="shared" si="1"/>
        <v/>
      </c>
      <c r="K71" s="105"/>
      <c r="L71" s="120"/>
      <c r="M71" s="120"/>
      <c r="N71" s="230" t="str">
        <f>IF(OR($G71=1,$G71=2,$G71=3,$G71=4,$G71=5,$G71=6),'20k Cross Ref (SD)'!$BU70,"")</f>
        <v/>
      </c>
    </row>
    <row r="72" spans="2:14" s="30" customFormat="1" ht="20.399999999999999" x14ac:dyDescent="0.3">
      <c r="B72" s="127" t="s">
        <v>840</v>
      </c>
      <c r="C72" s="58">
        <v>68</v>
      </c>
      <c r="D72" s="376"/>
      <c r="E72" s="124" t="s">
        <v>941</v>
      </c>
      <c r="F72" s="124" t="s">
        <v>942</v>
      </c>
      <c r="G72" s="123"/>
      <c r="H72" s="138" t="e">
        <f>VLOOKUP($G72,LookUps!$B$4:$C$19,2)</f>
        <v>#N/A</v>
      </c>
      <c r="I72" s="248" t="str">
        <f>IFERROR(VLOOKUP($G72,LookUps!$B$4:$D$19,3),"")</f>
        <v/>
      </c>
      <c r="J72" s="141" t="str">
        <f t="shared" si="1"/>
        <v/>
      </c>
      <c r="K72" s="105"/>
      <c r="L72" s="120"/>
      <c r="M72" s="120"/>
      <c r="N72" s="230" t="str">
        <f>IF(OR($G72=1,$G72=2,$G72=3,$G72=4,$G72=5,$G72=6),'20k Cross Ref (SD)'!$BU71,"")</f>
        <v/>
      </c>
    </row>
    <row r="73" spans="2:14" s="30" customFormat="1" ht="20.399999999999999" x14ac:dyDescent="0.3">
      <c r="B73" s="127" t="s">
        <v>840</v>
      </c>
      <c r="C73" s="58">
        <v>69</v>
      </c>
      <c r="D73" s="376"/>
      <c r="E73" s="124" t="s">
        <v>943</v>
      </c>
      <c r="F73" s="124" t="s">
        <v>944</v>
      </c>
      <c r="G73" s="123"/>
      <c r="H73" s="138" t="e">
        <f>VLOOKUP($G73,LookUps!$B$4:$C$19,2)</f>
        <v>#N/A</v>
      </c>
      <c r="I73" s="248" t="str">
        <f>IFERROR(VLOOKUP($G73,LookUps!$B$4:$D$19,3),"")</f>
        <v/>
      </c>
      <c r="J73" s="141" t="str">
        <f t="shared" si="1"/>
        <v/>
      </c>
      <c r="K73" s="105"/>
      <c r="L73" s="120"/>
      <c r="M73" s="120"/>
      <c r="N73" s="230" t="str">
        <f>IF(OR($G73=1,$G73=2,$G73=3,$G73=4,$G73=5,$G73=6),'20k Cross Ref (SD)'!$BU72,"")</f>
        <v/>
      </c>
    </row>
    <row r="74" spans="2:14" s="30" customFormat="1" ht="30.6" x14ac:dyDescent="0.3">
      <c r="B74" s="127" t="s">
        <v>840</v>
      </c>
      <c r="C74" s="58">
        <v>70</v>
      </c>
      <c r="D74" s="376"/>
      <c r="E74" s="124" t="s">
        <v>945</v>
      </c>
      <c r="F74" s="124" t="s">
        <v>946</v>
      </c>
      <c r="G74" s="123"/>
      <c r="H74" s="138" t="e">
        <f>VLOOKUP($G74,LookUps!$B$4:$C$19,2)</f>
        <v>#N/A</v>
      </c>
      <c r="I74" s="248" t="str">
        <f>IFERROR(VLOOKUP($G74,LookUps!$B$4:$D$19,3),"")</f>
        <v/>
      </c>
      <c r="J74" s="141" t="str">
        <f t="shared" si="1"/>
        <v/>
      </c>
      <c r="K74" s="105"/>
      <c r="L74" s="120"/>
      <c r="M74" s="120"/>
      <c r="N74" s="230" t="str">
        <f>IF(OR($G74=1,$G74=2,$G74=3,$G74=4,$G74=5,$G74=6),'20k Cross Ref (SD)'!$BU73,"")</f>
        <v/>
      </c>
    </row>
    <row r="75" spans="2:14" s="30" customFormat="1" ht="20.399999999999999" x14ac:dyDescent="0.3">
      <c r="B75" s="127" t="s">
        <v>840</v>
      </c>
      <c r="C75" s="58">
        <v>71</v>
      </c>
      <c r="D75" s="376"/>
      <c r="E75" s="124" t="s">
        <v>947</v>
      </c>
      <c r="F75" s="124" t="s">
        <v>948</v>
      </c>
      <c r="G75" s="123"/>
      <c r="H75" s="138" t="e">
        <f>VLOOKUP($G75,LookUps!$B$4:$C$19,2)</f>
        <v>#N/A</v>
      </c>
      <c r="I75" s="248" t="str">
        <f>IFERROR(VLOOKUP($G75,LookUps!$B$4:$D$19,3),"")</f>
        <v/>
      </c>
      <c r="J75" s="141" t="str">
        <f t="shared" si="1"/>
        <v/>
      </c>
      <c r="K75" s="105"/>
      <c r="L75" s="120"/>
      <c r="M75" s="120"/>
      <c r="N75" s="230" t="str">
        <f>IF(OR($G75=1,$G75=2,$G75=3,$G75=4,$G75=5,$G75=6),'20k Cross Ref (SD)'!$BU74,"")</f>
        <v/>
      </c>
    </row>
    <row r="76" spans="2:14" s="30" customFormat="1" ht="20.399999999999999" x14ac:dyDescent="0.3">
      <c r="B76" s="127" t="s">
        <v>840</v>
      </c>
      <c r="C76" s="58">
        <v>72</v>
      </c>
      <c r="D76" s="376"/>
      <c r="E76" s="124" t="s">
        <v>949</v>
      </c>
      <c r="F76" s="124" t="s">
        <v>950</v>
      </c>
      <c r="G76" s="123"/>
      <c r="H76" s="138" t="e">
        <f>VLOOKUP($G76,LookUps!$B$4:$C$19,2)</f>
        <v>#N/A</v>
      </c>
      <c r="I76" s="248" t="str">
        <f>IFERROR(VLOOKUP($G76,LookUps!$B$4:$D$19,3),"")</f>
        <v/>
      </c>
      <c r="J76" s="141" t="str">
        <f t="shared" si="1"/>
        <v/>
      </c>
      <c r="K76" s="105"/>
      <c r="L76" s="120"/>
      <c r="M76" s="120"/>
      <c r="N76" s="230" t="str">
        <f>IF(OR($G76=1,$G76=2,$G76=3,$G76=4,$G76=5,$G76=6),'20k Cross Ref (SD)'!$BU75,"")</f>
        <v/>
      </c>
    </row>
    <row r="77" spans="2:14" s="30" customFormat="1" ht="20.399999999999999" x14ac:dyDescent="0.3">
      <c r="B77" s="127" t="s">
        <v>840</v>
      </c>
      <c r="C77" s="58">
        <v>73</v>
      </c>
      <c r="D77" s="377"/>
      <c r="E77" s="124" t="s">
        <v>951</v>
      </c>
      <c r="F77" s="124" t="s">
        <v>952</v>
      </c>
      <c r="G77" s="123"/>
      <c r="H77" s="138" t="e">
        <f>VLOOKUP($G77,LookUps!$B$4:$C$19,2)</f>
        <v>#N/A</v>
      </c>
      <c r="I77" s="248" t="str">
        <f>IFERROR(VLOOKUP($G77,LookUps!$B$4:$D$19,3),"")</f>
        <v/>
      </c>
      <c r="J77" s="141" t="str">
        <f t="shared" si="1"/>
        <v/>
      </c>
      <c r="K77" s="105"/>
      <c r="L77" s="120"/>
      <c r="M77" s="120"/>
      <c r="N77" s="230" t="str">
        <f>IF(OR($G77=1,$G77=2,$G77=3,$G77=4,$G77=5,$G77=6),'20k Cross Ref (SD)'!$BU76,"")</f>
        <v/>
      </c>
    </row>
    <row r="78" spans="2:14" s="30" customFormat="1" ht="22.5" customHeight="1" x14ac:dyDescent="0.3">
      <c r="B78" s="127" t="s">
        <v>840</v>
      </c>
      <c r="C78" s="58">
        <v>74</v>
      </c>
      <c r="D78" s="375" t="s">
        <v>692</v>
      </c>
      <c r="E78" s="113" t="s">
        <v>845</v>
      </c>
      <c r="F78" s="113" t="s">
        <v>845</v>
      </c>
      <c r="G78" s="249" t="str">
        <f>IFERROR(TRUNC(AVERAGE($G79:$G83),2), "")</f>
        <v/>
      </c>
      <c r="H78" s="247"/>
      <c r="I78" s="248" t="str">
        <f>IFERROR(VLOOKUP($G78,LookUps!$B$4:$D$19,3),"")</f>
        <v/>
      </c>
      <c r="J78" s="141"/>
      <c r="K78" s="250"/>
      <c r="L78" s="250"/>
      <c r="M78" s="250"/>
      <c r="N78" s="250"/>
    </row>
    <row r="79" spans="2:14" s="30" customFormat="1" ht="20.399999999999999" x14ac:dyDescent="0.3">
      <c r="B79" s="127" t="s">
        <v>840</v>
      </c>
      <c r="C79" s="58">
        <v>75</v>
      </c>
      <c r="D79" s="376"/>
      <c r="E79" s="124" t="s">
        <v>953</v>
      </c>
      <c r="F79" s="124" t="s">
        <v>954</v>
      </c>
      <c r="G79" s="123"/>
      <c r="H79" s="138" t="e">
        <f>VLOOKUP($G79,LookUps!$B$4:$C$19,2)</f>
        <v>#N/A</v>
      </c>
      <c r="I79" s="248" t="str">
        <f>IFERROR(VLOOKUP($G79,LookUps!$B$4:$D$19,3),"")</f>
        <v/>
      </c>
      <c r="J79" s="141" t="str">
        <f t="shared" si="1"/>
        <v/>
      </c>
      <c r="K79" s="105"/>
      <c r="L79" s="120"/>
      <c r="M79" s="120"/>
      <c r="N79" s="230" t="str">
        <f>IF(OR($G79=1,$G79=2,$G79=3,$G79=4,$G79=5,$G79=6),'20k Cross Ref (SD)'!$BU78,"")</f>
        <v/>
      </c>
    </row>
    <row r="80" spans="2:14" s="30" customFormat="1" ht="20.399999999999999" x14ac:dyDescent="0.3">
      <c r="B80" s="127" t="s">
        <v>840</v>
      </c>
      <c r="C80" s="58">
        <v>76</v>
      </c>
      <c r="D80" s="376"/>
      <c r="E80" s="124" t="s">
        <v>955</v>
      </c>
      <c r="F80" s="124" t="s">
        <v>956</v>
      </c>
      <c r="G80" s="123"/>
      <c r="H80" s="138" t="e">
        <f>VLOOKUP($G80,LookUps!$B$4:$C$19,2)</f>
        <v>#N/A</v>
      </c>
      <c r="I80" s="248" t="str">
        <f>IFERROR(VLOOKUP($G80,LookUps!$B$4:$D$19,3),"")</f>
        <v/>
      </c>
      <c r="J80" s="141" t="str">
        <f t="shared" si="1"/>
        <v/>
      </c>
      <c r="K80" s="105"/>
      <c r="L80" s="120"/>
      <c r="M80" s="120"/>
      <c r="N80" s="230" t="str">
        <f>IF(OR($G80=1,$G80=2,$G80=3,$G80=4,$G80=5,$G80=6),'20k Cross Ref (SD)'!$BU79,"")</f>
        <v/>
      </c>
    </row>
    <row r="81" spans="2:14" s="30" customFormat="1" ht="20.399999999999999" x14ac:dyDescent="0.3">
      <c r="B81" s="127" t="s">
        <v>840</v>
      </c>
      <c r="C81" s="58">
        <v>77</v>
      </c>
      <c r="D81" s="376"/>
      <c r="E81" s="124" t="s">
        <v>957</v>
      </c>
      <c r="F81" s="124" t="s">
        <v>958</v>
      </c>
      <c r="G81" s="123"/>
      <c r="H81" s="138" t="e">
        <f>VLOOKUP($G81,LookUps!$B$4:$C$19,2)</f>
        <v>#N/A</v>
      </c>
      <c r="I81" s="248" t="str">
        <f>IFERROR(VLOOKUP($G81,LookUps!$B$4:$D$19,3),"")</f>
        <v/>
      </c>
      <c r="J81" s="141" t="str">
        <f t="shared" si="1"/>
        <v/>
      </c>
      <c r="K81" s="105"/>
      <c r="L81" s="120"/>
      <c r="M81" s="120"/>
      <c r="N81" s="230" t="str">
        <f>IF(OR($G81=1,$G81=2,$G81=3,$G81=4,$G81=5,$G81=6),'20k Cross Ref (SD)'!$BU80,"")</f>
        <v/>
      </c>
    </row>
    <row r="82" spans="2:14" s="30" customFormat="1" ht="20.399999999999999" x14ac:dyDescent="0.3">
      <c r="B82" s="127" t="s">
        <v>840</v>
      </c>
      <c r="C82" s="58">
        <v>78</v>
      </c>
      <c r="D82" s="376"/>
      <c r="E82" s="124" t="s">
        <v>959</v>
      </c>
      <c r="F82" s="124" t="s">
        <v>960</v>
      </c>
      <c r="G82" s="123"/>
      <c r="H82" s="138" t="e">
        <f>VLOOKUP($G82,LookUps!$B$4:$C$19,2)</f>
        <v>#N/A</v>
      </c>
      <c r="I82" s="248" t="str">
        <f>IFERROR(VLOOKUP($G82,LookUps!$B$4:$D$19,3),"")</f>
        <v/>
      </c>
      <c r="J82" s="141" t="str">
        <f t="shared" si="1"/>
        <v/>
      </c>
      <c r="K82" s="105"/>
      <c r="L82" s="120"/>
      <c r="M82" s="120"/>
      <c r="N82" s="230" t="str">
        <f>IF(OR($G82=1,$G82=2,$G82=3,$G82=4,$G82=5,$G82=6),'20k Cross Ref (SD)'!$BU81,"")</f>
        <v/>
      </c>
    </row>
    <row r="83" spans="2:14" s="30" customFormat="1" ht="20.399999999999999" x14ac:dyDescent="0.3">
      <c r="B83" s="127" t="s">
        <v>840</v>
      </c>
      <c r="C83" s="58">
        <v>79</v>
      </c>
      <c r="D83" s="377"/>
      <c r="E83" s="124" t="s">
        <v>961</v>
      </c>
      <c r="F83" s="124" t="s">
        <v>962</v>
      </c>
      <c r="G83" s="123"/>
      <c r="H83" s="138" t="e">
        <f>VLOOKUP($G83,LookUps!$B$4:$C$19,2)</f>
        <v>#N/A</v>
      </c>
      <c r="I83" s="248" t="str">
        <f>IFERROR(VLOOKUP($G83,LookUps!$B$4:$D$19,3),"")</f>
        <v/>
      </c>
      <c r="J83" s="141" t="str">
        <f t="shared" si="1"/>
        <v/>
      </c>
      <c r="K83" s="105"/>
      <c r="L83" s="120"/>
      <c r="M83" s="120"/>
      <c r="N83" s="230" t="str">
        <f>IF(OR($G83=1,$G83=2,$G83=3,$G83=4,$G83=5,$G83=6),'20k Cross Ref (SD)'!$BU82,"")</f>
        <v/>
      </c>
    </row>
    <row r="84" spans="2:14" s="30" customFormat="1" ht="22.5" customHeight="1" x14ac:dyDescent="0.3">
      <c r="B84" s="127" t="s">
        <v>840</v>
      </c>
      <c r="C84" s="58">
        <v>80</v>
      </c>
      <c r="D84" s="375" t="s">
        <v>1076</v>
      </c>
      <c r="E84" s="113" t="s">
        <v>845</v>
      </c>
      <c r="F84" s="113" t="s">
        <v>845</v>
      </c>
      <c r="G84" s="249" t="str">
        <f>IFERROR(TRUNC(AVERAGE($G85:$G87),2), "")</f>
        <v/>
      </c>
      <c r="H84" s="247"/>
      <c r="I84" s="248" t="str">
        <f>IFERROR(VLOOKUP($G84,LookUps!$B$4:$D$19,3),"")</f>
        <v/>
      </c>
      <c r="J84" s="141"/>
      <c r="K84" s="250"/>
      <c r="L84" s="250"/>
      <c r="M84" s="250"/>
      <c r="N84" s="250"/>
    </row>
    <row r="85" spans="2:14" s="30" customFormat="1" ht="20.399999999999999" x14ac:dyDescent="0.3">
      <c r="B85" s="127" t="s">
        <v>840</v>
      </c>
      <c r="C85" s="58">
        <v>81</v>
      </c>
      <c r="D85" s="376"/>
      <c r="E85" s="124" t="s">
        <v>1077</v>
      </c>
      <c r="F85" s="124" t="s">
        <v>1078</v>
      </c>
      <c r="G85" s="123"/>
      <c r="H85" s="138" t="e">
        <f>VLOOKUP($G85,LookUps!$B$4:$C$19,2)</f>
        <v>#N/A</v>
      </c>
      <c r="I85" s="248" t="str">
        <f>IFERROR(VLOOKUP($G85,LookUps!$B$4:$D$19,3),"")</f>
        <v/>
      </c>
      <c r="J85" s="141" t="str">
        <f t="shared" si="1"/>
        <v/>
      </c>
      <c r="K85" s="105"/>
      <c r="L85" s="120"/>
      <c r="M85" s="120"/>
      <c r="N85" s="230" t="str">
        <f>IF(OR($G85=1,$G85=2,$G85=3,$G85=4,$G85=5,$G85=6),'20k Cross Ref (SD)'!$BU84,"")</f>
        <v/>
      </c>
    </row>
    <row r="86" spans="2:14" s="30" customFormat="1" ht="30.6" x14ac:dyDescent="0.3">
      <c r="B86" s="127" t="s">
        <v>840</v>
      </c>
      <c r="C86" s="58">
        <v>82</v>
      </c>
      <c r="D86" s="376"/>
      <c r="E86" s="124" t="s">
        <v>1079</v>
      </c>
      <c r="F86" s="124" t="s">
        <v>1134</v>
      </c>
      <c r="G86" s="123"/>
      <c r="H86" s="138" t="e">
        <f>VLOOKUP($G86,LookUps!$B$4:$C$19,2)</f>
        <v>#N/A</v>
      </c>
      <c r="I86" s="248" t="str">
        <f>IFERROR(VLOOKUP($G86,LookUps!$B$4:$D$19,3),"")</f>
        <v/>
      </c>
      <c r="J86" s="141" t="str">
        <f t="shared" si="1"/>
        <v/>
      </c>
      <c r="K86" s="105"/>
      <c r="L86" s="120"/>
      <c r="M86" s="120"/>
      <c r="N86" s="230" t="str">
        <f>IF(OR($G86=1,$G86=2,$G86=3,$G86=4,$G86=5,$G86=6),'20k Cross Ref (SD)'!$BU85,"")</f>
        <v/>
      </c>
    </row>
    <row r="87" spans="2:14" s="30" customFormat="1" ht="30.6" x14ac:dyDescent="0.3">
      <c r="B87" s="127" t="s">
        <v>840</v>
      </c>
      <c r="C87" s="58">
        <v>83</v>
      </c>
      <c r="D87" s="377"/>
      <c r="E87" s="124" t="s">
        <v>1135</v>
      </c>
      <c r="F87" s="124" t="s">
        <v>1134</v>
      </c>
      <c r="G87" s="123"/>
      <c r="H87" s="138" t="e">
        <f>VLOOKUP($G87,LookUps!$B$4:$C$19,2)</f>
        <v>#N/A</v>
      </c>
      <c r="I87" s="248" t="str">
        <f>IFERROR(VLOOKUP($G87,LookUps!$B$4:$D$19,3),"")</f>
        <v/>
      </c>
      <c r="J87" s="141" t="str">
        <f t="shared" si="1"/>
        <v/>
      </c>
      <c r="K87" s="105"/>
      <c r="L87" s="120"/>
      <c r="M87" s="120"/>
      <c r="N87" s="230" t="str">
        <f>IF(OR($G87=1,$G87=2,$G87=3,$G87=4,$G87=5,$G87=6),'20k Cross Ref (SD)'!$BU86,"")</f>
        <v/>
      </c>
    </row>
    <row r="88" spans="2:14" s="30" customFormat="1" ht="22.5" customHeight="1" x14ac:dyDescent="0.3">
      <c r="B88" s="127" t="s">
        <v>840</v>
      </c>
      <c r="C88" s="58">
        <v>84</v>
      </c>
      <c r="D88" s="375" t="s">
        <v>693</v>
      </c>
      <c r="E88" s="113" t="s">
        <v>845</v>
      </c>
      <c r="F88" s="113" t="s">
        <v>845</v>
      </c>
      <c r="G88" s="249" t="str">
        <f>IFERROR(TRUNC(AVERAGE($G89:$G91),2), "")</f>
        <v/>
      </c>
      <c r="H88" s="247"/>
      <c r="I88" s="248" t="str">
        <f>IFERROR(VLOOKUP($G88,LookUps!$B$4:$D$19,3),"")</f>
        <v/>
      </c>
      <c r="J88" s="141"/>
      <c r="K88" s="250"/>
      <c r="L88" s="250"/>
      <c r="M88" s="250"/>
      <c r="N88" s="250"/>
    </row>
    <row r="89" spans="2:14" s="30" customFormat="1" ht="20.399999999999999" x14ac:dyDescent="0.3">
      <c r="B89" s="127" t="s">
        <v>840</v>
      </c>
      <c r="C89" s="58">
        <v>85</v>
      </c>
      <c r="D89" s="376"/>
      <c r="E89" s="124" t="s">
        <v>963</v>
      </c>
      <c r="F89" s="124" t="s">
        <v>964</v>
      </c>
      <c r="G89" s="123"/>
      <c r="H89" s="138" t="e">
        <f>VLOOKUP($G89,LookUps!$B$4:$C$19,2)</f>
        <v>#N/A</v>
      </c>
      <c r="I89" s="248" t="str">
        <f>IFERROR(VLOOKUP($G89,LookUps!$B$4:$D$19,3),"")</f>
        <v/>
      </c>
      <c r="J89" s="141" t="str">
        <f t="shared" si="1"/>
        <v/>
      </c>
      <c r="K89" s="105"/>
      <c r="L89" s="120"/>
      <c r="M89" s="120"/>
      <c r="N89" s="230" t="str">
        <f>IF(OR($G89=1,$G89=2,$G89=3,$G89=4,$G89=5,$G89=6),'20k Cross Ref (SD)'!$BU88,"")</f>
        <v/>
      </c>
    </row>
    <row r="90" spans="2:14" s="30" customFormat="1" ht="20.399999999999999" x14ac:dyDescent="0.3">
      <c r="B90" s="127" t="s">
        <v>840</v>
      </c>
      <c r="C90" s="58">
        <v>86</v>
      </c>
      <c r="D90" s="376"/>
      <c r="E90" s="124" t="s">
        <v>965</v>
      </c>
      <c r="F90" s="124" t="s">
        <v>966</v>
      </c>
      <c r="G90" s="123"/>
      <c r="H90" s="138" t="e">
        <f>VLOOKUP($G90,LookUps!$B$4:$C$19,2)</f>
        <v>#N/A</v>
      </c>
      <c r="I90" s="248" t="str">
        <f>IFERROR(VLOOKUP($G90,LookUps!$B$4:$D$19,3),"")</f>
        <v/>
      </c>
      <c r="J90" s="141" t="str">
        <f t="shared" si="1"/>
        <v/>
      </c>
      <c r="K90" s="105"/>
      <c r="L90" s="120"/>
      <c r="M90" s="120"/>
      <c r="N90" s="230" t="str">
        <f>IF(OR($G90=1,$G90=2,$G90=3,$G90=4,$G90=5,$G90=6),'20k Cross Ref (SD)'!$BU89,"")</f>
        <v/>
      </c>
    </row>
    <row r="91" spans="2:14" s="30" customFormat="1" ht="20.399999999999999" x14ac:dyDescent="0.3">
      <c r="B91" s="127" t="s">
        <v>840</v>
      </c>
      <c r="C91" s="58">
        <v>87</v>
      </c>
      <c r="D91" s="377"/>
      <c r="E91" s="124" t="s">
        <v>967</v>
      </c>
      <c r="F91" s="124" t="s">
        <v>968</v>
      </c>
      <c r="G91" s="123"/>
      <c r="H91" s="138" t="e">
        <f>VLOOKUP($G91,LookUps!$B$4:$C$19,2)</f>
        <v>#N/A</v>
      </c>
      <c r="I91" s="248" t="str">
        <f>IFERROR(VLOOKUP($G91,LookUps!$B$4:$D$19,3),"")</f>
        <v/>
      </c>
      <c r="J91" s="141" t="str">
        <f t="shared" si="1"/>
        <v/>
      </c>
      <c r="K91" s="105"/>
      <c r="L91" s="120"/>
      <c r="M91" s="120"/>
      <c r="N91" s="230" t="str">
        <f>IF(OR($G91=1,$G91=2,$G91=3,$G91=4,$G91=5,$G91=6),'20k Cross Ref (SD)'!$BU90,"")</f>
        <v/>
      </c>
    </row>
    <row r="92" spans="2:14" s="30" customFormat="1" ht="20.399999999999999" x14ac:dyDescent="0.3">
      <c r="B92" s="127" t="s">
        <v>840</v>
      </c>
      <c r="C92" s="58">
        <v>88</v>
      </c>
      <c r="D92" s="375" t="s">
        <v>694</v>
      </c>
      <c r="E92" s="113" t="s">
        <v>845</v>
      </c>
      <c r="F92" s="113" t="s">
        <v>845</v>
      </c>
      <c r="G92" s="249" t="str">
        <f>IFERROR(TRUNC(AVERAGE($G93:$G96),2), "")</f>
        <v/>
      </c>
      <c r="H92" s="247"/>
      <c r="I92" s="248" t="str">
        <f>IFERROR(VLOOKUP($G92,LookUps!$B$4:$D$19,3),"")</f>
        <v/>
      </c>
      <c r="J92" s="141"/>
      <c r="K92" s="250"/>
      <c r="L92" s="250"/>
      <c r="M92" s="250"/>
      <c r="N92" s="250"/>
    </row>
    <row r="93" spans="2:14" s="30" customFormat="1" ht="20.399999999999999" x14ac:dyDescent="0.3">
      <c r="B93" s="127" t="s">
        <v>840</v>
      </c>
      <c r="C93" s="58">
        <v>89</v>
      </c>
      <c r="D93" s="376"/>
      <c r="E93" s="124" t="s">
        <v>969</v>
      </c>
      <c r="F93" s="124" t="s">
        <v>970</v>
      </c>
      <c r="G93" s="123"/>
      <c r="H93" s="138" t="e">
        <f>VLOOKUP($G93,LookUps!$B$4:$C$19,2)</f>
        <v>#N/A</v>
      </c>
      <c r="I93" s="248" t="str">
        <f>IFERROR(VLOOKUP($G93,LookUps!$B$4:$D$19,3),"")</f>
        <v/>
      </c>
      <c r="J93" s="141" t="str">
        <f t="shared" si="1"/>
        <v/>
      </c>
      <c r="K93" s="105"/>
      <c r="L93" s="120"/>
      <c r="M93" s="120"/>
      <c r="N93" s="230" t="str">
        <f>IF(OR($G93=1,$G93=2,$G93=3,$G93=4,$G93=5,$G93=6),'20k Cross Ref (SD)'!$BU92,"")</f>
        <v/>
      </c>
    </row>
    <row r="94" spans="2:14" s="30" customFormat="1" ht="20.399999999999999" x14ac:dyDescent="0.3">
      <c r="B94" s="127" t="s">
        <v>840</v>
      </c>
      <c r="C94" s="58">
        <v>90</v>
      </c>
      <c r="D94" s="376"/>
      <c r="E94" s="124" t="s">
        <v>895</v>
      </c>
      <c r="F94" s="124" t="s">
        <v>971</v>
      </c>
      <c r="G94" s="123"/>
      <c r="H94" s="138" t="e">
        <f>VLOOKUP($G94,LookUps!$B$4:$C$19,2)</f>
        <v>#N/A</v>
      </c>
      <c r="I94" s="248" t="str">
        <f>IFERROR(VLOOKUP($G94,LookUps!$B$4:$D$19,3),"")</f>
        <v/>
      </c>
      <c r="J94" s="141" t="str">
        <f t="shared" si="1"/>
        <v/>
      </c>
      <c r="K94" s="105"/>
      <c r="L94" s="120"/>
      <c r="M94" s="120"/>
      <c r="N94" s="230" t="str">
        <f>IF(OR($G94=1,$G94=2,$G94=3,$G94=4,$G94=5,$G94=6),'20k Cross Ref (SD)'!$BU93,"")</f>
        <v/>
      </c>
    </row>
    <row r="95" spans="2:14" s="30" customFormat="1" ht="20.399999999999999" x14ac:dyDescent="0.3">
      <c r="B95" s="127" t="s">
        <v>840</v>
      </c>
      <c r="C95" s="58">
        <v>91</v>
      </c>
      <c r="D95" s="376"/>
      <c r="E95" s="124" t="s">
        <v>972</v>
      </c>
      <c r="F95" s="124" t="s">
        <v>898</v>
      </c>
      <c r="G95" s="123"/>
      <c r="H95" s="138" t="e">
        <f>VLOOKUP($G95,LookUps!$B$4:$C$19,2)</f>
        <v>#N/A</v>
      </c>
      <c r="I95" s="248" t="str">
        <f>IFERROR(VLOOKUP($G95,LookUps!$B$4:$D$19,3),"")</f>
        <v/>
      </c>
      <c r="J95" s="141" t="str">
        <f t="shared" si="1"/>
        <v/>
      </c>
      <c r="K95" s="105"/>
      <c r="L95" s="120"/>
      <c r="M95" s="120"/>
      <c r="N95" s="230" t="str">
        <f>IF(OR($G95=1,$G95=2,$G95=3,$G95=4,$G95=5,$G95=6),'20k Cross Ref (SD)'!$BU94,"")</f>
        <v/>
      </c>
    </row>
    <row r="96" spans="2:14" s="30" customFormat="1" ht="20.399999999999999" x14ac:dyDescent="0.3">
      <c r="B96" s="127" t="s">
        <v>840</v>
      </c>
      <c r="C96" s="58">
        <v>92</v>
      </c>
      <c r="D96" s="377"/>
      <c r="E96" s="124" t="s">
        <v>899</v>
      </c>
      <c r="F96" s="124" t="s">
        <v>973</v>
      </c>
      <c r="G96" s="123"/>
      <c r="H96" s="138" t="e">
        <f>VLOOKUP($G96,LookUps!$B$4:$C$19,2)</f>
        <v>#N/A</v>
      </c>
      <c r="I96" s="248" t="str">
        <f>IFERROR(VLOOKUP($G96,LookUps!$B$4:$D$19,3),"")</f>
        <v/>
      </c>
      <c r="J96" s="141" t="str">
        <f t="shared" si="1"/>
        <v/>
      </c>
      <c r="K96" s="105"/>
      <c r="L96" s="120"/>
      <c r="M96" s="120"/>
      <c r="N96" s="230" t="str">
        <f>IF(OR($G96=1,$G96=2,$G96=3,$G96=4,$G96=5,$G96=6),'20k Cross Ref (SD)'!$BU95,"")</f>
        <v/>
      </c>
    </row>
    <row r="97" spans="2:14" s="30" customFormat="1" ht="20.399999999999999" x14ac:dyDescent="0.3">
      <c r="B97" s="127" t="s">
        <v>834</v>
      </c>
      <c r="C97" s="58">
        <v>93</v>
      </c>
      <c r="D97" s="375" t="s">
        <v>695</v>
      </c>
      <c r="E97" s="113" t="s">
        <v>845</v>
      </c>
      <c r="F97" s="113" t="s">
        <v>845</v>
      </c>
      <c r="G97" s="249" t="str">
        <f>IFERROR(TRUNC(AVERAGE($G98:$G108),2), "")</f>
        <v/>
      </c>
      <c r="H97" s="247"/>
      <c r="I97" s="248" t="str">
        <f>IFERROR(VLOOKUP($G97,LookUps!$B$4:$D$19,3),"")</f>
        <v/>
      </c>
      <c r="J97" s="141"/>
      <c r="K97" s="250"/>
      <c r="L97" s="250"/>
      <c r="M97" s="250"/>
      <c r="N97" s="250"/>
    </row>
    <row r="98" spans="2:14" s="30" customFormat="1" ht="20.399999999999999" x14ac:dyDescent="0.3">
      <c r="B98" s="127" t="s">
        <v>834</v>
      </c>
      <c r="C98" s="58">
        <v>94</v>
      </c>
      <c r="D98" s="376"/>
      <c r="E98" s="124" t="s">
        <v>974</v>
      </c>
      <c r="F98" s="124" t="s">
        <v>975</v>
      </c>
      <c r="G98" s="123"/>
      <c r="H98" s="138" t="e">
        <f>VLOOKUP($G98,LookUps!$B$4:$C$19,2)</f>
        <v>#N/A</v>
      </c>
      <c r="I98" s="248" t="str">
        <f>IFERROR(VLOOKUP($G98,LookUps!$B$4:$D$19,3),"")</f>
        <v/>
      </c>
      <c r="J98" s="141" t="str">
        <f t="shared" si="1"/>
        <v/>
      </c>
      <c r="K98" s="105"/>
      <c r="L98" s="120"/>
      <c r="M98" s="120"/>
      <c r="N98" s="230" t="str">
        <f>IF(OR($G98=1,$G98=2,$G98=3,$G98=4,$G98=5,$G98=6),'20k Cross Ref (SD)'!$BU97,"")</f>
        <v/>
      </c>
    </row>
    <row r="99" spans="2:14" s="30" customFormat="1" ht="20.399999999999999" x14ac:dyDescent="0.3">
      <c r="B99" s="127" t="s">
        <v>834</v>
      </c>
      <c r="C99" s="58">
        <v>95</v>
      </c>
      <c r="D99" s="376"/>
      <c r="E99" s="124" t="s">
        <v>976</v>
      </c>
      <c r="F99" s="124" t="s">
        <v>977</v>
      </c>
      <c r="G99" s="123"/>
      <c r="H99" s="138" t="e">
        <f>VLOOKUP($G99,LookUps!$B$4:$C$19,2)</f>
        <v>#N/A</v>
      </c>
      <c r="I99" s="248" t="str">
        <f>IFERROR(VLOOKUP($G99,LookUps!$B$4:$D$19,3),"")</f>
        <v/>
      </c>
      <c r="J99" s="141" t="str">
        <f t="shared" si="1"/>
        <v/>
      </c>
      <c r="K99" s="105"/>
      <c r="L99" s="120"/>
      <c r="M99" s="120"/>
      <c r="N99" s="230" t="str">
        <f>IF(OR($G99=1,$G99=2,$G99=3,$G99=4,$G99=5,$G99=6),'20k Cross Ref (SD)'!$BU98,"")</f>
        <v/>
      </c>
    </row>
    <row r="100" spans="2:14" s="30" customFormat="1" ht="20.399999999999999" x14ac:dyDescent="0.3">
      <c r="B100" s="127" t="s">
        <v>834</v>
      </c>
      <c r="C100" s="58">
        <v>96</v>
      </c>
      <c r="D100" s="376"/>
      <c r="E100" s="124" t="s">
        <v>978</v>
      </c>
      <c r="F100" s="124" t="s">
        <v>979</v>
      </c>
      <c r="G100" s="123"/>
      <c r="H100" s="138" t="e">
        <f>VLOOKUP($G100,LookUps!$B$4:$C$19,2)</f>
        <v>#N/A</v>
      </c>
      <c r="I100" s="248" t="str">
        <f>IFERROR(VLOOKUP($G100,LookUps!$B$4:$D$19,3),"")</f>
        <v/>
      </c>
      <c r="J100" s="141" t="str">
        <f t="shared" si="1"/>
        <v/>
      </c>
      <c r="K100" s="105"/>
      <c r="L100" s="120"/>
      <c r="M100" s="120"/>
      <c r="N100" s="230" t="str">
        <f>IF(OR($G100=1,$G100=2,$G100=3,$G100=4,$G100=5,$G100=6),'20k Cross Ref (SD)'!$BU99,"")</f>
        <v/>
      </c>
    </row>
    <row r="101" spans="2:14" s="30" customFormat="1" ht="20.399999999999999" x14ac:dyDescent="0.3">
      <c r="B101" s="127" t="s">
        <v>834</v>
      </c>
      <c r="C101" s="58">
        <v>97</v>
      </c>
      <c r="D101" s="376"/>
      <c r="E101" s="124" t="s">
        <v>980</v>
      </c>
      <c r="F101" s="124" t="s">
        <v>981</v>
      </c>
      <c r="G101" s="123"/>
      <c r="H101" s="138" t="e">
        <f>VLOOKUP($G101,LookUps!$B$4:$C$19,2)</f>
        <v>#N/A</v>
      </c>
      <c r="I101" s="248" t="str">
        <f>IFERROR(VLOOKUP($G101,LookUps!$B$4:$D$19,3),"")</f>
        <v/>
      </c>
      <c r="J101" s="141" t="str">
        <f t="shared" si="1"/>
        <v/>
      </c>
      <c r="K101" s="105"/>
      <c r="L101" s="120"/>
      <c r="M101" s="120"/>
      <c r="N101" s="230" t="str">
        <f>IF(OR($G101=1,$G101=2,$G101=3,$G101=4,$G101=5,$G101=6),'20k Cross Ref (SD)'!$BU100,"")</f>
        <v/>
      </c>
    </row>
    <row r="102" spans="2:14" s="30" customFormat="1" ht="20.399999999999999" x14ac:dyDescent="0.3">
      <c r="B102" s="127" t="s">
        <v>834</v>
      </c>
      <c r="C102" s="58">
        <v>98</v>
      </c>
      <c r="D102" s="376"/>
      <c r="E102" s="124" t="s">
        <v>982</v>
      </c>
      <c r="F102" s="124" t="s">
        <v>983</v>
      </c>
      <c r="G102" s="123"/>
      <c r="H102" s="138" t="e">
        <f>VLOOKUP($G102,LookUps!$B$4:$C$19,2)</f>
        <v>#N/A</v>
      </c>
      <c r="I102" s="248" t="str">
        <f>IFERROR(VLOOKUP($G102,LookUps!$B$4:$D$19,3),"")</f>
        <v/>
      </c>
      <c r="J102" s="141" t="str">
        <f t="shared" si="1"/>
        <v/>
      </c>
      <c r="K102" s="105"/>
      <c r="L102" s="120"/>
      <c r="M102" s="120"/>
      <c r="N102" s="230" t="str">
        <f>IF(OR($G102=1,$G102=2,$G102=3,$G102=4,$G102=5,$G102=6),'20k Cross Ref (SD)'!$BU101,"")</f>
        <v/>
      </c>
    </row>
    <row r="103" spans="2:14" s="30" customFormat="1" ht="20.399999999999999" x14ac:dyDescent="0.3">
      <c r="B103" s="127" t="s">
        <v>834</v>
      </c>
      <c r="C103" s="58">
        <v>99</v>
      </c>
      <c r="D103" s="376"/>
      <c r="E103" s="124" t="s">
        <v>984</v>
      </c>
      <c r="F103" s="124" t="s">
        <v>985</v>
      </c>
      <c r="G103" s="123"/>
      <c r="H103" s="138" t="e">
        <f>VLOOKUP($G103,LookUps!$B$4:$C$19,2)</f>
        <v>#N/A</v>
      </c>
      <c r="I103" s="248" t="str">
        <f>IFERROR(VLOOKUP($G103,LookUps!$B$4:$D$19,3),"")</f>
        <v/>
      </c>
      <c r="J103" s="141" t="str">
        <f t="shared" si="1"/>
        <v/>
      </c>
      <c r="K103" s="105"/>
      <c r="L103" s="120"/>
      <c r="M103" s="120"/>
      <c r="N103" s="230" t="str">
        <f>IF(OR($G103=1,$G103=2,$G103=3,$G103=4,$G103=5,$G103=6),'20k Cross Ref (SD)'!$BU102,"")</f>
        <v/>
      </c>
    </row>
    <row r="104" spans="2:14" s="30" customFormat="1" ht="20.399999999999999" x14ac:dyDescent="0.3">
      <c r="B104" s="127" t="s">
        <v>834</v>
      </c>
      <c r="C104" s="58">
        <v>100</v>
      </c>
      <c r="D104" s="376"/>
      <c r="E104" s="124" t="s">
        <v>986</v>
      </c>
      <c r="F104" s="124" t="s">
        <v>987</v>
      </c>
      <c r="G104" s="123"/>
      <c r="H104" s="138" t="e">
        <f>VLOOKUP($G104,LookUps!$B$4:$C$19,2)</f>
        <v>#N/A</v>
      </c>
      <c r="I104" s="248" t="str">
        <f>IFERROR(VLOOKUP($G104,LookUps!$B$4:$D$19,3),"")</f>
        <v/>
      </c>
      <c r="J104" s="141" t="str">
        <f t="shared" si="1"/>
        <v/>
      </c>
      <c r="K104" s="105"/>
      <c r="L104" s="120"/>
      <c r="M104" s="120"/>
      <c r="N104" s="230" t="str">
        <f>IF(OR($G104=1,$G104=2,$G104=3,$G104=4,$G104=5,$G104=6),'20k Cross Ref (SD)'!$BU103,"")</f>
        <v/>
      </c>
    </row>
    <row r="105" spans="2:14" s="30" customFormat="1" ht="20.399999999999999" x14ac:dyDescent="0.3">
      <c r="B105" s="127" t="s">
        <v>834</v>
      </c>
      <c r="C105" s="58">
        <v>101</v>
      </c>
      <c r="D105" s="376"/>
      <c r="E105" s="124" t="s">
        <v>988</v>
      </c>
      <c r="F105" s="124" t="s">
        <v>989</v>
      </c>
      <c r="G105" s="123"/>
      <c r="H105" s="138" t="e">
        <f>VLOOKUP($G105,LookUps!$B$4:$C$19,2)</f>
        <v>#N/A</v>
      </c>
      <c r="I105" s="248" t="str">
        <f>IFERROR(VLOOKUP($G105,LookUps!$B$4:$D$19,3),"")</f>
        <v/>
      </c>
      <c r="J105" s="141" t="str">
        <f t="shared" si="1"/>
        <v/>
      </c>
      <c r="K105" s="105"/>
      <c r="L105" s="120"/>
      <c r="M105" s="120"/>
      <c r="N105" s="230" t="str">
        <f>IF(OR($G105=1,$G105=2,$G105=3,$G105=4,$G105=5,$G105=6),'20k Cross Ref (SD)'!$BU104,"")</f>
        <v/>
      </c>
    </row>
    <row r="106" spans="2:14" s="30" customFormat="1" ht="20.399999999999999" x14ac:dyDescent="0.3">
      <c r="B106" s="127" t="s">
        <v>834</v>
      </c>
      <c r="C106" s="58">
        <v>102</v>
      </c>
      <c r="D106" s="376"/>
      <c r="E106" s="124" t="s">
        <v>990</v>
      </c>
      <c r="F106" s="124" t="s">
        <v>991</v>
      </c>
      <c r="G106" s="123"/>
      <c r="H106" s="138" t="e">
        <f>VLOOKUP($G106,LookUps!$B$4:$C$19,2)</f>
        <v>#N/A</v>
      </c>
      <c r="I106" s="248" t="str">
        <f>IFERROR(VLOOKUP($G106,LookUps!$B$4:$D$19,3),"")</f>
        <v/>
      </c>
      <c r="J106" s="141" t="str">
        <f t="shared" si="1"/>
        <v/>
      </c>
      <c r="K106" s="105"/>
      <c r="L106" s="120"/>
      <c r="M106" s="120"/>
      <c r="N106" s="230" t="str">
        <f>IF(OR($G106=1,$G106=2,$G106=3,$G106=4,$G106=5,$G106=6),'20k Cross Ref (SD)'!$BU105,"")</f>
        <v/>
      </c>
    </row>
    <row r="107" spans="2:14" s="30" customFormat="1" ht="20.399999999999999" x14ac:dyDescent="0.3">
      <c r="B107" s="127" t="s">
        <v>834</v>
      </c>
      <c r="C107" s="58">
        <v>103</v>
      </c>
      <c r="D107" s="376"/>
      <c r="E107" s="124" t="s">
        <v>992</v>
      </c>
      <c r="F107" s="124" t="s">
        <v>993</v>
      </c>
      <c r="G107" s="123"/>
      <c r="H107" s="138" t="e">
        <f>VLOOKUP($G107,LookUps!$B$4:$C$19,2)</f>
        <v>#N/A</v>
      </c>
      <c r="I107" s="248" t="str">
        <f>IFERROR(VLOOKUP($G107,LookUps!$B$4:$D$19,3),"")</f>
        <v/>
      </c>
      <c r="J107" s="141" t="str">
        <f t="shared" si="1"/>
        <v/>
      </c>
      <c r="K107" s="105"/>
      <c r="L107" s="120"/>
      <c r="M107" s="120"/>
      <c r="N107" s="230" t="str">
        <f>IF(OR($G107=1,$G107=2,$G107=3,$G107=4,$G107=5,$G107=6),'20k Cross Ref (SD)'!$BU106,"")</f>
        <v/>
      </c>
    </row>
    <row r="108" spans="2:14" s="30" customFormat="1" ht="20.399999999999999" x14ac:dyDescent="0.3">
      <c r="B108" s="127" t="s">
        <v>834</v>
      </c>
      <c r="C108" s="58">
        <v>104</v>
      </c>
      <c r="D108" s="377"/>
      <c r="E108" s="124" t="s">
        <v>994</v>
      </c>
      <c r="F108" s="124" t="s">
        <v>995</v>
      </c>
      <c r="G108" s="123"/>
      <c r="H108" s="138" t="e">
        <f>VLOOKUP($G108,LookUps!$B$4:$C$19,2)</f>
        <v>#N/A</v>
      </c>
      <c r="I108" s="248" t="str">
        <f>IFERROR(VLOOKUP($G108,LookUps!$B$4:$D$19,3),"")</f>
        <v/>
      </c>
      <c r="J108" s="141" t="str">
        <f t="shared" si="1"/>
        <v/>
      </c>
      <c r="K108" s="105"/>
      <c r="L108" s="120"/>
      <c r="M108" s="120"/>
      <c r="N108" s="230" t="str">
        <f>IF(OR($G108=1,$G108=2,$G108=3,$G108=4,$G108=5,$G108=6),'20k Cross Ref (SD)'!$BU107,"")</f>
        <v/>
      </c>
    </row>
    <row r="109" spans="2:14" s="30" customFormat="1" ht="20.399999999999999" x14ac:dyDescent="0.3">
      <c r="B109" s="127" t="s">
        <v>834</v>
      </c>
      <c r="C109" s="58">
        <v>105</v>
      </c>
      <c r="D109" s="375" t="s">
        <v>696</v>
      </c>
      <c r="E109" s="113" t="s">
        <v>845</v>
      </c>
      <c r="F109" s="113" t="s">
        <v>845</v>
      </c>
      <c r="G109" s="249" t="str">
        <f>IFERROR(TRUNC(AVERAGE($G110:$G119),2), "")</f>
        <v/>
      </c>
      <c r="H109" s="247"/>
      <c r="I109" s="248" t="str">
        <f>IFERROR(VLOOKUP($G109,LookUps!$B$4:$D$19,3),"")</f>
        <v/>
      </c>
      <c r="J109" s="141"/>
      <c r="K109" s="250"/>
      <c r="L109" s="250"/>
      <c r="M109" s="250"/>
      <c r="N109" s="250"/>
    </row>
    <row r="110" spans="2:14" s="30" customFormat="1" ht="20.399999999999999" x14ac:dyDescent="0.3">
      <c r="B110" s="127" t="s">
        <v>834</v>
      </c>
      <c r="C110" s="58">
        <v>106</v>
      </c>
      <c r="D110" s="376"/>
      <c r="E110" s="124" t="s">
        <v>996</v>
      </c>
      <c r="F110" s="124" t="s">
        <v>997</v>
      </c>
      <c r="G110" s="123"/>
      <c r="H110" s="138" t="e">
        <f>VLOOKUP($G110,LookUps!$B$4:$C$19,2)</f>
        <v>#N/A</v>
      </c>
      <c r="I110" s="248" t="str">
        <f>IFERROR(VLOOKUP($G110,LookUps!$B$4:$D$19,3),"")</f>
        <v/>
      </c>
      <c r="J110" s="141" t="str">
        <f t="shared" si="1"/>
        <v/>
      </c>
      <c r="K110" s="105"/>
      <c r="L110" s="120"/>
      <c r="M110" s="120"/>
      <c r="N110" s="230" t="str">
        <f>IF(OR($G110=1,$G110=2,$G110=3,$G110=4,$G110=5,$G110=6),'20k Cross Ref (SD)'!$BU109,"")</f>
        <v/>
      </c>
    </row>
    <row r="111" spans="2:14" s="30" customFormat="1" ht="20.399999999999999" x14ac:dyDescent="0.3">
      <c r="B111" s="127" t="s">
        <v>834</v>
      </c>
      <c r="C111" s="58">
        <v>107</v>
      </c>
      <c r="D111" s="376"/>
      <c r="E111" s="124" t="s">
        <v>998</v>
      </c>
      <c r="F111" s="124" t="s">
        <v>999</v>
      </c>
      <c r="G111" s="123"/>
      <c r="H111" s="138" t="e">
        <f>VLOOKUP($G111,LookUps!$B$4:$C$19,2)</f>
        <v>#N/A</v>
      </c>
      <c r="I111" s="248" t="str">
        <f>IFERROR(VLOOKUP($G111,LookUps!$B$4:$D$19,3),"")</f>
        <v/>
      </c>
      <c r="J111" s="141" t="str">
        <f t="shared" si="1"/>
        <v/>
      </c>
      <c r="K111" s="105"/>
      <c r="L111" s="120"/>
      <c r="M111" s="120"/>
      <c r="N111" s="230" t="str">
        <f>IF(OR($G111=1,$G111=2,$G111=3,$G111=4,$G111=5,$G111=6),'20k Cross Ref (SD)'!$BU110,"")</f>
        <v/>
      </c>
    </row>
    <row r="112" spans="2:14" s="30" customFormat="1" ht="20.399999999999999" x14ac:dyDescent="0.3">
      <c r="B112" s="127" t="s">
        <v>834</v>
      </c>
      <c r="C112" s="58">
        <v>108</v>
      </c>
      <c r="D112" s="376"/>
      <c r="E112" s="124" t="s">
        <v>1000</v>
      </c>
      <c r="F112" s="124" t="s">
        <v>1001</v>
      </c>
      <c r="G112" s="123"/>
      <c r="H112" s="138" t="e">
        <f>VLOOKUP($G112,LookUps!$B$4:$C$19,2)</f>
        <v>#N/A</v>
      </c>
      <c r="I112" s="248" t="str">
        <f>IFERROR(VLOOKUP($G112,LookUps!$B$4:$D$19,3),"")</f>
        <v/>
      </c>
      <c r="J112" s="141" t="str">
        <f t="shared" si="1"/>
        <v/>
      </c>
      <c r="K112" s="105"/>
      <c r="L112" s="120"/>
      <c r="M112" s="120"/>
      <c r="N112" s="230" t="str">
        <f>IF(OR($G112=1,$G112=2,$G112=3,$G112=4,$G112=5,$G112=6),'20k Cross Ref (SD)'!$BU111,"")</f>
        <v/>
      </c>
    </row>
    <row r="113" spans="2:14" s="30" customFormat="1" ht="20.399999999999999" x14ac:dyDescent="0.3">
      <c r="B113" s="127" t="s">
        <v>834</v>
      </c>
      <c r="C113" s="58">
        <v>109</v>
      </c>
      <c r="D113" s="376"/>
      <c r="E113" s="124" t="s">
        <v>1002</v>
      </c>
      <c r="F113" s="124" t="s">
        <v>1003</v>
      </c>
      <c r="G113" s="123"/>
      <c r="H113" s="138" t="e">
        <f>VLOOKUP($G113,LookUps!$B$4:$C$19,2)</f>
        <v>#N/A</v>
      </c>
      <c r="I113" s="248" t="str">
        <f>IFERROR(VLOOKUP($G113,LookUps!$B$4:$D$19,3),"")</f>
        <v/>
      </c>
      <c r="J113" s="141" t="str">
        <f t="shared" si="1"/>
        <v/>
      </c>
      <c r="K113" s="105"/>
      <c r="L113" s="120"/>
      <c r="M113" s="120"/>
      <c r="N113" s="230" t="str">
        <f>IF(OR($G113=1,$G113=2,$G113=3,$G113=4,$G113=5,$G113=6),'20k Cross Ref (SD)'!$BU112,"")</f>
        <v/>
      </c>
    </row>
    <row r="114" spans="2:14" s="30" customFormat="1" ht="20.399999999999999" x14ac:dyDescent="0.3">
      <c r="B114" s="127" t="s">
        <v>834</v>
      </c>
      <c r="C114" s="58">
        <v>110</v>
      </c>
      <c r="D114" s="376"/>
      <c r="E114" s="124" t="s">
        <v>1004</v>
      </c>
      <c r="F114" s="124" t="s">
        <v>1005</v>
      </c>
      <c r="G114" s="123"/>
      <c r="H114" s="138" t="e">
        <f>VLOOKUP($G114,LookUps!$B$4:$C$19,2)</f>
        <v>#N/A</v>
      </c>
      <c r="I114" s="248" t="str">
        <f>IFERROR(VLOOKUP($G114,LookUps!$B$4:$D$19,3),"")</f>
        <v/>
      </c>
      <c r="J114" s="141" t="str">
        <f t="shared" si="1"/>
        <v/>
      </c>
      <c r="K114" s="105"/>
      <c r="L114" s="120"/>
      <c r="M114" s="120"/>
      <c r="N114" s="230" t="str">
        <f>IF(OR($G114=1,$G114=2,$G114=3,$G114=4,$G114=5,$G114=6),'20k Cross Ref (SD)'!$BU113,"")</f>
        <v/>
      </c>
    </row>
    <row r="115" spans="2:14" s="30" customFormat="1" ht="20.399999999999999" x14ac:dyDescent="0.3">
      <c r="B115" s="127" t="s">
        <v>834</v>
      </c>
      <c r="C115" s="58">
        <v>111</v>
      </c>
      <c r="D115" s="376"/>
      <c r="E115" s="124" t="s">
        <v>1006</v>
      </c>
      <c r="F115" s="124" t="s">
        <v>1008</v>
      </c>
      <c r="G115" s="123"/>
      <c r="H115" s="138" t="e">
        <f>VLOOKUP($G115,LookUps!$B$4:$C$19,2)</f>
        <v>#N/A</v>
      </c>
      <c r="I115" s="248" t="str">
        <f>IFERROR(VLOOKUP($G115,LookUps!$B$4:$D$19,3),"")</f>
        <v/>
      </c>
      <c r="J115" s="141" t="str">
        <f t="shared" si="1"/>
        <v/>
      </c>
      <c r="K115" s="105"/>
      <c r="L115" s="120"/>
      <c r="M115" s="120"/>
      <c r="N115" s="230" t="str">
        <f>IF(OR($G115=1,$G115=2,$G115=3,$G115=4,$G115=5,$G115=6),'20k Cross Ref (SD)'!$BU114,"")</f>
        <v/>
      </c>
    </row>
    <row r="116" spans="2:14" s="30" customFormat="1" ht="20.399999999999999" x14ac:dyDescent="0.3">
      <c r="B116" s="127" t="s">
        <v>834</v>
      </c>
      <c r="C116" s="58">
        <v>112</v>
      </c>
      <c r="D116" s="376"/>
      <c r="E116" s="124" t="s">
        <v>1009</v>
      </c>
      <c r="F116" s="124" t="s">
        <v>1007</v>
      </c>
      <c r="G116" s="123"/>
      <c r="H116" s="138" t="e">
        <f>VLOOKUP($G116,LookUps!$B$4:$C$19,2)</f>
        <v>#N/A</v>
      </c>
      <c r="I116" s="248" t="str">
        <f>IFERROR(VLOOKUP($G116,LookUps!$B$4:$D$19,3),"")</f>
        <v/>
      </c>
      <c r="J116" s="141" t="str">
        <f t="shared" si="1"/>
        <v/>
      </c>
      <c r="K116" s="105"/>
      <c r="L116" s="120"/>
      <c r="M116" s="120"/>
      <c r="N116" s="230" t="str">
        <f>IF(OR($G116=1,$G116=2,$G116=3,$G116=4,$G116=5,$G116=6),'20k Cross Ref (SD)'!$BU115,"")</f>
        <v/>
      </c>
    </row>
    <row r="117" spans="2:14" s="30" customFormat="1" ht="20.399999999999999" x14ac:dyDescent="0.3">
      <c r="B117" s="127" t="s">
        <v>834</v>
      </c>
      <c r="C117" s="58">
        <v>113</v>
      </c>
      <c r="D117" s="376"/>
      <c r="E117" s="124" t="s">
        <v>1010</v>
      </c>
      <c r="F117" s="124" t="s">
        <v>1011</v>
      </c>
      <c r="G117" s="123"/>
      <c r="H117" s="138" t="e">
        <f>VLOOKUP($G117,LookUps!$B$4:$C$19,2)</f>
        <v>#N/A</v>
      </c>
      <c r="I117" s="248" t="str">
        <f>IFERROR(VLOOKUP($G117,LookUps!$B$4:$D$19,3),"")</f>
        <v/>
      </c>
      <c r="J117" s="141" t="str">
        <f t="shared" si="1"/>
        <v/>
      </c>
      <c r="K117" s="105"/>
      <c r="L117" s="120"/>
      <c r="M117" s="120"/>
      <c r="N117" s="230" t="str">
        <f>IF(OR($G117=1,$G117=2,$G117=3,$G117=4,$G117=5,$G117=6),'20k Cross Ref (SD)'!$BU116,"")</f>
        <v/>
      </c>
    </row>
    <row r="118" spans="2:14" s="30" customFormat="1" ht="20.399999999999999" x14ac:dyDescent="0.3">
      <c r="B118" s="127" t="s">
        <v>834</v>
      </c>
      <c r="C118" s="58">
        <v>114</v>
      </c>
      <c r="D118" s="376"/>
      <c r="E118" s="124" t="s">
        <v>1012</v>
      </c>
      <c r="F118" s="124" t="s">
        <v>1013</v>
      </c>
      <c r="G118" s="123"/>
      <c r="H118" s="138" t="e">
        <f>VLOOKUP($G118,LookUps!$B$4:$C$19,2)</f>
        <v>#N/A</v>
      </c>
      <c r="I118" s="248" t="str">
        <f>IFERROR(VLOOKUP($G118,LookUps!$B$4:$D$19,3),"")</f>
        <v/>
      </c>
      <c r="J118" s="141" t="str">
        <f t="shared" si="1"/>
        <v/>
      </c>
      <c r="K118" s="105"/>
      <c r="L118" s="120"/>
      <c r="M118" s="120"/>
      <c r="N118" s="230" t="str">
        <f>IF(OR($G118=1,$G118=2,$G118=3,$G118=4,$G118=5,$G118=6),'20k Cross Ref (SD)'!$BU117,"")</f>
        <v/>
      </c>
    </row>
    <row r="119" spans="2:14" s="30" customFormat="1" ht="20.399999999999999" x14ac:dyDescent="0.3">
      <c r="B119" s="127" t="s">
        <v>834</v>
      </c>
      <c r="C119" s="58">
        <v>115</v>
      </c>
      <c r="D119" s="377"/>
      <c r="E119" s="124" t="s">
        <v>1014</v>
      </c>
      <c r="F119" s="124" t="s">
        <v>1015</v>
      </c>
      <c r="G119" s="123"/>
      <c r="H119" s="138" t="e">
        <f>VLOOKUP($G119,LookUps!$B$4:$C$19,2)</f>
        <v>#N/A</v>
      </c>
      <c r="I119" s="248" t="str">
        <f>IFERROR(VLOOKUP($G119,LookUps!$B$4:$D$19,3),"")</f>
        <v/>
      </c>
      <c r="J119" s="141" t="str">
        <f t="shared" si="1"/>
        <v/>
      </c>
      <c r="K119" s="105"/>
      <c r="L119" s="120"/>
      <c r="M119" s="120"/>
      <c r="N119" s="230" t="str">
        <f>IF(OR($G119=1,$G119=2,$G119=3,$G119=4,$G119=5,$G119=6),'20k Cross Ref (SD)'!$BU118,"")</f>
        <v/>
      </c>
    </row>
    <row r="120" spans="2:14" s="30" customFormat="1" ht="20.399999999999999" x14ac:dyDescent="0.3">
      <c r="B120" s="127" t="s">
        <v>834</v>
      </c>
      <c r="C120" s="58">
        <v>116</v>
      </c>
      <c r="D120" s="375" t="s">
        <v>697</v>
      </c>
      <c r="E120" s="113" t="s">
        <v>845</v>
      </c>
      <c r="F120" s="113" t="s">
        <v>845</v>
      </c>
      <c r="G120" s="249" t="str">
        <f>IFERROR(TRUNC(AVERAGE($G121:$G122),2), "")</f>
        <v/>
      </c>
      <c r="H120" s="247"/>
      <c r="I120" s="248" t="str">
        <f>IFERROR(VLOOKUP($G120,LookUps!$B$4:$D$19,3),"")</f>
        <v/>
      </c>
      <c r="J120" s="141"/>
      <c r="K120" s="250"/>
      <c r="L120" s="250"/>
      <c r="M120" s="250"/>
      <c r="N120" s="250"/>
    </row>
    <row r="121" spans="2:14" s="30" customFormat="1" ht="20.399999999999999" x14ac:dyDescent="0.3">
      <c r="B121" s="127" t="s">
        <v>834</v>
      </c>
      <c r="C121" s="58">
        <v>117</v>
      </c>
      <c r="D121" s="376"/>
      <c r="E121" s="124" t="s">
        <v>1016</v>
      </c>
      <c r="F121" s="124" t="s">
        <v>1017</v>
      </c>
      <c r="G121" s="123"/>
      <c r="H121" s="138" t="e">
        <f>VLOOKUP($G121,LookUps!$B$4:$C$19,2)</f>
        <v>#N/A</v>
      </c>
      <c r="I121" s="248" t="str">
        <f>IFERROR(VLOOKUP($G121,LookUps!$B$4:$D$19,3),"")</f>
        <v/>
      </c>
      <c r="J121" s="141" t="str">
        <f t="shared" si="1"/>
        <v/>
      </c>
      <c r="K121" s="105"/>
      <c r="L121" s="120"/>
      <c r="M121" s="120"/>
      <c r="N121" s="230" t="str">
        <f>IF(OR($G121=1,$G121=2,$G121=3,$G121=4,$G121=5,$G121=6),'20k Cross Ref (SD)'!$BU120,"")</f>
        <v/>
      </c>
    </row>
    <row r="122" spans="2:14" s="30" customFormat="1" ht="20.399999999999999" x14ac:dyDescent="0.3">
      <c r="B122" s="127" t="s">
        <v>834</v>
      </c>
      <c r="C122" s="58">
        <v>118</v>
      </c>
      <c r="D122" s="377"/>
      <c r="E122" s="124" t="s">
        <v>1018</v>
      </c>
      <c r="F122" s="124" t="s">
        <v>1019</v>
      </c>
      <c r="G122" s="123"/>
      <c r="H122" s="138" t="e">
        <f>VLOOKUP($G122,LookUps!$B$4:$C$19,2)</f>
        <v>#N/A</v>
      </c>
      <c r="I122" s="248" t="str">
        <f>IFERROR(VLOOKUP($G122,LookUps!$B$4:$D$19,3),"")</f>
        <v/>
      </c>
      <c r="J122" s="141" t="str">
        <f t="shared" si="1"/>
        <v/>
      </c>
      <c r="K122" s="105"/>
      <c r="L122" s="120"/>
      <c r="M122" s="120"/>
      <c r="N122" s="230" t="str">
        <f>IF(OR($G122=1,$G122=2,$G122=3,$G122=4,$G122=5,$G122=6),'20k Cross Ref (SD)'!$BU121,"")</f>
        <v/>
      </c>
    </row>
    <row r="123" spans="2:14" s="30" customFormat="1" ht="20.399999999999999" x14ac:dyDescent="0.3">
      <c r="B123" s="127" t="s">
        <v>834</v>
      </c>
      <c r="C123" s="58">
        <v>119</v>
      </c>
      <c r="D123" s="375" t="s">
        <v>698</v>
      </c>
      <c r="E123" s="113" t="s">
        <v>845</v>
      </c>
      <c r="F123" s="113" t="s">
        <v>845</v>
      </c>
      <c r="G123" s="249" t="str">
        <f>IFERROR(TRUNC(AVERAGE($G124:$G126),2), "")</f>
        <v/>
      </c>
      <c r="H123" s="247"/>
      <c r="I123" s="248" t="str">
        <f>IFERROR(VLOOKUP($G123,LookUps!$B$4:$D$19,3),"")</f>
        <v/>
      </c>
      <c r="J123" s="141"/>
      <c r="K123" s="250"/>
      <c r="L123" s="250"/>
      <c r="M123" s="250"/>
      <c r="N123" s="250"/>
    </row>
    <row r="124" spans="2:14" s="30" customFormat="1" ht="20.399999999999999" x14ac:dyDescent="0.3">
      <c r="B124" s="127" t="s">
        <v>834</v>
      </c>
      <c r="C124" s="58">
        <v>120</v>
      </c>
      <c r="D124" s="376"/>
      <c r="E124" s="124" t="s">
        <v>1020</v>
      </c>
      <c r="F124" s="124" t="s">
        <v>1021</v>
      </c>
      <c r="G124" s="123"/>
      <c r="H124" s="138" t="e">
        <f>VLOOKUP($G124,LookUps!$B$4:$C$19,2)</f>
        <v>#N/A</v>
      </c>
      <c r="I124" s="248" t="str">
        <f>IFERROR(VLOOKUP($G124,LookUps!$B$4:$D$19,3),"")</f>
        <v/>
      </c>
      <c r="J124" s="141" t="str">
        <f t="shared" si="1"/>
        <v/>
      </c>
      <c r="K124" s="105"/>
      <c r="L124" s="120"/>
      <c r="M124" s="120"/>
      <c r="N124" s="230" t="str">
        <f>IF(OR($G124=1,$G124=2,$G124=3,$G124=4,$G124=5,$G124=6),'20k Cross Ref (SD)'!$BU123,"")</f>
        <v/>
      </c>
    </row>
    <row r="125" spans="2:14" s="30" customFormat="1" ht="20.399999999999999" x14ac:dyDescent="0.3">
      <c r="B125" s="127" t="s">
        <v>834</v>
      </c>
      <c r="C125" s="58">
        <v>121</v>
      </c>
      <c r="D125" s="376"/>
      <c r="E125" s="124" t="s">
        <v>1022</v>
      </c>
      <c r="F125" s="124" t="s">
        <v>1023</v>
      </c>
      <c r="G125" s="123"/>
      <c r="H125" s="138" t="e">
        <f>VLOOKUP($G125,LookUps!$B$4:$C$19,2)</f>
        <v>#N/A</v>
      </c>
      <c r="I125" s="248" t="str">
        <f>IFERROR(VLOOKUP($G125,LookUps!$B$4:$D$19,3),"")</f>
        <v/>
      </c>
      <c r="J125" s="141" t="str">
        <f t="shared" si="1"/>
        <v/>
      </c>
      <c r="K125" s="105"/>
      <c r="L125" s="120"/>
      <c r="M125" s="120"/>
      <c r="N125" s="230" t="str">
        <f>IF(OR($G125=1,$G125=2,$G125=3,$G125=4,$G125=5,$G125=6),'20k Cross Ref (SD)'!$BU124,"")</f>
        <v/>
      </c>
    </row>
    <row r="126" spans="2:14" s="30" customFormat="1" ht="20.399999999999999" x14ac:dyDescent="0.3">
      <c r="B126" s="127" t="s">
        <v>834</v>
      </c>
      <c r="C126" s="58">
        <v>122</v>
      </c>
      <c r="D126" s="377"/>
      <c r="E126" s="124" t="s">
        <v>1024</v>
      </c>
      <c r="F126" s="124" t="s">
        <v>1025</v>
      </c>
      <c r="G126" s="123"/>
      <c r="H126" s="138" t="e">
        <f>VLOOKUP($G126,LookUps!$B$4:$C$19,2)</f>
        <v>#N/A</v>
      </c>
      <c r="I126" s="248" t="str">
        <f>IFERROR(VLOOKUP($G126,LookUps!$B$4:$D$19,3),"")</f>
        <v/>
      </c>
      <c r="J126" s="141" t="str">
        <f t="shared" si="1"/>
        <v/>
      </c>
      <c r="K126" s="105"/>
      <c r="L126" s="120"/>
      <c r="M126" s="120"/>
      <c r="N126" s="230" t="str">
        <f>IF(OR($G126=1,$G126=2,$G126=3,$G126=4,$G126=5,$G126=6),'20k Cross Ref (SD)'!$BU125,"")</f>
        <v/>
      </c>
    </row>
    <row r="127" spans="2:14" s="30" customFormat="1" ht="20.399999999999999" x14ac:dyDescent="0.3">
      <c r="B127" s="127" t="s">
        <v>834</v>
      </c>
      <c r="C127" s="58">
        <v>123</v>
      </c>
      <c r="D127" s="375" t="s">
        <v>699</v>
      </c>
      <c r="E127" s="113" t="s">
        <v>845</v>
      </c>
      <c r="F127" s="113" t="s">
        <v>845</v>
      </c>
      <c r="G127" s="249" t="str">
        <f>IFERROR(TRUNC(AVERAGE($G128:$G130),2), "")</f>
        <v/>
      </c>
      <c r="H127" s="247"/>
      <c r="I127" s="248" t="str">
        <f>IFERROR(VLOOKUP($G127,LookUps!$B$4:$D$19,3),"")</f>
        <v/>
      </c>
      <c r="J127" s="141"/>
      <c r="K127" s="250"/>
      <c r="L127" s="250"/>
      <c r="M127" s="250"/>
      <c r="N127" s="250" t="str">
        <f>IF(OR($G127=1,$G127=2,$G127=3,$G127=4,$G127=5,$G127=6),'20k Cross Ref (SD)'!$BU126,"")</f>
        <v/>
      </c>
    </row>
    <row r="128" spans="2:14" s="30" customFormat="1" ht="20.399999999999999" x14ac:dyDescent="0.3">
      <c r="B128" s="127" t="s">
        <v>834</v>
      </c>
      <c r="C128" s="58">
        <v>124</v>
      </c>
      <c r="D128" s="376"/>
      <c r="E128" s="124" t="s">
        <v>1026</v>
      </c>
      <c r="F128" s="124" t="s">
        <v>1027</v>
      </c>
      <c r="G128" s="123"/>
      <c r="H128" s="138" t="e">
        <f>VLOOKUP($G128,LookUps!$B$4:$C$19,2)</f>
        <v>#N/A</v>
      </c>
      <c r="I128" s="248" t="str">
        <f>IFERROR(VLOOKUP($G128,LookUps!$B$4:$D$19,3),"")</f>
        <v/>
      </c>
      <c r="J128" s="141" t="str">
        <f t="shared" si="1"/>
        <v/>
      </c>
      <c r="K128" s="105"/>
      <c r="L128" s="120"/>
      <c r="M128" s="120"/>
      <c r="N128" s="230" t="str">
        <f>IF(OR($G128=1,$G128=2,$G128=3,$G128=4,$G128=5,$G128=6),'20k Cross Ref (SD)'!$BU127,"")</f>
        <v/>
      </c>
    </row>
    <row r="129" spans="2:14" s="30" customFormat="1" ht="20.399999999999999" x14ac:dyDescent="0.3">
      <c r="B129" s="127" t="s">
        <v>834</v>
      </c>
      <c r="C129" s="58">
        <v>125</v>
      </c>
      <c r="D129" s="376"/>
      <c r="E129" s="124" t="s">
        <v>1028</v>
      </c>
      <c r="F129" s="124" t="s">
        <v>1029</v>
      </c>
      <c r="G129" s="123"/>
      <c r="H129" s="138" t="e">
        <f>VLOOKUP($G129,LookUps!$B$4:$C$19,2)</f>
        <v>#N/A</v>
      </c>
      <c r="I129" s="248" t="str">
        <f>IFERROR(VLOOKUP($G129,LookUps!$B$4:$D$19,3),"")</f>
        <v/>
      </c>
      <c r="J129" s="141" t="str">
        <f t="shared" si="1"/>
        <v/>
      </c>
      <c r="K129" s="105"/>
      <c r="L129" s="120"/>
      <c r="M129" s="120"/>
      <c r="N129" s="230" t="str">
        <f>IF(OR($G129=1,$G129=2,$G129=3,$G129=4,$G129=5,$G129=6),'20k Cross Ref (SD)'!$BU128,"")</f>
        <v/>
      </c>
    </row>
    <row r="130" spans="2:14" s="30" customFormat="1" ht="30.6" x14ac:dyDescent="0.3">
      <c r="B130" s="127" t="s">
        <v>834</v>
      </c>
      <c r="C130" s="58">
        <v>126</v>
      </c>
      <c r="D130" s="377"/>
      <c r="E130" s="124" t="s">
        <v>1030</v>
      </c>
      <c r="F130" s="124" t="s">
        <v>1031</v>
      </c>
      <c r="G130" s="123"/>
      <c r="H130" s="138" t="e">
        <f>VLOOKUP($G130,LookUps!$B$4:$C$19,2)</f>
        <v>#N/A</v>
      </c>
      <c r="I130" s="248" t="str">
        <f>IFERROR(VLOOKUP($G130,LookUps!$B$4:$D$19,3),"")</f>
        <v/>
      </c>
      <c r="J130" s="141" t="str">
        <f t="shared" si="1"/>
        <v/>
      </c>
      <c r="K130" s="105"/>
      <c r="L130" s="120"/>
      <c r="M130" s="120"/>
      <c r="N130" s="230" t="str">
        <f>IF(OR($G130=1,$G130=2,$G130=3,$G130=4,$G130=5,$G130=6),'20k Cross Ref (SD)'!$BU129,"")</f>
        <v/>
      </c>
    </row>
    <row r="131" spans="2:14" s="30" customFormat="1" ht="20.399999999999999" x14ac:dyDescent="0.3">
      <c r="B131" s="127" t="s">
        <v>834</v>
      </c>
      <c r="C131" s="58">
        <v>127</v>
      </c>
      <c r="D131" s="375" t="s">
        <v>700</v>
      </c>
      <c r="E131" s="113" t="s">
        <v>845</v>
      </c>
      <c r="F131" s="113" t="s">
        <v>845</v>
      </c>
      <c r="G131" s="249" t="str">
        <f>IFERROR(TRUNC(AVERAGE($G132:$G133),2), "")</f>
        <v/>
      </c>
      <c r="H131" s="247"/>
      <c r="I131" s="248" t="str">
        <f>IFERROR(VLOOKUP($G131,LookUps!$B$4:$D$19,3),"")</f>
        <v/>
      </c>
      <c r="J131" s="141"/>
      <c r="K131" s="250"/>
      <c r="L131" s="250"/>
      <c r="M131" s="250"/>
      <c r="N131" s="250"/>
    </row>
    <row r="132" spans="2:14" s="30" customFormat="1" ht="20.399999999999999" x14ac:dyDescent="0.3">
      <c r="B132" s="127" t="s">
        <v>834</v>
      </c>
      <c r="C132" s="58">
        <v>128</v>
      </c>
      <c r="D132" s="376"/>
      <c r="E132" s="124" t="s">
        <v>1032</v>
      </c>
      <c r="F132" s="124" t="s">
        <v>1033</v>
      </c>
      <c r="G132" s="123"/>
      <c r="H132" s="138" t="e">
        <f>VLOOKUP($G132,LookUps!$B$4:$C$19,2)</f>
        <v>#N/A</v>
      </c>
      <c r="I132" s="248" t="str">
        <f>IFERROR(VLOOKUP($G132,LookUps!$B$4:$D$19,3),"")</f>
        <v/>
      </c>
      <c r="J132" s="141" t="str">
        <f t="shared" si="1"/>
        <v/>
      </c>
      <c r="K132" s="105"/>
      <c r="L132" s="120"/>
      <c r="M132" s="120"/>
      <c r="N132" s="230" t="str">
        <f>IF(OR($G132=1,$G132=2,$G132=3,$G132=4,$G132=5,$G132=6),'20k Cross Ref (SD)'!$BU131,"")</f>
        <v/>
      </c>
    </row>
    <row r="133" spans="2:14" s="30" customFormat="1" ht="20.399999999999999" x14ac:dyDescent="0.3">
      <c r="B133" s="127" t="s">
        <v>834</v>
      </c>
      <c r="C133" s="58">
        <v>129</v>
      </c>
      <c r="D133" s="377"/>
      <c r="E133" s="124" t="s">
        <v>1034</v>
      </c>
      <c r="F133" s="124" t="s">
        <v>1035</v>
      </c>
      <c r="G133" s="123"/>
      <c r="H133" s="138" t="e">
        <f>VLOOKUP($G133,LookUps!$B$4:$C$19,2)</f>
        <v>#N/A</v>
      </c>
      <c r="I133" s="248" t="str">
        <f>IFERROR(VLOOKUP($G133,LookUps!$B$4:$D$19,3),"")</f>
        <v/>
      </c>
      <c r="J133" s="141" t="str">
        <f t="shared" si="1"/>
        <v/>
      </c>
      <c r="K133" s="105"/>
      <c r="L133" s="120"/>
      <c r="M133" s="120"/>
      <c r="N133" s="230" t="str">
        <f>IF(OR($G133=1,$G133=2,$G133=3,$G133=4,$G133=5,$G133=6),'20k Cross Ref (SD)'!$BU132,"")</f>
        <v/>
      </c>
    </row>
    <row r="134" spans="2:14" s="30" customFormat="1" ht="20.399999999999999" x14ac:dyDescent="0.3">
      <c r="B134" s="127" t="s">
        <v>834</v>
      </c>
      <c r="C134" s="58">
        <v>130</v>
      </c>
      <c r="D134" s="375" t="s">
        <v>702</v>
      </c>
      <c r="E134" s="113" t="s">
        <v>845</v>
      </c>
      <c r="F134" s="113" t="s">
        <v>845</v>
      </c>
      <c r="G134" s="249" t="str">
        <f>IFERROR(TRUNC(AVERAGE($G135:$G138),2), "")</f>
        <v/>
      </c>
      <c r="H134" s="247"/>
      <c r="I134" s="248" t="str">
        <f>IFERROR(VLOOKUP($G134,LookUps!$B$4:$D$19,3),"")</f>
        <v/>
      </c>
      <c r="J134" s="141"/>
      <c r="K134" s="250"/>
      <c r="L134" s="250"/>
      <c r="M134" s="250"/>
      <c r="N134" s="250"/>
    </row>
    <row r="135" spans="2:14" s="30" customFormat="1" ht="20.399999999999999" x14ac:dyDescent="0.3">
      <c r="B135" s="127" t="s">
        <v>834</v>
      </c>
      <c r="C135" s="58">
        <v>131</v>
      </c>
      <c r="D135" s="376"/>
      <c r="E135" s="124" t="s">
        <v>1036</v>
      </c>
      <c r="F135" s="124" t="s">
        <v>1037</v>
      </c>
      <c r="G135" s="123"/>
      <c r="H135" s="138" t="e">
        <f>VLOOKUP($G135,LookUps!$B$4:$C$19,2)</f>
        <v>#N/A</v>
      </c>
      <c r="I135" s="248" t="str">
        <f>IFERROR(VLOOKUP($G135,LookUps!$B$4:$D$19,3),"")</f>
        <v/>
      </c>
      <c r="J135" s="141" t="str">
        <f t="shared" si="1"/>
        <v/>
      </c>
      <c r="K135" s="105"/>
      <c r="L135" s="120"/>
      <c r="M135" s="120"/>
      <c r="N135" s="230" t="str">
        <f>IF(OR($G135=1,$G135=2,$G135=3,$G135=4,$G135=5,$G135=6),'20k Cross Ref (SD)'!$BU134,"")</f>
        <v/>
      </c>
    </row>
    <row r="136" spans="2:14" s="30" customFormat="1" ht="20.399999999999999" x14ac:dyDescent="0.3">
      <c r="B136" s="127" t="s">
        <v>834</v>
      </c>
      <c r="C136" s="58">
        <v>132</v>
      </c>
      <c r="D136" s="376"/>
      <c r="E136" s="124" t="s">
        <v>895</v>
      </c>
      <c r="F136" s="124" t="s">
        <v>896</v>
      </c>
      <c r="G136" s="123"/>
      <c r="H136" s="138" t="e">
        <f>VLOOKUP($G136,LookUps!$B$4:$C$19,2)</f>
        <v>#N/A</v>
      </c>
      <c r="I136" s="248" t="str">
        <f>IFERROR(VLOOKUP($G136,LookUps!$B$4:$D$19,3),"")</f>
        <v/>
      </c>
      <c r="J136" s="141" t="str">
        <f t="shared" si="1"/>
        <v/>
      </c>
      <c r="K136" s="105"/>
      <c r="L136" s="120"/>
      <c r="M136" s="120"/>
      <c r="N136" s="230" t="str">
        <f>IF(OR($G136=1,$G136=2,$G136=3,$G136=4,$G136=5,$G136=6),'20k Cross Ref (SD)'!$BU135,"")</f>
        <v/>
      </c>
    </row>
    <row r="137" spans="2:14" s="30" customFormat="1" ht="20.399999999999999" x14ac:dyDescent="0.3">
      <c r="B137" s="127" t="s">
        <v>834</v>
      </c>
      <c r="C137" s="58">
        <v>133</v>
      </c>
      <c r="D137" s="376"/>
      <c r="E137" s="124" t="s">
        <v>1038</v>
      </c>
      <c r="F137" s="124" t="s">
        <v>1039</v>
      </c>
      <c r="G137" s="123"/>
      <c r="H137" s="138" t="e">
        <f>VLOOKUP($G137,LookUps!$B$4:$C$19,2)</f>
        <v>#N/A</v>
      </c>
      <c r="I137" s="248" t="str">
        <f>IFERROR(VLOOKUP($G137,LookUps!$B$4:$D$19,3),"")</f>
        <v/>
      </c>
      <c r="J137" s="141" t="str">
        <f t="shared" si="1"/>
        <v/>
      </c>
      <c r="K137" s="105"/>
      <c r="L137" s="120"/>
      <c r="M137" s="120"/>
      <c r="N137" s="230" t="str">
        <f>IF(OR($G137=1,$G137=2,$G137=3,$G137=4,$G137=5,$G137=6),'20k Cross Ref (SD)'!$BU136,"")</f>
        <v/>
      </c>
    </row>
    <row r="138" spans="2:14" s="30" customFormat="1" ht="20.399999999999999" x14ac:dyDescent="0.3">
      <c r="B138" s="127" t="s">
        <v>834</v>
      </c>
      <c r="C138" s="58">
        <v>134</v>
      </c>
      <c r="D138" s="377"/>
      <c r="E138" s="124" t="s">
        <v>1040</v>
      </c>
      <c r="F138" s="124" t="s">
        <v>1041</v>
      </c>
      <c r="G138" s="123"/>
      <c r="H138" s="138" t="e">
        <f>VLOOKUP($G138,LookUps!$B$4:$C$19,2)</f>
        <v>#N/A</v>
      </c>
      <c r="I138" s="248" t="str">
        <f>IFERROR(VLOOKUP($G138,LookUps!$B$4:$D$19,3),"")</f>
        <v/>
      </c>
      <c r="J138" s="141" t="str">
        <f t="shared" si="1"/>
        <v/>
      </c>
      <c r="K138" s="105"/>
      <c r="L138" s="120"/>
      <c r="M138" s="120"/>
      <c r="N138" s="230" t="str">
        <f>IF(OR($G138=1,$G138=2,$G138=3,$G138=4,$G138=5,$G138=6),'20k Cross Ref (SD)'!$BU137,"")</f>
        <v/>
      </c>
    </row>
    <row r="139" spans="2:14" s="30" customFormat="1" ht="22.5" customHeight="1" x14ac:dyDescent="0.3">
      <c r="B139" s="127" t="s">
        <v>837</v>
      </c>
      <c r="C139" s="58">
        <v>135</v>
      </c>
      <c r="D139" s="375" t="s">
        <v>1080</v>
      </c>
      <c r="E139" s="113" t="s">
        <v>845</v>
      </c>
      <c r="F139" s="113" t="s">
        <v>845</v>
      </c>
      <c r="G139" s="249" t="str">
        <f>IFERROR(TRUNC(AVERAGE($G140:$G154),2), "")</f>
        <v/>
      </c>
      <c r="H139" s="247"/>
      <c r="I139" s="248" t="str">
        <f>IFERROR(VLOOKUP($G139,LookUps!$B$4:$D$19,3),"")</f>
        <v/>
      </c>
      <c r="J139" s="241"/>
      <c r="K139" s="250"/>
      <c r="L139" s="250"/>
      <c r="M139" s="250"/>
      <c r="N139" s="250" t="str">
        <f>IF(OR($G139=1,$G139=2,$G139=3,$G139=4,$G139=5,$G139=6),'20k Cross Ref (SD)'!$BU138,"")</f>
        <v/>
      </c>
    </row>
    <row r="140" spans="2:14" s="30" customFormat="1" x14ac:dyDescent="0.3">
      <c r="B140" s="127" t="s">
        <v>837</v>
      </c>
      <c r="C140" s="58">
        <v>136</v>
      </c>
      <c r="D140" s="376"/>
      <c r="E140" s="124" t="s">
        <v>1179</v>
      </c>
      <c r="F140" s="124" t="s">
        <v>1048</v>
      </c>
      <c r="G140" s="123"/>
      <c r="H140" s="138" t="e">
        <f>VLOOKUP($G140,LookUps!$B$4:$C$19,2)</f>
        <v>#N/A</v>
      </c>
      <c r="I140" s="248" t="str">
        <f>IFERROR(VLOOKUP($G140,LookUps!$B$4:$D$19,3),"")</f>
        <v/>
      </c>
      <c r="J140" s="141" t="str">
        <f t="shared" si="1"/>
        <v/>
      </c>
      <c r="K140" s="105"/>
      <c r="L140" s="120"/>
      <c r="M140" s="120"/>
      <c r="N140" s="230" t="str">
        <f>IF(OR($G140=1,$G140=2,$G140=3,$G140=4,$G140=5,$G140=6),'20k Cross Ref (SD)'!$BU139,"")</f>
        <v/>
      </c>
    </row>
    <row r="141" spans="2:14" s="30" customFormat="1" ht="20.399999999999999" x14ac:dyDescent="0.3">
      <c r="B141" s="127" t="s">
        <v>837</v>
      </c>
      <c r="C141" s="58">
        <v>137</v>
      </c>
      <c r="D141" s="376"/>
      <c r="E141" s="113" t="s">
        <v>1180</v>
      </c>
      <c r="F141" s="113" t="s">
        <v>1183</v>
      </c>
      <c r="G141" s="123"/>
      <c r="H141" s="138" t="e">
        <f>VLOOKUP($G141,LookUps!$B$4:$C$19,2)</f>
        <v>#N/A</v>
      </c>
      <c r="I141" s="248" t="str">
        <f>IFERROR(VLOOKUP($G141,LookUps!$B$4:$D$19,3),"")</f>
        <v/>
      </c>
      <c r="J141" s="141" t="str">
        <f t="shared" si="1"/>
        <v/>
      </c>
      <c r="K141" s="105"/>
      <c r="L141" s="120"/>
      <c r="M141" s="120"/>
      <c r="N141" s="230" t="str">
        <f>IF(OR($G141=1,$G141=2,$G141=3,$G141=4,$G141=5,$G141=6),'20k Cross Ref (SD)'!$BU140,"")</f>
        <v/>
      </c>
    </row>
    <row r="142" spans="2:14" s="30" customFormat="1" ht="30.6" x14ac:dyDescent="0.3">
      <c r="B142" s="127" t="s">
        <v>837</v>
      </c>
      <c r="C142" s="58">
        <v>138</v>
      </c>
      <c r="D142" s="376"/>
      <c r="E142" s="124" t="s">
        <v>1181</v>
      </c>
      <c r="F142" s="124" t="s">
        <v>1049</v>
      </c>
      <c r="G142" s="123"/>
      <c r="H142" s="138" t="e">
        <f>VLOOKUP($G142,LookUps!$B$4:$C$19,2)</f>
        <v>#N/A</v>
      </c>
      <c r="I142" s="248" t="str">
        <f>IFERROR(VLOOKUP($G142,LookUps!$B$4:$D$19,3),"")</f>
        <v/>
      </c>
      <c r="J142" s="141" t="str">
        <f t="shared" si="1"/>
        <v/>
      </c>
      <c r="K142" s="105"/>
      <c r="L142" s="120"/>
      <c r="M142" s="120"/>
      <c r="N142" s="230" t="str">
        <f>IF(OR($G142=1,$G142=2,$G142=3,$G142=4,$G142=5,$G142=6),'20k Cross Ref (SD)'!$BU141,"")</f>
        <v/>
      </c>
    </row>
    <row r="143" spans="2:14" s="30" customFormat="1" ht="40.799999999999997" x14ac:dyDescent="0.3">
      <c r="B143" s="127" t="s">
        <v>837</v>
      </c>
      <c r="C143" s="58">
        <v>139</v>
      </c>
      <c r="D143" s="376"/>
      <c r="E143" s="124" t="s">
        <v>1182</v>
      </c>
      <c r="F143" s="124" t="s">
        <v>1050</v>
      </c>
      <c r="G143" s="123"/>
      <c r="H143" s="138" t="e">
        <f>VLOOKUP($G143,LookUps!$B$4:$C$19,2)</f>
        <v>#N/A</v>
      </c>
      <c r="I143" s="248" t="str">
        <f>IFERROR(VLOOKUP($G143,LookUps!$B$4:$D$19,3),"")</f>
        <v/>
      </c>
      <c r="J143" s="141" t="str">
        <f t="shared" si="1"/>
        <v/>
      </c>
      <c r="K143" s="105"/>
      <c r="L143" s="120"/>
      <c r="M143" s="120"/>
      <c r="N143" s="230" t="str">
        <f>IF(OR($G143=1,$G143=2,$G143=3,$G143=4,$G143=5,$G143=6),'20k Cross Ref (SD)'!$BU142,"")</f>
        <v/>
      </c>
    </row>
    <row r="144" spans="2:14" s="30" customFormat="1" ht="20.399999999999999" x14ac:dyDescent="0.3">
      <c r="B144" s="127" t="s">
        <v>837</v>
      </c>
      <c r="C144" s="58">
        <v>140</v>
      </c>
      <c r="D144" s="376"/>
      <c r="E144" s="124" t="s">
        <v>1184</v>
      </c>
      <c r="F144" s="124" t="s">
        <v>1051</v>
      </c>
      <c r="G144" s="123"/>
      <c r="H144" s="138" t="e">
        <f>VLOOKUP($G144,LookUps!$B$4:$C$19,2)</f>
        <v>#N/A</v>
      </c>
      <c r="I144" s="248" t="str">
        <f>IFERROR(VLOOKUP($G144,LookUps!$B$4:$D$19,3),"")</f>
        <v/>
      </c>
      <c r="J144" s="141" t="str">
        <f t="shared" si="1"/>
        <v/>
      </c>
      <c r="K144" s="105"/>
      <c r="L144" s="120"/>
      <c r="M144" s="120"/>
      <c r="N144" s="230" t="str">
        <f>IF(OR($G144=1,$G144=2,$G144=3,$G144=4,$G144=5,$G144=6),'20k Cross Ref (SD)'!$BU143,"")</f>
        <v/>
      </c>
    </row>
    <row r="145" spans="2:14" s="30" customFormat="1" ht="30.6" x14ac:dyDescent="0.3">
      <c r="B145" s="127" t="s">
        <v>837</v>
      </c>
      <c r="C145" s="58">
        <v>141</v>
      </c>
      <c r="D145" s="376"/>
      <c r="E145" s="124" t="s">
        <v>1185</v>
      </c>
      <c r="F145" s="124" t="s">
        <v>1052</v>
      </c>
      <c r="G145" s="123"/>
      <c r="H145" s="138" t="e">
        <f>VLOOKUP($G145,LookUps!$B$4:$C$19,2)</f>
        <v>#N/A</v>
      </c>
      <c r="I145" s="248" t="str">
        <f>IFERROR(VLOOKUP($G145,LookUps!$B$4:$D$19,3),"")</f>
        <v/>
      </c>
      <c r="J145" s="141" t="str">
        <f t="shared" si="1"/>
        <v/>
      </c>
      <c r="K145" s="105"/>
      <c r="L145" s="120"/>
      <c r="M145" s="120"/>
      <c r="N145" s="230" t="str">
        <f>IF(OR($G145=1,$G145=2,$G145=3,$G145=4,$G145=5,$G145=6),'20k Cross Ref (SD)'!$BU144,"")</f>
        <v/>
      </c>
    </row>
    <row r="146" spans="2:14" s="30" customFormat="1" ht="20.399999999999999" x14ac:dyDescent="0.3">
      <c r="B146" s="127" t="s">
        <v>837</v>
      </c>
      <c r="C146" s="58">
        <v>142</v>
      </c>
      <c r="D146" s="376"/>
      <c r="E146" s="124" t="s">
        <v>1186</v>
      </c>
      <c r="F146" s="124" t="s">
        <v>1053</v>
      </c>
      <c r="G146" s="123"/>
      <c r="H146" s="138" t="e">
        <f>VLOOKUP($G146,LookUps!$B$4:$C$19,2)</f>
        <v>#N/A</v>
      </c>
      <c r="I146" s="248" t="str">
        <f>IFERROR(VLOOKUP($G146,LookUps!$B$4:$D$19,3),"")</f>
        <v/>
      </c>
      <c r="J146" s="141" t="str">
        <f t="shared" ref="J146:J154" si="2">IF($G146=1,1,IF($G146=2,1,IF($G146=3,1,IF($G146=4,2,IF($G146=5,2,IF($G146=6,2,IF($G146=7,3,IF($G146=8,3,IF($G146=9,3,IF($G146=10,4,IF($G146=11,4,IF($G146=12,4,IF($G146=13,5,IF($G146=14,5,IF($G146=15,5,"")))))))))))))))</f>
        <v/>
      </c>
      <c r="K146" s="105"/>
      <c r="L146" s="120"/>
      <c r="M146" s="120"/>
      <c r="N146" s="230" t="str">
        <f>IF(OR($G146=1,$G146=2,$G146=3,$G146=4,$G146=5,$G146=6),'20k Cross Ref (SD)'!$BU145,"")</f>
        <v/>
      </c>
    </row>
    <row r="147" spans="2:14" s="30" customFormat="1" ht="20.399999999999999" x14ac:dyDescent="0.3">
      <c r="B147" s="127" t="s">
        <v>837</v>
      </c>
      <c r="C147" s="58">
        <v>143</v>
      </c>
      <c r="D147" s="376"/>
      <c r="E147" s="124" t="s">
        <v>1187</v>
      </c>
      <c r="F147" s="124" t="s">
        <v>1054</v>
      </c>
      <c r="G147" s="123"/>
      <c r="H147" s="138" t="e">
        <f>VLOOKUP($G147,LookUps!$B$4:$C$19,2)</f>
        <v>#N/A</v>
      </c>
      <c r="I147" s="248" t="str">
        <f>IFERROR(VLOOKUP($G147,LookUps!$B$4:$D$19,3),"")</f>
        <v/>
      </c>
      <c r="J147" s="141" t="str">
        <f t="shared" si="2"/>
        <v/>
      </c>
      <c r="K147" s="105"/>
      <c r="L147" s="120"/>
      <c r="M147" s="120"/>
      <c r="N147" s="230" t="str">
        <f>IF(OR($G147=1,$G147=2,$G147=3,$G147=4,$G147=5,$G147=6),'20k Cross Ref (SD)'!$BU146,"")</f>
        <v/>
      </c>
    </row>
    <row r="148" spans="2:14" s="30" customFormat="1" ht="20.399999999999999" x14ac:dyDescent="0.3">
      <c r="B148" s="127" t="s">
        <v>837</v>
      </c>
      <c r="C148" s="58">
        <v>144</v>
      </c>
      <c r="D148" s="376"/>
      <c r="E148" s="124" t="s">
        <v>1188</v>
      </c>
      <c r="F148" s="124" t="s">
        <v>1055</v>
      </c>
      <c r="G148" s="123"/>
      <c r="H148" s="138" t="e">
        <f>VLOOKUP($G148,LookUps!$B$4:$C$19,2)</f>
        <v>#N/A</v>
      </c>
      <c r="I148" s="248" t="str">
        <f>IFERROR(VLOOKUP($G148,LookUps!$B$4:$D$19,3),"")</f>
        <v/>
      </c>
      <c r="J148" s="141" t="str">
        <f t="shared" si="2"/>
        <v/>
      </c>
      <c r="K148" s="105"/>
      <c r="L148" s="120"/>
      <c r="M148" s="120"/>
      <c r="N148" s="230" t="str">
        <f>IF(OR($G148=1,$G148=2,$G148=3,$G148=4,$G148=5,$G148=6),'20k Cross Ref (SD)'!$BU147,"")</f>
        <v/>
      </c>
    </row>
    <row r="149" spans="2:14" s="30" customFormat="1" ht="20.399999999999999" x14ac:dyDescent="0.3">
      <c r="B149" s="127" t="s">
        <v>837</v>
      </c>
      <c r="C149" s="58">
        <v>145</v>
      </c>
      <c r="D149" s="376"/>
      <c r="E149" s="124" t="s">
        <v>1189</v>
      </c>
      <c r="F149" s="124" t="s">
        <v>1056</v>
      </c>
      <c r="G149" s="123"/>
      <c r="H149" s="138" t="e">
        <f>VLOOKUP($G149,LookUps!$B$4:$C$19,2)</f>
        <v>#N/A</v>
      </c>
      <c r="I149" s="248" t="str">
        <f>IFERROR(VLOOKUP($G149,LookUps!$B$4:$D$19,3),"")</f>
        <v/>
      </c>
      <c r="J149" s="141" t="str">
        <f t="shared" si="2"/>
        <v/>
      </c>
      <c r="K149" s="105"/>
      <c r="L149" s="120"/>
      <c r="M149" s="120"/>
      <c r="N149" s="230" t="str">
        <f>IF(OR($G149=1,$G149=2,$G149=3,$G149=4,$G149=5,$G149=6),'20k Cross Ref (SD)'!$BU148,"")</f>
        <v/>
      </c>
    </row>
    <row r="150" spans="2:14" s="30" customFormat="1" ht="30.6" x14ac:dyDescent="0.3">
      <c r="B150" s="127" t="s">
        <v>837</v>
      </c>
      <c r="C150" s="58">
        <v>146</v>
      </c>
      <c r="D150" s="376"/>
      <c r="E150" s="124" t="s">
        <v>1190</v>
      </c>
      <c r="F150" s="124" t="s">
        <v>1057</v>
      </c>
      <c r="G150" s="123"/>
      <c r="H150" s="138" t="e">
        <f>VLOOKUP($G150,LookUps!$B$4:$C$19,2)</f>
        <v>#N/A</v>
      </c>
      <c r="I150" s="248" t="str">
        <f>IFERROR(VLOOKUP($G150,LookUps!$B$4:$D$19,3),"")</f>
        <v/>
      </c>
      <c r="J150" s="141" t="str">
        <f t="shared" si="2"/>
        <v/>
      </c>
      <c r="K150" s="105"/>
      <c r="L150" s="120"/>
      <c r="M150" s="120"/>
      <c r="N150" s="230" t="str">
        <f>IF(OR($G150=1,$G150=2,$G150=3,$G150=4,$G150=5,$G150=6),'20k Cross Ref (SD)'!$BU149,"")</f>
        <v/>
      </c>
    </row>
    <row r="151" spans="2:14" s="30" customFormat="1" ht="30.6" x14ac:dyDescent="0.3">
      <c r="B151" s="127" t="s">
        <v>837</v>
      </c>
      <c r="C151" s="58">
        <v>147</v>
      </c>
      <c r="D151" s="376"/>
      <c r="E151" s="124" t="s">
        <v>1191</v>
      </c>
      <c r="F151" s="124" t="s">
        <v>1058</v>
      </c>
      <c r="G151" s="123"/>
      <c r="H151" s="138" t="e">
        <f>VLOOKUP($G151,LookUps!$B$4:$C$19,2)</f>
        <v>#N/A</v>
      </c>
      <c r="I151" s="248" t="str">
        <f>IFERROR(VLOOKUP($G151,LookUps!$B$4:$D$19,3),"")</f>
        <v/>
      </c>
      <c r="J151" s="141" t="str">
        <f t="shared" si="2"/>
        <v/>
      </c>
      <c r="K151" s="105"/>
      <c r="L151" s="120"/>
      <c r="M151" s="120"/>
      <c r="N151" s="230" t="str">
        <f>IF(OR($G151=1,$G151=2,$G151=3,$G151=4,$G151=5,$G151=6),'20k Cross Ref (SD)'!$BU150,"")</f>
        <v/>
      </c>
    </row>
    <row r="152" spans="2:14" s="30" customFormat="1" ht="20.399999999999999" x14ac:dyDescent="0.3">
      <c r="B152" s="127" t="s">
        <v>837</v>
      </c>
      <c r="C152" s="58">
        <v>148</v>
      </c>
      <c r="D152" s="376"/>
      <c r="E152" s="124" t="s">
        <v>1192</v>
      </c>
      <c r="F152" s="124" t="s">
        <v>1059</v>
      </c>
      <c r="G152" s="123"/>
      <c r="H152" s="138" t="e">
        <f>VLOOKUP($G152,LookUps!$B$4:$C$19,2)</f>
        <v>#N/A</v>
      </c>
      <c r="I152" s="248" t="str">
        <f>IFERROR(VLOOKUP($G152,LookUps!$B$4:$D$19,3),"")</f>
        <v/>
      </c>
      <c r="J152" s="141" t="str">
        <f t="shared" si="2"/>
        <v/>
      </c>
      <c r="K152" s="105"/>
      <c r="L152" s="120"/>
      <c r="M152" s="120"/>
      <c r="N152" s="230" t="str">
        <f>IF(OR($G152=1,$G152=2,$G152=3,$G152=4,$G152=5,$G152=6),'20k Cross Ref (SD)'!$BU151,"")</f>
        <v/>
      </c>
    </row>
    <row r="153" spans="2:14" s="30" customFormat="1" ht="20.399999999999999" x14ac:dyDescent="0.3">
      <c r="B153" s="127" t="s">
        <v>837</v>
      </c>
      <c r="C153" s="58">
        <v>149</v>
      </c>
      <c r="D153" s="376"/>
      <c r="E153" s="124" t="s">
        <v>1193</v>
      </c>
      <c r="F153" s="124" t="s">
        <v>1060</v>
      </c>
      <c r="G153" s="123"/>
      <c r="H153" s="138" t="e">
        <f>VLOOKUP($G153,LookUps!$B$4:$C$19,2)</f>
        <v>#N/A</v>
      </c>
      <c r="I153" s="248" t="str">
        <f>IFERROR(VLOOKUP($G153,LookUps!$B$4:$D$19,3),"")</f>
        <v/>
      </c>
      <c r="J153" s="141" t="str">
        <f t="shared" si="2"/>
        <v/>
      </c>
      <c r="K153" s="105"/>
      <c r="L153" s="120"/>
      <c r="M153" s="120"/>
      <c r="N153" s="230" t="str">
        <f>IF(OR($G153=1,$G153=2,$G153=3,$G153=4,$G153=5,$G153=6),'20k Cross Ref (SD)'!$BU152,"")</f>
        <v/>
      </c>
    </row>
    <row r="154" spans="2:14" s="30" customFormat="1" ht="20.399999999999999" x14ac:dyDescent="0.3">
      <c r="B154" s="127" t="s">
        <v>837</v>
      </c>
      <c r="C154" s="58">
        <v>150</v>
      </c>
      <c r="D154" s="377"/>
      <c r="E154" s="124" t="s">
        <v>1194</v>
      </c>
      <c r="F154" s="124" t="s">
        <v>1061</v>
      </c>
      <c r="G154" s="123"/>
      <c r="H154" s="138" t="e">
        <f>VLOOKUP($G154,LookUps!$B$4:$C$19,2)</f>
        <v>#N/A</v>
      </c>
      <c r="I154" s="248" t="str">
        <f>IFERROR(VLOOKUP($G154,LookUps!$B$4:$D$19,3),"")</f>
        <v/>
      </c>
      <c r="J154" s="141" t="str">
        <f t="shared" si="2"/>
        <v/>
      </c>
      <c r="K154" s="105"/>
      <c r="L154" s="120"/>
      <c r="M154" s="120"/>
      <c r="N154" s="230" t="str">
        <f>IF(OR($G154=1,$G154=2,$G154=3,$G154=4,$G154=5,$G154=6),'20k Cross Ref (SD)'!$BU153,"")</f>
        <v/>
      </c>
    </row>
    <row r="155" spans="2:14" s="30" customFormat="1" x14ac:dyDescent="0.3">
      <c r="B155" s="127" t="s">
        <v>1153</v>
      </c>
      <c r="C155" s="58">
        <v>151</v>
      </c>
      <c r="D155" s="375" t="s">
        <v>1154</v>
      </c>
      <c r="E155" s="113" t="s">
        <v>845</v>
      </c>
      <c r="F155" s="113" t="s">
        <v>845</v>
      </c>
      <c r="G155" s="249" t="str">
        <f>IFERROR(TRUNC(AVERAGE($G156:$G161),2), "")</f>
        <v/>
      </c>
      <c r="H155" s="247"/>
      <c r="I155" s="248" t="str">
        <f>IFERROR(VLOOKUP($G155,LookUps!$B$4:$D$19,3),"")</f>
        <v/>
      </c>
      <c r="J155" s="141"/>
      <c r="K155" s="250"/>
      <c r="L155" s="250"/>
      <c r="M155" s="250"/>
      <c r="N155" s="250"/>
    </row>
    <row r="156" spans="2:14" s="30" customFormat="1" x14ac:dyDescent="0.3">
      <c r="B156" s="127" t="s">
        <v>1153</v>
      </c>
      <c r="C156" s="58">
        <v>152</v>
      </c>
      <c r="D156" s="376"/>
      <c r="E156" s="124" t="s">
        <v>1086</v>
      </c>
      <c r="F156" s="124" t="s">
        <v>1144</v>
      </c>
      <c r="G156" s="123"/>
      <c r="H156" s="138" t="e">
        <f>VLOOKUP($G156,LookUps!$B$4:$C$19,2)</f>
        <v>#N/A</v>
      </c>
      <c r="I156" s="248" t="str">
        <f>IFERROR(VLOOKUP($G156,LookUps!$B$4:$D$19,3),"")</f>
        <v/>
      </c>
      <c r="J156" s="141" t="str">
        <f t="shared" ref="J156:J206" si="3">IF($G156=1,1,IF($G156=2,1,IF($G156=3,1,IF($G156=4,2,IF($G156=5,2,IF($G156=6,2,IF($G156=7,3,IF($G156=8,3,IF($G156=9,3,IF($G156=10,4,IF($G156=11,4,IF($G156=12,4,IF($G156=13,5,IF($G156=14,5,IF($G156=15,5,"")))))))))))))))</f>
        <v/>
      </c>
      <c r="K156" s="105"/>
      <c r="L156" s="120"/>
      <c r="M156" s="120"/>
      <c r="N156" s="230" t="str">
        <f>IF(OR($G156=1,$G156=2,$G156=3,$G156=4,$G156=5,$G156=6),'20k Cross Ref (SD)'!$BU155,"")</f>
        <v/>
      </c>
    </row>
    <row r="157" spans="2:14" s="30" customFormat="1" ht="20.399999999999999" x14ac:dyDescent="0.3">
      <c r="B157" s="127" t="s">
        <v>1153</v>
      </c>
      <c r="C157" s="58">
        <v>153</v>
      </c>
      <c r="D157" s="376"/>
      <c r="E157" s="124" t="s">
        <v>1142</v>
      </c>
      <c r="F157" s="124" t="s">
        <v>1087</v>
      </c>
      <c r="G157" s="123"/>
      <c r="H157" s="138" t="e">
        <f>VLOOKUP($G157,LookUps!$B$4:$C$19,2)</f>
        <v>#N/A</v>
      </c>
      <c r="I157" s="248" t="str">
        <f>IFERROR(VLOOKUP($G157,LookUps!$B$4:$D$19,3),"")</f>
        <v/>
      </c>
      <c r="J157" s="141" t="str">
        <f t="shared" si="3"/>
        <v/>
      </c>
      <c r="K157" s="105"/>
      <c r="L157" s="120"/>
      <c r="M157" s="120"/>
      <c r="N157" s="230" t="str">
        <f>IF(OR($G157=1,$G157=2,$G157=3,$G157=4,$G157=5,$G157=6),'20k Cross Ref (SD)'!$BU156,"")</f>
        <v/>
      </c>
    </row>
    <row r="158" spans="2:14" s="30" customFormat="1" ht="20.399999999999999" x14ac:dyDescent="0.3">
      <c r="B158" s="127" t="s">
        <v>1153</v>
      </c>
      <c r="C158" s="58">
        <v>154</v>
      </c>
      <c r="D158" s="376"/>
      <c r="E158" s="124" t="s">
        <v>1137</v>
      </c>
      <c r="F158" s="124" t="s">
        <v>1088</v>
      </c>
      <c r="G158" s="123"/>
      <c r="H158" s="138" t="e">
        <f>VLOOKUP($G158,LookUps!$B$4:$C$19,2)</f>
        <v>#N/A</v>
      </c>
      <c r="I158" s="248" t="str">
        <f>IFERROR(VLOOKUP($G158,LookUps!$B$4:$D$19,3),"")</f>
        <v/>
      </c>
      <c r="J158" s="141" t="str">
        <f t="shared" si="3"/>
        <v/>
      </c>
      <c r="K158" s="105"/>
      <c r="L158" s="120"/>
      <c r="M158" s="120"/>
      <c r="N158" s="230" t="str">
        <f>IF(OR($G158=1,$G158=2,$G158=3,$G158=4,$G158=5,$G158=6),'20k Cross Ref (SD)'!$BU157,"")</f>
        <v/>
      </c>
    </row>
    <row r="159" spans="2:14" s="30" customFormat="1" ht="20.399999999999999" x14ac:dyDescent="0.3">
      <c r="B159" s="127" t="s">
        <v>1153</v>
      </c>
      <c r="C159" s="58">
        <v>155</v>
      </c>
      <c r="D159" s="376"/>
      <c r="E159" s="124" t="s">
        <v>1147</v>
      </c>
      <c r="F159" s="124" t="s">
        <v>1145</v>
      </c>
      <c r="G159" s="123"/>
      <c r="H159" s="138" t="e">
        <f>VLOOKUP($G159,LookUps!$B$4:$C$19,2)</f>
        <v>#N/A</v>
      </c>
      <c r="I159" s="248" t="str">
        <f>IFERROR(VLOOKUP($G159,LookUps!$B$4:$D$19,3),"")</f>
        <v/>
      </c>
      <c r="J159" s="141" t="str">
        <f t="shared" si="3"/>
        <v/>
      </c>
      <c r="K159" s="105"/>
      <c r="L159" s="120"/>
      <c r="M159" s="120"/>
      <c r="N159" s="230" t="str">
        <f>IF(OR($G159=1,$G159=2,$G159=3,$G159=4,$G159=5,$G159=6),'20k Cross Ref (SD)'!$BU158,"")</f>
        <v/>
      </c>
    </row>
    <row r="160" spans="2:14" s="30" customFormat="1" ht="40.799999999999997" x14ac:dyDescent="0.3">
      <c r="B160" s="127" t="s">
        <v>1153</v>
      </c>
      <c r="C160" s="58">
        <v>156</v>
      </c>
      <c r="D160" s="376"/>
      <c r="E160" s="124" t="s">
        <v>1143</v>
      </c>
      <c r="F160" s="124" t="s">
        <v>1146</v>
      </c>
      <c r="G160" s="123"/>
      <c r="H160" s="138" t="e">
        <f>VLOOKUP($G160,LookUps!$B$4:$C$19,2)</f>
        <v>#N/A</v>
      </c>
      <c r="I160" s="248" t="str">
        <f>IFERROR(VLOOKUP($G160,LookUps!$B$4:$D$19,3),"")</f>
        <v/>
      </c>
      <c r="J160" s="141" t="str">
        <f t="shared" si="3"/>
        <v/>
      </c>
      <c r="K160" s="105"/>
      <c r="L160" s="120"/>
      <c r="M160" s="120"/>
      <c r="N160" s="230" t="str">
        <f>IF(OR($G160=1,$G160=2,$G160=3,$G160=4,$G160=5,$G160=6),'20k Cross Ref (SD)'!$BU159,"")</f>
        <v/>
      </c>
    </row>
    <row r="161" spans="2:14" s="30" customFormat="1" x14ac:dyDescent="0.3">
      <c r="B161" s="127" t="s">
        <v>1153</v>
      </c>
      <c r="C161" s="58">
        <v>157</v>
      </c>
      <c r="D161" s="377"/>
      <c r="E161" s="124" t="s">
        <v>1110</v>
      </c>
      <c r="F161" s="124" t="s">
        <v>1089</v>
      </c>
      <c r="G161" s="123"/>
      <c r="H161" s="138" t="e">
        <f>VLOOKUP($G161,LookUps!$B$4:$C$19,2)</f>
        <v>#N/A</v>
      </c>
      <c r="I161" s="248" t="str">
        <f>IFERROR(VLOOKUP($G161,LookUps!$B$4:$D$19,3),"")</f>
        <v/>
      </c>
      <c r="J161" s="141" t="str">
        <f t="shared" si="3"/>
        <v/>
      </c>
      <c r="K161" s="105"/>
      <c r="L161" s="120"/>
      <c r="M161" s="120"/>
      <c r="N161" s="230" t="str">
        <f>IF(OR($G161=1,$G161=2,$G161=3,$G161=4,$G161=5,$G161=6),'20k Cross Ref (SD)'!$BU160,"")</f>
        <v/>
      </c>
    </row>
    <row r="162" spans="2:14" s="30" customFormat="1" x14ac:dyDescent="0.3">
      <c r="B162" s="127" t="s">
        <v>1153</v>
      </c>
      <c r="C162" s="58">
        <v>158</v>
      </c>
      <c r="D162" s="375" t="s">
        <v>1155</v>
      </c>
      <c r="E162" s="113" t="s">
        <v>845</v>
      </c>
      <c r="F162" s="113" t="s">
        <v>845</v>
      </c>
      <c r="G162" s="249" t="str">
        <f>IFERROR(TRUNC(AVERAGE($G163:$G166),2), "")</f>
        <v/>
      </c>
      <c r="H162" s="247"/>
      <c r="I162" s="248" t="str">
        <f>IFERROR(VLOOKUP($G162,LookUps!$B$4:$D$19,3),"")</f>
        <v/>
      </c>
      <c r="J162" s="141"/>
      <c r="K162" s="250"/>
      <c r="L162" s="250"/>
      <c r="M162" s="250"/>
      <c r="N162" s="250"/>
    </row>
    <row r="163" spans="2:14" s="30" customFormat="1" ht="20.399999999999999" x14ac:dyDescent="0.3">
      <c r="B163" s="127" t="s">
        <v>1153</v>
      </c>
      <c r="C163" s="58">
        <v>159</v>
      </c>
      <c r="D163" s="376"/>
      <c r="E163" s="124" t="s">
        <v>1090</v>
      </c>
      <c r="F163" s="124" t="s">
        <v>1091</v>
      </c>
      <c r="G163" s="123"/>
      <c r="H163" s="138" t="e">
        <f>VLOOKUP($G163,LookUps!$B$4:$C$19,2)</f>
        <v>#N/A</v>
      </c>
      <c r="I163" s="248" t="str">
        <f>IFERROR(VLOOKUP($G163,LookUps!$B$4:$D$19,3),"")</f>
        <v/>
      </c>
      <c r="J163" s="141" t="str">
        <f t="shared" si="3"/>
        <v/>
      </c>
      <c r="K163" s="105"/>
      <c r="L163" s="120"/>
      <c r="M163" s="120"/>
      <c r="N163" s="230" t="str">
        <f>IF(OR($G163=1,$G163=2,$G163=3,$G163=4,$G163=5,$G163=6),'20k Cross Ref (SD)'!$BU162,"")</f>
        <v/>
      </c>
    </row>
    <row r="164" spans="2:14" s="30" customFormat="1" ht="40.799999999999997" x14ac:dyDescent="0.3">
      <c r="B164" s="127" t="s">
        <v>1153</v>
      </c>
      <c r="C164" s="58">
        <v>160</v>
      </c>
      <c r="D164" s="376"/>
      <c r="E164" s="124" t="s">
        <v>1092</v>
      </c>
      <c r="F164" s="124" t="s">
        <v>1138</v>
      </c>
      <c r="G164" s="123"/>
      <c r="H164" s="138" t="e">
        <f>VLOOKUP($G164,LookUps!$B$4:$C$19,2)</f>
        <v>#N/A</v>
      </c>
      <c r="I164" s="248" t="str">
        <f>IFERROR(VLOOKUP($G164,LookUps!$B$4:$D$19,3),"")</f>
        <v/>
      </c>
      <c r="J164" s="141" t="str">
        <f t="shared" si="3"/>
        <v/>
      </c>
      <c r="K164" s="105"/>
      <c r="L164" s="120"/>
      <c r="M164" s="120"/>
      <c r="N164" s="230" t="str">
        <f>IF(OR($G164=1,$G164=2,$G164=3,$G164=4,$G164=5,$G164=6),'20k Cross Ref (SD)'!$BU163,"")</f>
        <v/>
      </c>
    </row>
    <row r="165" spans="2:14" s="30" customFormat="1" ht="30.6" x14ac:dyDescent="0.3">
      <c r="B165" s="127" t="s">
        <v>1153</v>
      </c>
      <c r="C165" s="58">
        <v>161</v>
      </c>
      <c r="D165" s="376"/>
      <c r="E165" s="124" t="s">
        <v>1261</v>
      </c>
      <c r="F165" s="124" t="s">
        <v>1260</v>
      </c>
      <c r="G165" s="123"/>
      <c r="H165" s="138" t="e">
        <f>VLOOKUP($G165,LookUps!$B$4:$C$19,2)</f>
        <v>#N/A</v>
      </c>
      <c r="I165" s="248" t="str">
        <f>IFERROR(VLOOKUP($G165,LookUps!$B$4:$D$19,3),"")</f>
        <v/>
      </c>
      <c r="J165" s="141" t="str">
        <f t="shared" si="3"/>
        <v/>
      </c>
      <c r="K165" s="105"/>
      <c r="L165" s="120"/>
      <c r="M165" s="120"/>
      <c r="N165" s="230" t="str">
        <f>IF(OR($G165=1,$G165=2,$G165=3,$G165=4,$G165=5,$G165=6),'20k Cross Ref (SD)'!$BU164,"")</f>
        <v/>
      </c>
    </row>
    <row r="166" spans="2:14" s="30" customFormat="1" x14ac:dyDescent="0.3">
      <c r="B166" s="127" t="s">
        <v>1153</v>
      </c>
      <c r="C166" s="58">
        <v>162</v>
      </c>
      <c r="D166" s="377"/>
      <c r="E166" s="124" t="s">
        <v>1094</v>
      </c>
      <c r="F166" s="124" t="s">
        <v>1129</v>
      </c>
      <c r="G166" s="123"/>
      <c r="H166" s="138" t="e">
        <f>VLOOKUP($G166,LookUps!$B$4:$C$19,2)</f>
        <v>#N/A</v>
      </c>
      <c r="I166" s="248" t="str">
        <f>IFERROR(VLOOKUP($G166,LookUps!$B$4:$D$19,3),"")</f>
        <v/>
      </c>
      <c r="J166" s="141" t="str">
        <f t="shared" si="3"/>
        <v/>
      </c>
      <c r="K166" s="105"/>
      <c r="L166" s="120"/>
      <c r="M166" s="120"/>
      <c r="N166" s="230" t="str">
        <f>IF(OR($G166=1,$G166=2,$G166=3,$G166=4,$G166=5,$G166=6),'20k Cross Ref (SD)'!$BU165,"")</f>
        <v/>
      </c>
    </row>
    <row r="167" spans="2:14" s="30" customFormat="1" x14ac:dyDescent="0.3">
      <c r="B167" s="127" t="s">
        <v>1153</v>
      </c>
      <c r="C167" s="58">
        <v>163</v>
      </c>
      <c r="D167" s="375" t="s">
        <v>1172</v>
      </c>
      <c r="E167" s="113" t="s">
        <v>845</v>
      </c>
      <c r="F167" s="113" t="s">
        <v>845</v>
      </c>
      <c r="G167" s="249" t="str">
        <f>IFERROR(TRUNC(AVERAGE($G168:$G170),2), "")</f>
        <v/>
      </c>
      <c r="H167" s="247"/>
      <c r="I167" s="248" t="str">
        <f>IFERROR(VLOOKUP($G167,LookUps!$B$4:$D$19,3),"")</f>
        <v/>
      </c>
      <c r="J167" s="141"/>
      <c r="K167" s="250"/>
      <c r="L167" s="250"/>
      <c r="M167" s="250"/>
      <c r="N167" s="250"/>
    </row>
    <row r="168" spans="2:14" s="30" customFormat="1" ht="20.399999999999999" x14ac:dyDescent="0.3">
      <c r="B168" s="127" t="s">
        <v>1153</v>
      </c>
      <c r="C168" s="58">
        <v>164</v>
      </c>
      <c r="D168" s="376"/>
      <c r="E168" s="124" t="s">
        <v>1081</v>
      </c>
      <c r="F168" s="124" t="s">
        <v>1136</v>
      </c>
      <c r="G168" s="123"/>
      <c r="H168" s="138" t="e">
        <f>VLOOKUP($G168,LookUps!$B$4:$C$19,2)</f>
        <v>#N/A</v>
      </c>
      <c r="I168" s="248" t="str">
        <f>IFERROR(VLOOKUP($G168,LookUps!$B$4:$D$19,3),"")</f>
        <v/>
      </c>
      <c r="J168" s="141" t="str">
        <f t="shared" si="3"/>
        <v/>
      </c>
      <c r="K168" s="105"/>
      <c r="L168" s="120"/>
      <c r="M168" s="120"/>
      <c r="N168" s="263" t="str">
        <f>IF(OR($G168=1,$G168=2,$G168=3,$G168=4,$G168=5,$G168=6),'20k Cross Ref (SD)'!$BU167,"")</f>
        <v/>
      </c>
    </row>
    <row r="169" spans="2:14" s="30" customFormat="1" x14ac:dyDescent="0.3">
      <c r="B169" s="127" t="s">
        <v>1153</v>
      </c>
      <c r="C169" s="58">
        <v>165</v>
      </c>
      <c r="D169" s="376"/>
      <c r="E169" s="124" t="s">
        <v>1082</v>
      </c>
      <c r="F169" s="124" t="s">
        <v>1083</v>
      </c>
      <c r="G169" s="123"/>
      <c r="H169" s="138" t="e">
        <f>VLOOKUP($G169,LookUps!$B$4:$C$19,2)</f>
        <v>#N/A</v>
      </c>
      <c r="I169" s="248" t="str">
        <f>IFERROR(VLOOKUP($G169,LookUps!$B$4:$D$19,3),"")</f>
        <v/>
      </c>
      <c r="J169" s="141" t="str">
        <f t="shared" si="3"/>
        <v/>
      </c>
      <c r="K169" s="105"/>
      <c r="L169" s="120"/>
      <c r="M169" s="120"/>
      <c r="N169" s="263" t="str">
        <f>IF(OR($G169=1,$G169=2,$G169=3,$G169=4,$G169=5,$G169=6),'20k Cross Ref (SD)'!$BU168,"")</f>
        <v/>
      </c>
    </row>
    <row r="170" spans="2:14" s="30" customFormat="1" ht="20.399999999999999" x14ac:dyDescent="0.3">
      <c r="B170" s="127" t="s">
        <v>1153</v>
      </c>
      <c r="C170" s="58">
        <v>166</v>
      </c>
      <c r="D170" s="377"/>
      <c r="E170" s="124" t="s">
        <v>1084</v>
      </c>
      <c r="F170" s="124" t="s">
        <v>1085</v>
      </c>
      <c r="G170" s="123"/>
      <c r="H170" s="138" t="e">
        <f>VLOOKUP($G170,LookUps!$B$4:$C$19,2)</f>
        <v>#N/A</v>
      </c>
      <c r="I170" s="248" t="str">
        <f>IFERROR(VLOOKUP($G170,LookUps!$B$4:$D$19,3),"")</f>
        <v/>
      </c>
      <c r="J170" s="141" t="str">
        <f t="shared" si="3"/>
        <v/>
      </c>
      <c r="K170" s="105"/>
      <c r="L170" s="120"/>
      <c r="M170" s="120"/>
      <c r="N170" s="263" t="str">
        <f>IF(OR($G170=1,$G170=2,$G170=3,$G170=4,$G170=5,$G170=6),'20k Cross Ref (SD)'!$BU169,"")</f>
        <v/>
      </c>
    </row>
    <row r="171" spans="2:14" s="30" customFormat="1" x14ac:dyDescent="0.3">
      <c r="B171" s="127" t="s">
        <v>1153</v>
      </c>
      <c r="C171" s="58">
        <v>167</v>
      </c>
      <c r="D171" s="375" t="s">
        <v>1158</v>
      </c>
      <c r="E171" s="113" t="s">
        <v>845</v>
      </c>
      <c r="F171" s="113" t="s">
        <v>845</v>
      </c>
      <c r="G171" s="249" t="str">
        <f>IFERROR(TRUNC(AVERAGE($G172:$G177),2), "")</f>
        <v/>
      </c>
      <c r="H171" s="247"/>
      <c r="I171" s="248" t="str">
        <f>IFERROR(VLOOKUP($G171,LookUps!$B$4:$D$19,3),"")</f>
        <v/>
      </c>
      <c r="J171" s="141"/>
      <c r="K171" s="250"/>
      <c r="L171" s="250"/>
      <c r="M171" s="250"/>
      <c r="N171" s="250"/>
    </row>
    <row r="172" spans="2:14" s="30" customFormat="1" ht="20.399999999999999" x14ac:dyDescent="0.3">
      <c r="B172" s="127" t="s">
        <v>1153</v>
      </c>
      <c r="C172" s="58">
        <v>168</v>
      </c>
      <c r="D172" s="376"/>
      <c r="E172" s="124" t="s">
        <v>1160</v>
      </c>
      <c r="F172" s="124" t="s">
        <v>1166</v>
      </c>
      <c r="G172" s="123"/>
      <c r="H172" s="138" t="e">
        <f>VLOOKUP($G172,LookUps!$B$4:$C$19,2)</f>
        <v>#N/A</v>
      </c>
      <c r="I172" s="248" t="str">
        <f>IFERROR(VLOOKUP($G172,LookUps!$B$4:$D$19,3),"")</f>
        <v/>
      </c>
      <c r="J172" s="141" t="str">
        <f t="shared" si="3"/>
        <v/>
      </c>
      <c r="K172" s="105"/>
      <c r="L172" s="120"/>
      <c r="M172" s="120"/>
      <c r="N172" s="263" t="str">
        <f>IF(OR($G172=1,$G172=2,$G172=3,$G172=4,$G172=5,$G172=6),'20k Cross Ref (SD)'!$BU171,"")</f>
        <v/>
      </c>
    </row>
    <row r="173" spans="2:14" s="30" customFormat="1" x14ac:dyDescent="0.3">
      <c r="B173" s="127" t="s">
        <v>1153</v>
      </c>
      <c r="C173" s="58">
        <v>169</v>
      </c>
      <c r="D173" s="376"/>
      <c r="E173" s="124" t="s">
        <v>1161</v>
      </c>
      <c r="F173" s="124" t="s">
        <v>1167</v>
      </c>
      <c r="G173" s="123"/>
      <c r="H173" s="138" t="e">
        <f>VLOOKUP($G173,LookUps!$B$4:$C$19,2)</f>
        <v>#N/A</v>
      </c>
      <c r="I173" s="248" t="str">
        <f>IFERROR(VLOOKUP($G173,LookUps!$B$4:$D$19,3),"")</f>
        <v/>
      </c>
      <c r="J173" s="141" t="str">
        <f t="shared" si="3"/>
        <v/>
      </c>
      <c r="K173" s="105"/>
      <c r="L173" s="120"/>
      <c r="M173" s="120"/>
      <c r="N173" s="263" t="str">
        <f>IF(OR($G173=1,$G173=2,$G173=3,$G173=4,$G173=5,$G173=6),'20k Cross Ref (SD)'!$BU172,"")</f>
        <v/>
      </c>
    </row>
    <row r="174" spans="2:14" s="30" customFormat="1" x14ac:dyDescent="0.3">
      <c r="B174" s="127" t="s">
        <v>1153</v>
      </c>
      <c r="C174" s="58">
        <v>170</v>
      </c>
      <c r="D174" s="376"/>
      <c r="E174" s="124" t="s">
        <v>1162</v>
      </c>
      <c r="F174" s="124" t="s">
        <v>1168</v>
      </c>
      <c r="G174" s="123"/>
      <c r="H174" s="138" t="e">
        <f>VLOOKUP($G174,LookUps!$B$4:$C$19,2)</f>
        <v>#N/A</v>
      </c>
      <c r="I174" s="248" t="str">
        <f>IFERROR(VLOOKUP($G174,LookUps!$B$4:$D$19,3),"")</f>
        <v/>
      </c>
      <c r="J174" s="141" t="str">
        <f t="shared" si="3"/>
        <v/>
      </c>
      <c r="K174" s="105"/>
      <c r="L174" s="120"/>
      <c r="M174" s="120"/>
      <c r="N174" s="263" t="str">
        <f>IF(OR($G174=1,$G174=2,$G174=3,$G174=4,$G174=5,$G174=6),'20k Cross Ref (SD)'!$BU173,"")</f>
        <v/>
      </c>
    </row>
    <row r="175" spans="2:14" s="30" customFormat="1" ht="30.6" x14ac:dyDescent="0.3">
      <c r="B175" s="127" t="s">
        <v>1153</v>
      </c>
      <c r="C175" s="58">
        <v>171</v>
      </c>
      <c r="D175" s="376"/>
      <c r="E175" s="124" t="s">
        <v>1163</v>
      </c>
      <c r="F175" s="124" t="s">
        <v>1169</v>
      </c>
      <c r="G175" s="123"/>
      <c r="H175" s="138" t="e">
        <f>VLOOKUP($G175,LookUps!$B$4:$C$19,2)</f>
        <v>#N/A</v>
      </c>
      <c r="I175" s="248" t="str">
        <f>IFERROR(VLOOKUP($G175,LookUps!$B$4:$D$19,3),"")</f>
        <v/>
      </c>
      <c r="J175" s="141" t="str">
        <f t="shared" si="3"/>
        <v/>
      </c>
      <c r="K175" s="105"/>
      <c r="L175" s="120"/>
      <c r="M175" s="120"/>
      <c r="N175" s="263" t="str">
        <f>IF(OR($G175=1,$G175=2,$G175=3,$G175=4,$G175=5,$G175=6),'20k Cross Ref (SD)'!$BU174,"")</f>
        <v/>
      </c>
    </row>
    <row r="176" spans="2:14" s="30" customFormat="1" ht="20.399999999999999" x14ac:dyDescent="0.3">
      <c r="B176" s="127" t="s">
        <v>1153</v>
      </c>
      <c r="C176" s="58">
        <v>172</v>
      </c>
      <c r="D176" s="376"/>
      <c r="E176" s="124" t="s">
        <v>1164</v>
      </c>
      <c r="F176" s="124" t="s">
        <v>1170</v>
      </c>
      <c r="G176" s="123"/>
      <c r="H176" s="138" t="e">
        <f>VLOOKUP($G176,LookUps!$B$4:$C$19,2)</f>
        <v>#N/A</v>
      </c>
      <c r="I176" s="248" t="str">
        <f>IFERROR(VLOOKUP($G176,LookUps!$B$4:$D$19,3),"")</f>
        <v/>
      </c>
      <c r="J176" s="141" t="str">
        <f t="shared" si="3"/>
        <v/>
      </c>
      <c r="K176" s="105"/>
      <c r="L176" s="120"/>
      <c r="M176" s="120"/>
      <c r="N176" s="263" t="str">
        <f>IF(OR($G176=1,$G176=2,$G176=3,$G176=4,$G176=5,$G176=6),'20k Cross Ref (SD)'!$BU175,"")</f>
        <v/>
      </c>
    </row>
    <row r="177" spans="2:14" s="30" customFormat="1" ht="51" x14ac:dyDescent="0.3">
      <c r="B177" s="127" t="s">
        <v>1153</v>
      </c>
      <c r="C177" s="58">
        <v>173</v>
      </c>
      <c r="D177" s="377"/>
      <c r="E177" s="124" t="s">
        <v>1165</v>
      </c>
      <c r="F177" s="124" t="s">
        <v>1171</v>
      </c>
      <c r="G177" s="123"/>
      <c r="H177" s="138" t="e">
        <f>VLOOKUP($G177,LookUps!$B$4:$C$19,2)</f>
        <v>#N/A</v>
      </c>
      <c r="I177" s="248" t="str">
        <f>IFERROR(VLOOKUP($G177,LookUps!$B$4:$D$19,3),"")</f>
        <v/>
      </c>
      <c r="J177" s="141" t="str">
        <f t="shared" si="3"/>
        <v/>
      </c>
      <c r="K177" s="105"/>
      <c r="L177" s="120"/>
      <c r="M177" s="120"/>
      <c r="N177" s="263" t="str">
        <f>IF(OR($G177=1,$G177=2,$G177=3,$G177=4,$G177=5,$G177=6),'20k Cross Ref (SD)'!$BU176,"")</f>
        <v/>
      </c>
    </row>
    <row r="178" spans="2:14" s="30" customFormat="1" x14ac:dyDescent="0.3">
      <c r="B178" s="127" t="s">
        <v>1156</v>
      </c>
      <c r="C178" s="58">
        <v>174</v>
      </c>
      <c r="D178" s="375" t="s">
        <v>1095</v>
      </c>
      <c r="E178" s="113" t="s">
        <v>845</v>
      </c>
      <c r="F178" s="113" t="s">
        <v>845</v>
      </c>
      <c r="G178" s="249" t="str">
        <f>IFERROR(TRUNC(AVERAGE($G179:$G187),2), "")</f>
        <v/>
      </c>
      <c r="H178" s="247"/>
      <c r="I178" s="248" t="str">
        <f>IFERROR(VLOOKUP($G178,LookUps!$B$4:$D$19,3),"")</f>
        <v/>
      </c>
      <c r="J178" s="141"/>
      <c r="K178" s="250"/>
      <c r="L178" s="250"/>
      <c r="M178" s="250"/>
      <c r="N178" s="250"/>
    </row>
    <row r="179" spans="2:14" s="30" customFormat="1" ht="30.6" x14ac:dyDescent="0.3">
      <c r="B179" s="127" t="s">
        <v>1156</v>
      </c>
      <c r="C179" s="58">
        <v>175</v>
      </c>
      <c r="D179" s="376"/>
      <c r="E179" s="124" t="s">
        <v>1096</v>
      </c>
      <c r="F179" s="124" t="s">
        <v>1097</v>
      </c>
      <c r="G179" s="123"/>
      <c r="H179" s="138" t="e">
        <f>VLOOKUP($G179,LookUps!$B$4:$C$19,2)</f>
        <v>#N/A</v>
      </c>
      <c r="I179" s="248" t="str">
        <f>IFERROR(VLOOKUP($G179,LookUps!$B$4:$D$19,3),"")</f>
        <v/>
      </c>
      <c r="J179" s="141" t="str">
        <f t="shared" si="3"/>
        <v/>
      </c>
      <c r="K179" s="105"/>
      <c r="L179" s="120"/>
      <c r="M179" s="120"/>
      <c r="N179" s="263" t="str">
        <f>IF(OR($G179=1,$G179=2,$G179=3,$G179=4,$G179=5,$G179=6),'20k Cross Ref (SD)'!$BU178,"")</f>
        <v/>
      </c>
    </row>
    <row r="180" spans="2:14" s="30" customFormat="1" ht="20.399999999999999" x14ac:dyDescent="0.3">
      <c r="B180" s="127" t="s">
        <v>1156</v>
      </c>
      <c r="C180" s="58">
        <v>176</v>
      </c>
      <c r="D180" s="376"/>
      <c r="E180" s="124" t="s">
        <v>1098</v>
      </c>
      <c r="F180" s="124" t="s">
        <v>1099</v>
      </c>
      <c r="G180" s="123"/>
      <c r="H180" s="138" t="e">
        <f>VLOOKUP($G180,LookUps!$B$4:$C$19,2)</f>
        <v>#N/A</v>
      </c>
      <c r="I180" s="248" t="str">
        <f>IFERROR(VLOOKUP($G180,LookUps!$B$4:$D$19,3),"")</f>
        <v/>
      </c>
      <c r="J180" s="141" t="str">
        <f t="shared" si="3"/>
        <v/>
      </c>
      <c r="K180" s="105"/>
      <c r="L180" s="120"/>
      <c r="M180" s="120"/>
      <c r="N180" s="263" t="str">
        <f>IF(OR($G180=1,$G180=2,$G180=3,$G180=4,$G180=5,$G180=6),'20k Cross Ref (SD)'!$BU179,"")</f>
        <v/>
      </c>
    </row>
    <row r="181" spans="2:14" s="30" customFormat="1" ht="20.399999999999999" x14ac:dyDescent="0.3">
      <c r="B181" s="127" t="s">
        <v>1156</v>
      </c>
      <c r="C181" s="58">
        <v>177</v>
      </c>
      <c r="D181" s="376"/>
      <c r="E181" s="124" t="s">
        <v>1105</v>
      </c>
      <c r="F181" s="124" t="s">
        <v>1100</v>
      </c>
      <c r="G181" s="123"/>
      <c r="H181" s="138" t="e">
        <f>VLOOKUP($G181,LookUps!$B$4:$C$19,2)</f>
        <v>#N/A</v>
      </c>
      <c r="I181" s="248" t="str">
        <f>IFERROR(VLOOKUP($G181,LookUps!$B$4:$D$19,3),"")</f>
        <v/>
      </c>
      <c r="J181" s="141" t="str">
        <f t="shared" si="3"/>
        <v/>
      </c>
      <c r="K181" s="105"/>
      <c r="L181" s="120"/>
      <c r="M181" s="120"/>
      <c r="N181" s="263" t="str">
        <f>IF(OR($G181=1,$G181=2,$G181=3,$G181=4,$G181=5,$G181=6),'20k Cross Ref (SD)'!$BU180,"")</f>
        <v/>
      </c>
    </row>
    <row r="182" spans="2:14" s="30" customFormat="1" ht="51" x14ac:dyDescent="0.3">
      <c r="B182" s="127" t="s">
        <v>1156</v>
      </c>
      <c r="C182" s="58">
        <v>178</v>
      </c>
      <c r="D182" s="376"/>
      <c r="E182" s="124" t="s">
        <v>1272</v>
      </c>
      <c r="F182" s="124" t="s">
        <v>1273</v>
      </c>
      <c r="G182" s="123"/>
      <c r="H182" s="138" t="e">
        <f>VLOOKUP($G182,LookUps!$B$4:$C$19,2)</f>
        <v>#N/A</v>
      </c>
      <c r="I182" s="248" t="str">
        <f>IFERROR(VLOOKUP($G182,LookUps!$B$4:$D$19,3),"")</f>
        <v/>
      </c>
      <c r="J182" s="141" t="str">
        <f t="shared" si="3"/>
        <v/>
      </c>
      <c r="K182" s="105"/>
      <c r="L182" s="120"/>
      <c r="M182" s="120"/>
      <c r="N182" s="263" t="str">
        <f>IF(OR($G182=1,$G182=2,$G182=3,$G182=4,$G182=5,$G182=6),'20k Cross Ref (SD)'!$BU181,"")</f>
        <v/>
      </c>
    </row>
    <row r="183" spans="2:14" s="30" customFormat="1" ht="20.399999999999999" x14ac:dyDescent="0.3">
      <c r="B183" s="127" t="s">
        <v>1156</v>
      </c>
      <c r="C183" s="58">
        <v>179</v>
      </c>
      <c r="D183" s="376"/>
      <c r="E183" s="124" t="s">
        <v>1271</v>
      </c>
      <c r="F183" s="124" t="s">
        <v>1266</v>
      </c>
      <c r="G183" s="123"/>
      <c r="H183" s="138" t="e">
        <f>VLOOKUP($G183,LookUps!$B$4:$C$19,2)</f>
        <v>#N/A</v>
      </c>
      <c r="I183" s="248" t="str">
        <f>IFERROR(VLOOKUP($G183,LookUps!$B$4:$D$19,3),"")</f>
        <v/>
      </c>
      <c r="J183" s="141" t="str">
        <f t="shared" si="3"/>
        <v/>
      </c>
      <c r="K183" s="105"/>
      <c r="L183" s="120"/>
      <c r="M183" s="120"/>
      <c r="N183" s="273" t="str">
        <f>IF(OR($G183=1,$G183=2,$G183=3,$G183=4,$G183=5,$G183=6),'20k Cross Ref (SD)'!$BU182,"")</f>
        <v/>
      </c>
    </row>
    <row r="184" spans="2:14" s="30" customFormat="1" ht="40.799999999999997" x14ac:dyDescent="0.3">
      <c r="B184" s="127" t="s">
        <v>1156</v>
      </c>
      <c r="C184" s="58">
        <v>180</v>
      </c>
      <c r="D184" s="376"/>
      <c r="E184" s="124" t="s">
        <v>1265</v>
      </c>
      <c r="F184" s="124" t="s">
        <v>1267</v>
      </c>
      <c r="G184" s="123"/>
      <c r="H184" s="138" t="e">
        <f>VLOOKUP($G184,LookUps!$B$4:$C$19,2)</f>
        <v>#N/A</v>
      </c>
      <c r="I184" s="248" t="str">
        <f>IFERROR(VLOOKUP($G184,LookUps!$B$4:$D$19,3),"")</f>
        <v/>
      </c>
      <c r="J184" s="141" t="str">
        <f t="shared" si="3"/>
        <v/>
      </c>
      <c r="K184" s="105"/>
      <c r="L184" s="120"/>
      <c r="M184" s="120"/>
      <c r="N184" s="263" t="str">
        <f>IF(OR($G184=1,$G184=2,$G184=3,$G184=4,$G184=5,$G184=6),'20k Cross Ref (SD)'!$BU183,"")</f>
        <v/>
      </c>
    </row>
    <row r="185" spans="2:14" s="30" customFormat="1" x14ac:dyDescent="0.3">
      <c r="B185" s="127" t="s">
        <v>1156</v>
      </c>
      <c r="C185" s="58">
        <v>181</v>
      </c>
      <c r="D185" s="376"/>
      <c r="E185" s="124" t="s">
        <v>1264</v>
      </c>
      <c r="F185" s="124" t="s">
        <v>1268</v>
      </c>
      <c r="G185" s="123"/>
      <c r="H185" s="138" t="e">
        <f>VLOOKUP($G185,LookUps!$B$4:$C$19,2)</f>
        <v>#N/A</v>
      </c>
      <c r="I185" s="248" t="str">
        <f>IFERROR(VLOOKUP($G185,LookUps!$B$4:$D$19,3),"")</f>
        <v/>
      </c>
      <c r="J185" s="141" t="str">
        <f t="shared" si="3"/>
        <v/>
      </c>
      <c r="K185" s="105"/>
      <c r="L185" s="120"/>
      <c r="M185" s="120"/>
      <c r="N185" s="263" t="str">
        <f>IF(OR($G185=1,$G185=2,$G185=3,$G185=4,$G185=5,$G185=6),'20k Cross Ref (SD)'!$BU184,"")</f>
        <v/>
      </c>
    </row>
    <row r="186" spans="2:14" s="30" customFormat="1" ht="30.6" x14ac:dyDescent="0.3">
      <c r="B186" s="127" t="s">
        <v>1156</v>
      </c>
      <c r="C186" s="58">
        <v>182</v>
      </c>
      <c r="D186" s="376"/>
      <c r="E186" s="124" t="s">
        <v>1263</v>
      </c>
      <c r="F186" s="124" t="s">
        <v>1269</v>
      </c>
      <c r="G186" s="123"/>
      <c r="H186" s="138" t="e">
        <f>VLOOKUP($G186,LookUps!$B$4:$C$19,2)</f>
        <v>#N/A</v>
      </c>
      <c r="I186" s="248" t="str">
        <f>IFERROR(VLOOKUP($G186,LookUps!$B$4:$D$19,3),"")</f>
        <v/>
      </c>
      <c r="J186" s="141" t="str">
        <f t="shared" si="3"/>
        <v/>
      </c>
      <c r="K186" s="105"/>
      <c r="L186" s="120"/>
      <c r="M186" s="120"/>
      <c r="N186" s="263" t="str">
        <f>IF(OR($G186=1,$G186=2,$G186=3,$G186=4,$G186=5,$G186=6),'20k Cross Ref (SD)'!$BU185,"")</f>
        <v/>
      </c>
    </row>
    <row r="187" spans="2:14" s="30" customFormat="1" ht="20.399999999999999" x14ac:dyDescent="0.3">
      <c r="B187" s="127" t="s">
        <v>1156</v>
      </c>
      <c r="C187" s="58">
        <v>183</v>
      </c>
      <c r="D187" s="377"/>
      <c r="E187" s="124" t="s">
        <v>1262</v>
      </c>
      <c r="F187" s="124" t="s">
        <v>1270</v>
      </c>
      <c r="G187" s="123"/>
      <c r="H187" s="138" t="e">
        <f>VLOOKUP($G187,LookUps!$B$4:$C$19,2)</f>
        <v>#N/A</v>
      </c>
      <c r="I187" s="248" t="str">
        <f>IFERROR(VLOOKUP($G187,LookUps!$B$4:$D$19,3),"")</f>
        <v/>
      </c>
      <c r="J187" s="141" t="str">
        <f t="shared" si="3"/>
        <v/>
      </c>
      <c r="K187" s="105"/>
      <c r="L187" s="120"/>
      <c r="M187" s="120"/>
      <c r="N187" s="263" t="str">
        <f>IF(OR($G187=1,$G187=2,$G187=3,$G187=4,$G187=5,$G187=6),'20k Cross Ref (SD)'!$BU186,"")</f>
        <v/>
      </c>
    </row>
    <row r="188" spans="2:14" s="30" customFormat="1" x14ac:dyDescent="0.3">
      <c r="B188" s="127" t="s">
        <v>1156</v>
      </c>
      <c r="C188" s="58">
        <v>184</v>
      </c>
      <c r="D188" s="378" t="s">
        <v>1159</v>
      </c>
      <c r="E188" s="113" t="s">
        <v>845</v>
      </c>
      <c r="F188" s="113" t="s">
        <v>845</v>
      </c>
      <c r="G188" s="249" t="str">
        <f>IFERROR(TRUNC(AVERAGE($G189:$G190),2), "")</f>
        <v/>
      </c>
      <c r="H188" s="247"/>
      <c r="I188" s="248" t="str">
        <f>IFERROR(VLOOKUP($G188,LookUps!$B$4:$D$19,3),"")</f>
        <v/>
      </c>
      <c r="J188" s="141"/>
      <c r="K188" s="250"/>
      <c r="L188" s="250"/>
      <c r="M188" s="250"/>
      <c r="N188" s="250"/>
    </row>
    <row r="189" spans="2:14" s="30" customFormat="1" ht="30.6" x14ac:dyDescent="0.3">
      <c r="B189" s="127" t="s">
        <v>1156</v>
      </c>
      <c r="C189" s="58">
        <v>185</v>
      </c>
      <c r="D189" s="378"/>
      <c r="E189" s="124" t="s">
        <v>1106</v>
      </c>
      <c r="F189" s="124" t="s">
        <v>1107</v>
      </c>
      <c r="G189" s="123"/>
      <c r="H189" s="138" t="e">
        <f>VLOOKUP($G189,LookUps!$B$4:$C$19,2)</f>
        <v>#N/A</v>
      </c>
      <c r="I189" s="248" t="str">
        <f>IFERROR(VLOOKUP($G189,LookUps!$B$4:$D$19,3),"")</f>
        <v/>
      </c>
      <c r="J189" s="141" t="str">
        <f t="shared" si="3"/>
        <v/>
      </c>
      <c r="K189" s="105"/>
      <c r="L189" s="120"/>
      <c r="M189" s="120"/>
      <c r="N189" s="263" t="str">
        <f>IF(OR($G189=1,$G189=2,$G189=3,$G189=4,$G189=5,$G189=6),'20k Cross Ref (SD)'!$BU188,"")</f>
        <v/>
      </c>
    </row>
    <row r="190" spans="2:14" s="30" customFormat="1" ht="30.6" x14ac:dyDescent="0.3">
      <c r="B190" s="127" t="s">
        <v>1156</v>
      </c>
      <c r="C190" s="58">
        <v>186</v>
      </c>
      <c r="D190" s="378"/>
      <c r="E190" s="124" t="s">
        <v>1108</v>
      </c>
      <c r="F190" s="124" t="s">
        <v>1109</v>
      </c>
      <c r="G190" s="123"/>
      <c r="H190" s="138" t="e">
        <f>VLOOKUP($G190,LookUps!$B$4:$C$19,2)</f>
        <v>#N/A</v>
      </c>
      <c r="I190" s="248" t="str">
        <f>IFERROR(VLOOKUP($G190,LookUps!$B$4:$D$19,3),"")</f>
        <v/>
      </c>
      <c r="J190" s="141" t="str">
        <f t="shared" si="3"/>
        <v/>
      </c>
      <c r="K190" s="105"/>
      <c r="L190" s="120"/>
      <c r="M190" s="120"/>
      <c r="N190" s="263" t="str">
        <f>IF(OR($G190=1,$G190=2,$G190=3,$G190=4,$G190=5,$G190=6),'20k Cross Ref (SD)'!$BU189,"")</f>
        <v/>
      </c>
    </row>
    <row r="191" spans="2:14" s="30" customFormat="1" x14ac:dyDescent="0.3">
      <c r="B191" s="127" t="s">
        <v>1156</v>
      </c>
      <c r="C191" s="58">
        <v>187</v>
      </c>
      <c r="D191" s="375" t="s">
        <v>1115</v>
      </c>
      <c r="E191" s="113" t="s">
        <v>845</v>
      </c>
      <c r="F191" s="113" t="s">
        <v>845</v>
      </c>
      <c r="G191" s="249" t="str">
        <f>IFERROR(TRUNC(AVERAGE($G192:$G195),2), "")</f>
        <v/>
      </c>
      <c r="H191" s="247"/>
      <c r="I191" s="248" t="str">
        <f>IFERROR(VLOOKUP($G191,LookUps!$B$4:$D$19,3),"")</f>
        <v/>
      </c>
      <c r="J191" s="141"/>
      <c r="K191" s="250"/>
      <c r="L191" s="250"/>
      <c r="M191" s="250"/>
      <c r="N191" s="250"/>
    </row>
    <row r="192" spans="2:14" s="30" customFormat="1" ht="30.6" x14ac:dyDescent="0.3">
      <c r="B192" s="127" t="s">
        <v>1156</v>
      </c>
      <c r="C192" s="58">
        <v>188</v>
      </c>
      <c r="D192" s="376"/>
      <c r="E192" s="124" t="s">
        <v>1127</v>
      </c>
      <c r="F192" s="124" t="s">
        <v>1111</v>
      </c>
      <c r="G192" s="123"/>
      <c r="H192" s="138" t="e">
        <f>VLOOKUP($G192,LookUps!$B$4:$C$19,2)</f>
        <v>#N/A</v>
      </c>
      <c r="I192" s="248" t="str">
        <f>IFERROR(VLOOKUP($G192,LookUps!$B$4:$D$19,3),"")</f>
        <v/>
      </c>
      <c r="J192" s="141" t="str">
        <f t="shared" si="3"/>
        <v/>
      </c>
      <c r="K192" s="105"/>
      <c r="L192" s="120"/>
      <c r="M192" s="120"/>
      <c r="N192" s="230" t="str">
        <f>IF(OR($G192=1,$G192=2,$G192=3,$G192=4,$G192=5,$G192=6),'20k Cross Ref (SD)'!$BU191,"")</f>
        <v/>
      </c>
    </row>
    <row r="193" spans="2:14" s="30" customFormat="1" ht="20.399999999999999" x14ac:dyDescent="0.3">
      <c r="B193" s="127" t="s">
        <v>1156</v>
      </c>
      <c r="C193" s="58">
        <v>189</v>
      </c>
      <c r="D193" s="376"/>
      <c r="E193" s="124" t="s">
        <v>1131</v>
      </c>
      <c r="F193" s="124" t="s">
        <v>1112</v>
      </c>
      <c r="G193" s="123"/>
      <c r="H193" s="138" t="e">
        <f>VLOOKUP($G193,LookUps!$B$4:$C$19,2)</f>
        <v>#N/A</v>
      </c>
      <c r="I193" s="248" t="str">
        <f>IFERROR(VLOOKUP($G193,LookUps!$B$4:$D$19,3),"")</f>
        <v/>
      </c>
      <c r="J193" s="141" t="str">
        <f t="shared" si="3"/>
        <v/>
      </c>
      <c r="K193" s="105"/>
      <c r="L193" s="120"/>
      <c r="M193" s="120"/>
      <c r="N193" s="230" t="str">
        <f>IF(OR($G193=1,$G193=2,$G193=3,$G193=4,$G193=5,$G193=6),'20k Cross Ref (SD)'!$BU192,"")</f>
        <v/>
      </c>
    </row>
    <row r="194" spans="2:14" s="30" customFormat="1" ht="30.6" x14ac:dyDescent="0.3">
      <c r="B194" s="127" t="s">
        <v>1156</v>
      </c>
      <c r="C194" s="58">
        <v>190</v>
      </c>
      <c r="D194" s="376"/>
      <c r="E194" s="124" t="s">
        <v>1128</v>
      </c>
      <c r="F194" s="124" t="s">
        <v>1113</v>
      </c>
      <c r="G194" s="123"/>
      <c r="H194" s="138" t="e">
        <f>VLOOKUP($G194,LookUps!$B$4:$C$19,2)</f>
        <v>#N/A</v>
      </c>
      <c r="I194" s="248" t="str">
        <f>IFERROR(VLOOKUP($G194,LookUps!$B$4:$D$19,3),"")</f>
        <v/>
      </c>
      <c r="J194" s="141" t="str">
        <f t="shared" si="3"/>
        <v/>
      </c>
      <c r="K194" s="105"/>
      <c r="L194" s="120"/>
      <c r="M194" s="120"/>
      <c r="N194" s="230" t="str">
        <f>IF(OR($G194=1,$G194=2,$G194=3,$G194=4,$G194=5,$G194=6),'20k Cross Ref (SD)'!$BU193,"")</f>
        <v/>
      </c>
    </row>
    <row r="195" spans="2:14" s="30" customFormat="1" ht="40.799999999999997" x14ac:dyDescent="0.3">
      <c r="B195" s="127" t="s">
        <v>1156</v>
      </c>
      <c r="C195" s="58">
        <v>191</v>
      </c>
      <c r="D195" s="377"/>
      <c r="E195" s="124" t="s">
        <v>1114</v>
      </c>
      <c r="F195" s="124" t="s">
        <v>1139</v>
      </c>
      <c r="G195" s="123"/>
      <c r="H195" s="138" t="e">
        <f>VLOOKUP($G195,LookUps!$B$4:$C$19,2)</f>
        <v>#N/A</v>
      </c>
      <c r="I195" s="248" t="str">
        <f>IFERROR(VLOOKUP($G195,LookUps!$B$4:$D$19,3),"")</f>
        <v/>
      </c>
      <c r="J195" s="141" t="str">
        <f t="shared" si="3"/>
        <v/>
      </c>
      <c r="K195" s="105"/>
      <c r="L195" s="120"/>
      <c r="M195" s="120"/>
      <c r="N195" s="230" t="str">
        <f>IF(OR($G195=1,$G195=2,$G195=3,$G195=4,$G195=5,$G195=6),'20k Cross Ref (SD)'!$BU194,"")</f>
        <v/>
      </c>
    </row>
    <row r="196" spans="2:14" s="30" customFormat="1" x14ac:dyDescent="0.3">
      <c r="B196" s="127" t="s">
        <v>1156</v>
      </c>
      <c r="C196" s="58">
        <v>192</v>
      </c>
      <c r="D196" s="375" t="s">
        <v>1157</v>
      </c>
      <c r="E196" s="113" t="s">
        <v>845</v>
      </c>
      <c r="F196" s="113" t="s">
        <v>845</v>
      </c>
      <c r="G196" s="249" t="str">
        <f>IFERROR(TRUNC(AVERAGE($G197:$G199),2), "")</f>
        <v/>
      </c>
      <c r="H196" s="247"/>
      <c r="I196" s="248" t="str">
        <f>IFERROR(VLOOKUP($G196,LookUps!$B$4:$D$19,3),"")</f>
        <v/>
      </c>
      <c r="J196" s="141"/>
      <c r="K196" s="250"/>
      <c r="L196" s="250"/>
      <c r="M196" s="250"/>
      <c r="N196" s="250"/>
    </row>
    <row r="197" spans="2:14" s="30" customFormat="1" ht="30.6" x14ac:dyDescent="0.3">
      <c r="B197" s="127" t="s">
        <v>1156</v>
      </c>
      <c r="C197" s="58">
        <v>193</v>
      </c>
      <c r="D197" s="376"/>
      <c r="E197" s="124" t="s">
        <v>1173</v>
      </c>
      <c r="F197" s="124" t="s">
        <v>1176</v>
      </c>
      <c r="G197" s="123"/>
      <c r="H197" s="138" t="e">
        <f>VLOOKUP($G197,LookUps!$B$4:$C$19,2)</f>
        <v>#N/A</v>
      </c>
      <c r="I197" s="248" t="str">
        <f>IFERROR(VLOOKUP($G197,LookUps!$B$4:$D$19,3),"")</f>
        <v/>
      </c>
      <c r="J197" s="141" t="str">
        <f t="shared" si="3"/>
        <v/>
      </c>
      <c r="K197" s="105"/>
      <c r="L197" s="120"/>
      <c r="M197" s="120"/>
      <c r="N197" s="263" t="str">
        <f>IF(OR($G197=1,$G197=2,$G197=3,$G197=4,$G197=5,$G197=6),'20k Cross Ref (SD)'!$BU196,"")</f>
        <v/>
      </c>
    </row>
    <row r="198" spans="2:14" s="30" customFormat="1" ht="20.399999999999999" x14ac:dyDescent="0.3">
      <c r="B198" s="127" t="s">
        <v>1156</v>
      </c>
      <c r="C198" s="58">
        <v>194</v>
      </c>
      <c r="D198" s="376"/>
      <c r="E198" s="124" t="s">
        <v>1174</v>
      </c>
      <c r="F198" s="124" t="s">
        <v>1177</v>
      </c>
      <c r="G198" s="123"/>
      <c r="H198" s="138" t="e">
        <f>VLOOKUP($G198,LookUps!$B$4:$C$19,2)</f>
        <v>#N/A</v>
      </c>
      <c r="I198" s="248" t="str">
        <f>IFERROR(VLOOKUP($G198,LookUps!$B$4:$D$19,3),"")</f>
        <v/>
      </c>
      <c r="J198" s="141" t="str">
        <f t="shared" si="3"/>
        <v/>
      </c>
      <c r="K198" s="105"/>
      <c r="L198" s="120"/>
      <c r="M198" s="120"/>
      <c r="N198" s="263" t="str">
        <f>IF(OR($G198=1,$G198=2,$G198=3,$G198=4,$G198=5,$G198=6),'20k Cross Ref (SD)'!$BU197,"")</f>
        <v/>
      </c>
    </row>
    <row r="199" spans="2:14" s="30" customFormat="1" x14ac:dyDescent="0.3">
      <c r="B199" s="127" t="s">
        <v>1156</v>
      </c>
      <c r="C199" s="58">
        <v>195</v>
      </c>
      <c r="D199" s="377"/>
      <c r="E199" s="124" t="s">
        <v>1175</v>
      </c>
      <c r="F199" s="124" t="s">
        <v>1178</v>
      </c>
      <c r="G199" s="123"/>
      <c r="H199" s="138" t="e">
        <f>VLOOKUP($G199,LookUps!$B$4:$C$19,2)</f>
        <v>#N/A</v>
      </c>
      <c r="I199" s="248" t="str">
        <f>IFERROR(VLOOKUP($G199,LookUps!$B$4:$D$19,3),"")</f>
        <v/>
      </c>
      <c r="J199" s="141" t="str">
        <f t="shared" si="3"/>
        <v/>
      </c>
      <c r="K199" s="105"/>
      <c r="L199" s="120"/>
      <c r="M199" s="120"/>
      <c r="N199" s="263" t="str">
        <f>IF(OR($G199=1,$G199=2,$G199=3,$G199=4,$G199=5,$G199=6),'20k Cross Ref (SD)'!$BU198,"")</f>
        <v/>
      </c>
    </row>
    <row r="200" spans="2:14" s="30" customFormat="1" x14ac:dyDescent="0.3">
      <c r="B200" s="127" t="s">
        <v>1156</v>
      </c>
      <c r="C200" s="58">
        <v>196</v>
      </c>
      <c r="D200" s="375" t="s">
        <v>1116</v>
      </c>
      <c r="E200" s="113" t="s">
        <v>845</v>
      </c>
      <c r="F200" s="113" t="s">
        <v>845</v>
      </c>
      <c r="G200" s="249" t="str">
        <f>IFERROR(TRUNC(AVERAGE($G201:$G206),2), "")</f>
        <v/>
      </c>
      <c r="H200" s="247"/>
      <c r="I200" s="248" t="str">
        <f>IFERROR(VLOOKUP($G200,LookUps!$B$4:$D$19,3),"")</f>
        <v/>
      </c>
      <c r="J200" s="141"/>
      <c r="K200" s="250"/>
      <c r="L200" s="250"/>
      <c r="M200" s="250"/>
      <c r="N200" s="250"/>
    </row>
    <row r="201" spans="2:14" s="30" customFormat="1" ht="20.399999999999999" x14ac:dyDescent="0.3">
      <c r="B201" s="127" t="s">
        <v>1156</v>
      </c>
      <c r="C201" s="58">
        <v>197</v>
      </c>
      <c r="D201" s="376"/>
      <c r="E201" s="124" t="s">
        <v>1117</v>
      </c>
      <c r="F201" s="124" t="s">
        <v>1140</v>
      </c>
      <c r="G201" s="123"/>
      <c r="H201" s="138" t="e">
        <f>VLOOKUP($G201,LookUps!$B$4:$C$19,2)</f>
        <v>#N/A</v>
      </c>
      <c r="I201" s="248" t="str">
        <f>IFERROR(VLOOKUP($G201,LookUps!$B$4:$D$19,3),"")</f>
        <v/>
      </c>
      <c r="J201" s="141" t="str">
        <f t="shared" si="3"/>
        <v/>
      </c>
      <c r="K201" s="105"/>
      <c r="L201" s="120"/>
      <c r="M201" s="120"/>
      <c r="N201" s="230" t="str">
        <f>IF(OR($G201=1,$G201=2,$G201=3,$G201=4,$G201=5,$G201=6),'20k Cross Ref (SD)'!$BU200,"")</f>
        <v/>
      </c>
    </row>
    <row r="202" spans="2:14" s="30" customFormat="1" ht="40.799999999999997" x14ac:dyDescent="0.3">
      <c r="B202" s="127" t="s">
        <v>1156</v>
      </c>
      <c r="C202" s="58">
        <v>198</v>
      </c>
      <c r="D202" s="376"/>
      <c r="E202" s="124" t="s">
        <v>1118</v>
      </c>
      <c r="F202" s="124" t="s">
        <v>1119</v>
      </c>
      <c r="G202" s="123"/>
      <c r="H202" s="138" t="e">
        <f>VLOOKUP($G202,LookUps!$B$4:$C$19,2)</f>
        <v>#N/A</v>
      </c>
      <c r="I202" s="248" t="str">
        <f>IFERROR(VLOOKUP($G202,LookUps!$B$4:$D$19,3),"")</f>
        <v/>
      </c>
      <c r="J202" s="141" t="str">
        <f t="shared" si="3"/>
        <v/>
      </c>
      <c r="K202" s="105"/>
      <c r="L202" s="120"/>
      <c r="M202" s="120"/>
      <c r="N202" s="230" t="str">
        <f>IF(OR($G202=1,$G202=2,$G202=3,$G202=4,$G202=5,$G202=6),'20k Cross Ref (SD)'!$BU201,"")</f>
        <v/>
      </c>
    </row>
    <row r="203" spans="2:14" s="30" customFormat="1" x14ac:dyDescent="0.3">
      <c r="B203" s="127" t="s">
        <v>1156</v>
      </c>
      <c r="C203" s="58">
        <v>199</v>
      </c>
      <c r="D203" s="376"/>
      <c r="E203" s="124" t="s">
        <v>1120</v>
      </c>
      <c r="F203" s="124" t="s">
        <v>1121</v>
      </c>
      <c r="G203" s="123"/>
      <c r="H203" s="138" t="e">
        <f>VLOOKUP($G203,LookUps!$B$4:$C$19,2)</f>
        <v>#N/A</v>
      </c>
      <c r="I203" s="248" t="str">
        <f>IFERROR(VLOOKUP($G203,LookUps!$B$4:$D$19,3),"")</f>
        <v/>
      </c>
      <c r="J203" s="141" t="str">
        <f t="shared" si="3"/>
        <v/>
      </c>
      <c r="K203" s="105"/>
      <c r="L203" s="120"/>
      <c r="M203" s="120"/>
      <c r="N203" s="230" t="str">
        <f>IF(OR($G203=1,$G203=2,$G203=3,$G203=4,$G203=5,$G203=6),'20k Cross Ref (SD)'!$BU202,"")</f>
        <v/>
      </c>
    </row>
    <row r="204" spans="2:14" s="30" customFormat="1" x14ac:dyDescent="0.3">
      <c r="B204" s="127" t="s">
        <v>1156</v>
      </c>
      <c r="C204" s="58">
        <v>200</v>
      </c>
      <c r="D204" s="376"/>
      <c r="E204" s="124" t="s">
        <v>1122</v>
      </c>
      <c r="F204" s="124" t="s">
        <v>1123</v>
      </c>
      <c r="G204" s="123"/>
      <c r="H204" s="138" t="e">
        <f>VLOOKUP($G204,LookUps!$B$4:$C$19,2)</f>
        <v>#N/A</v>
      </c>
      <c r="I204" s="248" t="str">
        <f>IFERROR(VLOOKUP($G204,LookUps!$B$4:$D$19,3),"")</f>
        <v/>
      </c>
      <c r="J204" s="141" t="str">
        <f t="shared" si="3"/>
        <v/>
      </c>
      <c r="K204" s="105"/>
      <c r="L204" s="120"/>
      <c r="M204" s="120"/>
      <c r="N204" s="230" t="str">
        <f>IF(OR($G204=1,$G204=2,$G204=3,$G204=4,$G204=5,$G204=6),'20k Cross Ref (SD)'!$BU203,"")</f>
        <v/>
      </c>
    </row>
    <row r="205" spans="2:14" s="30" customFormat="1" x14ac:dyDescent="0.3">
      <c r="B205" s="127" t="s">
        <v>1156</v>
      </c>
      <c r="C205" s="58">
        <v>201</v>
      </c>
      <c r="D205" s="376"/>
      <c r="E205" s="124" t="s">
        <v>1124</v>
      </c>
      <c r="F205" s="124" t="s">
        <v>1141</v>
      </c>
      <c r="G205" s="123"/>
      <c r="H205" s="138" t="e">
        <f>VLOOKUP($G205,LookUps!$B$4:$C$19,2)</f>
        <v>#N/A</v>
      </c>
      <c r="I205" s="248" t="str">
        <f>IFERROR(VLOOKUP($G205,LookUps!$B$4:$D$19,3),"")</f>
        <v/>
      </c>
      <c r="J205" s="141" t="str">
        <f t="shared" si="3"/>
        <v/>
      </c>
      <c r="K205" s="105"/>
      <c r="L205" s="120"/>
      <c r="M205" s="120"/>
      <c r="N205" s="230" t="str">
        <f>IF(OR($G205=1,$G205=2,$G205=3,$G205=4,$G205=5,$G205=6),'20k Cross Ref (SD)'!$BU204,"")</f>
        <v/>
      </c>
    </row>
    <row r="206" spans="2:14" s="30" customFormat="1" ht="20.399999999999999" x14ac:dyDescent="0.3">
      <c r="B206" s="127" t="s">
        <v>1156</v>
      </c>
      <c r="C206" s="58">
        <v>202</v>
      </c>
      <c r="D206" s="377"/>
      <c r="E206" s="124" t="s">
        <v>1125</v>
      </c>
      <c r="F206" s="124" t="s">
        <v>1126</v>
      </c>
      <c r="G206" s="123"/>
      <c r="H206" s="138" t="e">
        <f>VLOOKUP($G206,LookUps!$B$4:$C$19,2)</f>
        <v>#N/A</v>
      </c>
      <c r="I206" s="248" t="str">
        <f>IFERROR(VLOOKUP($G206,LookUps!$B$4:$D$19,3),"")</f>
        <v/>
      </c>
      <c r="J206" s="141" t="str">
        <f t="shared" si="3"/>
        <v/>
      </c>
      <c r="K206" s="105"/>
      <c r="L206" s="120"/>
      <c r="M206" s="120"/>
      <c r="N206" s="230" t="str">
        <f>IF(OR($G206=1,$G206=2,$G206=3,$G206=4,$G206=5,$G206=6),'20k Cross Ref (SD)'!$BU205,"")</f>
        <v/>
      </c>
    </row>
    <row r="207" spans="2:14" x14ac:dyDescent="0.3">
      <c r="G207" s="45"/>
      <c r="H207" s="45"/>
      <c r="I207" s="45"/>
      <c r="J207" s="45"/>
    </row>
  </sheetData>
  <sheetProtection password="DAE1" sheet="1" objects="1" scenarios="1" formatColumns="0" formatRows="0" autoFilter="0"/>
  <autoFilter ref="B4:L206"/>
  <mergeCells count="36">
    <mergeCell ref="D167:D170"/>
    <mergeCell ref="D155:D161"/>
    <mergeCell ref="D200:D206"/>
    <mergeCell ref="D139:D154"/>
    <mergeCell ref="D162:D166"/>
    <mergeCell ref="D196:D199"/>
    <mergeCell ref="D191:D195"/>
    <mergeCell ref="D171:D177"/>
    <mergeCell ref="D188:D190"/>
    <mergeCell ref="D178:D187"/>
    <mergeCell ref="G2:N2"/>
    <mergeCell ref="E3:F3"/>
    <mergeCell ref="G3:I3"/>
    <mergeCell ref="D5:D18"/>
    <mergeCell ref="D134:D138"/>
    <mergeCell ref="D33:D38"/>
    <mergeCell ref="D39:D44"/>
    <mergeCell ref="D45:D47"/>
    <mergeCell ref="D78:D83"/>
    <mergeCell ref="D123:D126"/>
    <mergeCell ref="D127:D130"/>
    <mergeCell ref="D131:D133"/>
    <mergeCell ref="D84:D87"/>
    <mergeCell ref="D92:D96"/>
    <mergeCell ref="D97:D108"/>
    <mergeCell ref="D109:D119"/>
    <mergeCell ref="D120:D122"/>
    <mergeCell ref="B2:C2"/>
    <mergeCell ref="D48:D51"/>
    <mergeCell ref="D52:D59"/>
    <mergeCell ref="D60:D63"/>
    <mergeCell ref="D64:D77"/>
    <mergeCell ref="D24:D32"/>
    <mergeCell ref="D19:D20"/>
    <mergeCell ref="D21:D23"/>
    <mergeCell ref="D88:D91"/>
  </mergeCells>
  <conditionalFormatting sqref="G7 G197:G199 G172:G177">
    <cfRule type="cellIs" dxfId="5480" priority="2796" operator="between">
      <formula>13</formula>
      <formula>15.9999</formula>
    </cfRule>
    <cfRule type="cellIs" dxfId="5479" priority="2797" operator="between">
      <formula>10</formula>
      <formula>12.9999</formula>
    </cfRule>
    <cfRule type="cellIs" dxfId="5478" priority="2798" operator="between">
      <formula>7</formula>
      <formula>9.9999</formula>
    </cfRule>
    <cfRule type="cellIs" dxfId="5477" priority="2799" operator="between">
      <formula>4</formula>
      <formula>6.9999</formula>
    </cfRule>
    <cfRule type="cellIs" dxfId="5476" priority="2800" operator="between">
      <formula>0.1</formula>
      <formula>3.9999</formula>
    </cfRule>
  </conditionalFormatting>
  <conditionalFormatting sqref="I140">
    <cfRule type="cellIs" dxfId="5475" priority="2831" operator="equal">
      <formula>"Improving"</formula>
    </cfRule>
    <cfRule type="cellIs" dxfId="5474" priority="2832" operator="equal">
      <formula>"Optimising"</formula>
    </cfRule>
    <cfRule type="cellIs" dxfId="5473" priority="2833" operator="equal">
      <formula>"Proactive"</formula>
    </cfRule>
    <cfRule type="cellIs" dxfId="5472" priority="2834" operator="equal">
      <formula>"Reactive"</formula>
    </cfRule>
    <cfRule type="cellIs" dxfId="5471" priority="2835" operator="equal">
      <formula>"No Formal Approach"</formula>
    </cfRule>
  </conditionalFormatting>
  <conditionalFormatting sqref="G8">
    <cfRule type="cellIs" dxfId="5470" priority="2786" operator="between">
      <formula>13</formula>
      <formula>15.9999</formula>
    </cfRule>
    <cfRule type="cellIs" dxfId="5469" priority="2787" operator="between">
      <formula>10</formula>
      <formula>12.9999</formula>
    </cfRule>
    <cfRule type="cellIs" dxfId="5468" priority="2788" operator="between">
      <formula>7</formula>
      <formula>9.9999</formula>
    </cfRule>
    <cfRule type="cellIs" dxfId="5467" priority="2789" operator="between">
      <formula>4</formula>
      <formula>6.9999</formula>
    </cfRule>
    <cfRule type="cellIs" dxfId="5466" priority="2790" operator="between">
      <formula>0.1</formula>
      <formula>3.9999</formula>
    </cfRule>
  </conditionalFormatting>
  <conditionalFormatting sqref="I141">
    <cfRule type="cellIs" dxfId="5465" priority="2821" operator="equal">
      <formula>"Improving"</formula>
    </cfRule>
    <cfRule type="cellIs" dxfId="5464" priority="2822" operator="equal">
      <formula>"Optimising"</formula>
    </cfRule>
    <cfRule type="cellIs" dxfId="5463" priority="2823" operator="equal">
      <formula>"Proactive"</formula>
    </cfRule>
    <cfRule type="cellIs" dxfId="5462" priority="2824" operator="equal">
      <formula>"Reactive"</formula>
    </cfRule>
    <cfRule type="cellIs" dxfId="5461" priority="2825" operator="equal">
      <formula>"No Formal Approach"</formula>
    </cfRule>
  </conditionalFormatting>
  <conditionalFormatting sqref="G9">
    <cfRule type="cellIs" dxfId="5460" priority="2776" operator="between">
      <formula>13</formula>
      <formula>15.9999</formula>
    </cfRule>
    <cfRule type="cellIs" dxfId="5459" priority="2777" operator="between">
      <formula>10</formula>
      <formula>12.9999</formula>
    </cfRule>
    <cfRule type="cellIs" dxfId="5458" priority="2778" operator="between">
      <formula>7</formula>
      <formula>9.9999</formula>
    </cfRule>
    <cfRule type="cellIs" dxfId="5457" priority="2779" operator="between">
      <formula>4</formula>
      <formula>6.9999</formula>
    </cfRule>
    <cfRule type="cellIs" dxfId="5456" priority="2780" operator="between">
      <formula>0.1</formula>
      <formula>3.9999</formula>
    </cfRule>
  </conditionalFormatting>
  <conditionalFormatting sqref="I142">
    <cfRule type="cellIs" dxfId="5455" priority="2811" operator="equal">
      <formula>"Improving"</formula>
    </cfRule>
    <cfRule type="cellIs" dxfId="5454" priority="2812" operator="equal">
      <formula>"Optimising"</formula>
    </cfRule>
    <cfRule type="cellIs" dxfId="5453" priority="2813" operator="equal">
      <formula>"Proactive"</formula>
    </cfRule>
    <cfRule type="cellIs" dxfId="5452" priority="2814" operator="equal">
      <formula>"Reactive"</formula>
    </cfRule>
    <cfRule type="cellIs" dxfId="5451" priority="2815" operator="equal">
      <formula>"No Formal Approach"</formula>
    </cfRule>
  </conditionalFormatting>
  <conditionalFormatting sqref="G6">
    <cfRule type="cellIs" dxfId="5450" priority="2806" operator="between">
      <formula>13</formula>
      <formula>15.9999</formula>
    </cfRule>
    <cfRule type="cellIs" dxfId="5449" priority="2807" operator="between">
      <formula>10</formula>
      <formula>12.9999</formula>
    </cfRule>
    <cfRule type="cellIs" dxfId="5448" priority="2808" operator="between">
      <formula>7</formula>
      <formula>9.9999</formula>
    </cfRule>
    <cfRule type="cellIs" dxfId="5447" priority="2809" operator="between">
      <formula>4</formula>
      <formula>6.9999</formula>
    </cfRule>
    <cfRule type="cellIs" dxfId="5446" priority="2810" operator="between">
      <formula>0.1</formula>
      <formula>3.9999</formula>
    </cfRule>
  </conditionalFormatting>
  <conditionalFormatting sqref="I6">
    <cfRule type="cellIs" dxfId="5445" priority="2801" operator="equal">
      <formula>"Improving"</formula>
    </cfRule>
    <cfRule type="cellIs" dxfId="5444" priority="2802" operator="equal">
      <formula>"Optimising"</formula>
    </cfRule>
    <cfRule type="cellIs" dxfId="5443" priority="2803" operator="equal">
      <formula>"Proactive"</formula>
    </cfRule>
    <cfRule type="cellIs" dxfId="5442" priority="2804" operator="equal">
      <formula>"Reactive"</formula>
    </cfRule>
    <cfRule type="cellIs" dxfId="5441" priority="2805" operator="equal">
      <formula>"No Formal Approach"</formula>
    </cfRule>
  </conditionalFormatting>
  <conditionalFormatting sqref="I7">
    <cfRule type="cellIs" dxfId="5440" priority="2791" operator="equal">
      <formula>"Improving"</formula>
    </cfRule>
    <cfRule type="cellIs" dxfId="5439" priority="2792" operator="equal">
      <formula>"Optimising"</formula>
    </cfRule>
    <cfRule type="cellIs" dxfId="5438" priority="2793" operator="equal">
      <formula>"Proactive"</formula>
    </cfRule>
    <cfRule type="cellIs" dxfId="5437" priority="2794" operator="equal">
      <formula>"Reactive"</formula>
    </cfRule>
    <cfRule type="cellIs" dxfId="5436" priority="2795" operator="equal">
      <formula>"No Formal Approach"</formula>
    </cfRule>
  </conditionalFormatting>
  <conditionalFormatting sqref="I8">
    <cfRule type="cellIs" dxfId="5435" priority="2781" operator="equal">
      <formula>"Improving"</formula>
    </cfRule>
    <cfRule type="cellIs" dxfId="5434" priority="2782" operator="equal">
      <formula>"Optimising"</formula>
    </cfRule>
    <cfRule type="cellIs" dxfId="5433" priority="2783" operator="equal">
      <formula>"Proactive"</formula>
    </cfRule>
    <cfRule type="cellIs" dxfId="5432" priority="2784" operator="equal">
      <formula>"Reactive"</formula>
    </cfRule>
    <cfRule type="cellIs" dxfId="5431" priority="2785" operator="equal">
      <formula>"No Formal Approach"</formula>
    </cfRule>
  </conditionalFormatting>
  <conditionalFormatting sqref="I9">
    <cfRule type="cellIs" dxfId="5430" priority="2771" operator="equal">
      <formula>"Improving"</formula>
    </cfRule>
    <cfRule type="cellIs" dxfId="5429" priority="2772" operator="equal">
      <formula>"Optimising"</formula>
    </cfRule>
    <cfRule type="cellIs" dxfId="5428" priority="2773" operator="equal">
      <formula>"Proactive"</formula>
    </cfRule>
    <cfRule type="cellIs" dxfId="5427" priority="2774" operator="equal">
      <formula>"Reactive"</formula>
    </cfRule>
    <cfRule type="cellIs" dxfId="5426" priority="2775" operator="equal">
      <formula>"No Formal Approach"</formula>
    </cfRule>
  </conditionalFormatting>
  <conditionalFormatting sqref="G10">
    <cfRule type="cellIs" dxfId="5425" priority="2766" operator="between">
      <formula>13</formula>
      <formula>15.9999</formula>
    </cfRule>
    <cfRule type="cellIs" dxfId="5424" priority="2767" operator="between">
      <formula>10</formula>
      <formula>12.9999</formula>
    </cfRule>
    <cfRule type="cellIs" dxfId="5423" priority="2768" operator="between">
      <formula>7</formula>
      <formula>9.9999</formula>
    </cfRule>
    <cfRule type="cellIs" dxfId="5422" priority="2769" operator="between">
      <formula>4</formula>
      <formula>6.9999</formula>
    </cfRule>
    <cfRule type="cellIs" dxfId="5421" priority="2770" operator="between">
      <formula>0.1</formula>
      <formula>3.9999</formula>
    </cfRule>
  </conditionalFormatting>
  <conditionalFormatting sqref="I10">
    <cfRule type="cellIs" dxfId="5420" priority="2761" operator="equal">
      <formula>"Improving"</formula>
    </cfRule>
    <cfRule type="cellIs" dxfId="5419" priority="2762" operator="equal">
      <formula>"Optimising"</formula>
    </cfRule>
    <cfRule type="cellIs" dxfId="5418" priority="2763" operator="equal">
      <formula>"Proactive"</formula>
    </cfRule>
    <cfRule type="cellIs" dxfId="5417" priority="2764" operator="equal">
      <formula>"Reactive"</formula>
    </cfRule>
    <cfRule type="cellIs" dxfId="5416" priority="2765" operator="equal">
      <formula>"No Formal Approach"</formula>
    </cfRule>
  </conditionalFormatting>
  <conditionalFormatting sqref="G11">
    <cfRule type="cellIs" dxfId="5415" priority="2756" operator="between">
      <formula>13</formula>
      <formula>15.9999</formula>
    </cfRule>
    <cfRule type="cellIs" dxfId="5414" priority="2757" operator="between">
      <formula>10</formula>
      <formula>12.9999</formula>
    </cfRule>
    <cfRule type="cellIs" dxfId="5413" priority="2758" operator="between">
      <formula>7</formula>
      <formula>9.9999</formula>
    </cfRule>
    <cfRule type="cellIs" dxfId="5412" priority="2759" operator="between">
      <formula>4</formula>
      <formula>6.9999</formula>
    </cfRule>
    <cfRule type="cellIs" dxfId="5411" priority="2760" operator="between">
      <formula>0.1</formula>
      <formula>3.9999</formula>
    </cfRule>
  </conditionalFormatting>
  <conditionalFormatting sqref="I11">
    <cfRule type="cellIs" dxfId="5410" priority="2751" operator="equal">
      <formula>"Improving"</formula>
    </cfRule>
    <cfRule type="cellIs" dxfId="5409" priority="2752" operator="equal">
      <formula>"Optimising"</formula>
    </cfRule>
    <cfRule type="cellIs" dxfId="5408" priority="2753" operator="equal">
      <formula>"Proactive"</formula>
    </cfRule>
    <cfRule type="cellIs" dxfId="5407" priority="2754" operator="equal">
      <formula>"Reactive"</formula>
    </cfRule>
    <cfRule type="cellIs" dxfId="5406" priority="2755" operator="equal">
      <formula>"No Formal Approach"</formula>
    </cfRule>
  </conditionalFormatting>
  <conditionalFormatting sqref="G12">
    <cfRule type="cellIs" dxfId="5405" priority="2746" operator="between">
      <formula>13</formula>
      <formula>15.9999</formula>
    </cfRule>
    <cfRule type="cellIs" dxfId="5404" priority="2747" operator="between">
      <formula>10</formula>
      <formula>12.9999</formula>
    </cfRule>
    <cfRule type="cellIs" dxfId="5403" priority="2748" operator="between">
      <formula>7</formula>
      <formula>9.9999</formula>
    </cfRule>
    <cfRule type="cellIs" dxfId="5402" priority="2749" operator="between">
      <formula>4</formula>
      <formula>6.9999</formula>
    </cfRule>
    <cfRule type="cellIs" dxfId="5401" priority="2750" operator="between">
      <formula>0.1</formula>
      <formula>3.9999</formula>
    </cfRule>
  </conditionalFormatting>
  <conditionalFormatting sqref="I12">
    <cfRule type="cellIs" dxfId="5400" priority="2741" operator="equal">
      <formula>"Improving"</formula>
    </cfRule>
    <cfRule type="cellIs" dxfId="5399" priority="2742" operator="equal">
      <formula>"Optimising"</formula>
    </cfRule>
    <cfRule type="cellIs" dxfId="5398" priority="2743" operator="equal">
      <formula>"Proactive"</formula>
    </cfRule>
    <cfRule type="cellIs" dxfId="5397" priority="2744" operator="equal">
      <formula>"Reactive"</formula>
    </cfRule>
    <cfRule type="cellIs" dxfId="5396" priority="2745" operator="equal">
      <formula>"No Formal Approach"</formula>
    </cfRule>
  </conditionalFormatting>
  <conditionalFormatting sqref="G13">
    <cfRule type="cellIs" dxfId="5395" priority="2736" operator="between">
      <formula>13</formula>
      <formula>15.9999</formula>
    </cfRule>
    <cfRule type="cellIs" dxfId="5394" priority="2737" operator="between">
      <formula>10</formula>
      <formula>12.9999</formula>
    </cfRule>
    <cfRule type="cellIs" dxfId="5393" priority="2738" operator="between">
      <formula>7</formula>
      <formula>9.9999</formula>
    </cfRule>
    <cfRule type="cellIs" dxfId="5392" priority="2739" operator="between">
      <formula>4</formula>
      <formula>6.9999</formula>
    </cfRule>
    <cfRule type="cellIs" dxfId="5391" priority="2740" operator="between">
      <formula>0.1</formula>
      <formula>3.9999</formula>
    </cfRule>
  </conditionalFormatting>
  <conditionalFormatting sqref="I13">
    <cfRule type="cellIs" dxfId="5390" priority="2731" operator="equal">
      <formula>"Improving"</formula>
    </cfRule>
    <cfRule type="cellIs" dxfId="5389" priority="2732" operator="equal">
      <formula>"Optimising"</formula>
    </cfRule>
    <cfRule type="cellIs" dxfId="5388" priority="2733" operator="equal">
      <formula>"Proactive"</formula>
    </cfRule>
    <cfRule type="cellIs" dxfId="5387" priority="2734" operator="equal">
      <formula>"Reactive"</formula>
    </cfRule>
    <cfRule type="cellIs" dxfId="5386" priority="2735" operator="equal">
      <formula>"No Formal Approach"</formula>
    </cfRule>
  </conditionalFormatting>
  <conditionalFormatting sqref="G14">
    <cfRule type="cellIs" dxfId="5385" priority="2726" operator="between">
      <formula>13</formula>
      <formula>15.9999</formula>
    </cfRule>
    <cfRule type="cellIs" dxfId="5384" priority="2727" operator="between">
      <formula>10</formula>
      <formula>12.9999</formula>
    </cfRule>
    <cfRule type="cellIs" dxfId="5383" priority="2728" operator="between">
      <formula>7</formula>
      <formula>9.9999</formula>
    </cfRule>
    <cfRule type="cellIs" dxfId="5382" priority="2729" operator="between">
      <formula>4</formula>
      <formula>6.9999</formula>
    </cfRule>
    <cfRule type="cellIs" dxfId="5381" priority="2730" operator="between">
      <formula>0.1</formula>
      <formula>3.9999</formula>
    </cfRule>
  </conditionalFormatting>
  <conditionalFormatting sqref="I14">
    <cfRule type="cellIs" dxfId="5380" priority="2721" operator="equal">
      <formula>"Improving"</formula>
    </cfRule>
    <cfRule type="cellIs" dxfId="5379" priority="2722" operator="equal">
      <formula>"Optimising"</formula>
    </cfRule>
    <cfRule type="cellIs" dxfId="5378" priority="2723" operator="equal">
      <formula>"Proactive"</formula>
    </cfRule>
    <cfRule type="cellIs" dxfId="5377" priority="2724" operator="equal">
      <formula>"Reactive"</formula>
    </cfRule>
    <cfRule type="cellIs" dxfId="5376" priority="2725" operator="equal">
      <formula>"No Formal Approach"</formula>
    </cfRule>
  </conditionalFormatting>
  <conditionalFormatting sqref="G15">
    <cfRule type="cellIs" dxfId="5375" priority="2716" operator="between">
      <formula>13</formula>
      <formula>15.9999</formula>
    </cfRule>
    <cfRule type="cellIs" dxfId="5374" priority="2717" operator="between">
      <formula>10</formula>
      <formula>12.9999</formula>
    </cfRule>
    <cfRule type="cellIs" dxfId="5373" priority="2718" operator="between">
      <formula>7</formula>
      <formula>9.9999</formula>
    </cfRule>
    <cfRule type="cellIs" dxfId="5372" priority="2719" operator="between">
      <formula>4</formula>
      <formula>6.9999</formula>
    </cfRule>
    <cfRule type="cellIs" dxfId="5371" priority="2720" operator="between">
      <formula>0.1</formula>
      <formula>3.9999</formula>
    </cfRule>
  </conditionalFormatting>
  <conditionalFormatting sqref="I15">
    <cfRule type="cellIs" dxfId="5370" priority="2711" operator="equal">
      <formula>"Improving"</formula>
    </cfRule>
    <cfRule type="cellIs" dxfId="5369" priority="2712" operator="equal">
      <formula>"Optimising"</formula>
    </cfRule>
    <cfRule type="cellIs" dxfId="5368" priority="2713" operator="equal">
      <formula>"Proactive"</formula>
    </cfRule>
    <cfRule type="cellIs" dxfId="5367" priority="2714" operator="equal">
      <formula>"Reactive"</formula>
    </cfRule>
    <cfRule type="cellIs" dxfId="5366" priority="2715" operator="equal">
      <formula>"No Formal Approach"</formula>
    </cfRule>
  </conditionalFormatting>
  <conditionalFormatting sqref="G16">
    <cfRule type="cellIs" dxfId="5365" priority="2706" operator="between">
      <formula>13</formula>
      <formula>15.9999</formula>
    </cfRule>
    <cfRule type="cellIs" dxfId="5364" priority="2707" operator="between">
      <formula>10</formula>
      <formula>12.9999</formula>
    </cfRule>
    <cfRule type="cellIs" dxfId="5363" priority="2708" operator="between">
      <formula>7</formula>
      <formula>9.9999</formula>
    </cfRule>
    <cfRule type="cellIs" dxfId="5362" priority="2709" operator="between">
      <formula>4</formula>
      <formula>6.9999</formula>
    </cfRule>
    <cfRule type="cellIs" dxfId="5361" priority="2710" operator="between">
      <formula>0.1</formula>
      <formula>3.9999</formula>
    </cfRule>
  </conditionalFormatting>
  <conditionalFormatting sqref="I16">
    <cfRule type="cellIs" dxfId="5360" priority="2701" operator="equal">
      <formula>"Improving"</formula>
    </cfRule>
    <cfRule type="cellIs" dxfId="5359" priority="2702" operator="equal">
      <formula>"Optimising"</formula>
    </cfRule>
    <cfRule type="cellIs" dxfId="5358" priority="2703" operator="equal">
      <formula>"Proactive"</formula>
    </cfRule>
    <cfRule type="cellIs" dxfId="5357" priority="2704" operator="equal">
      <formula>"Reactive"</formula>
    </cfRule>
    <cfRule type="cellIs" dxfId="5356" priority="2705" operator="equal">
      <formula>"No Formal Approach"</formula>
    </cfRule>
  </conditionalFormatting>
  <conditionalFormatting sqref="G17">
    <cfRule type="cellIs" dxfId="5355" priority="2696" operator="between">
      <formula>13</formula>
      <formula>15.9999</formula>
    </cfRule>
    <cfRule type="cellIs" dxfId="5354" priority="2697" operator="between">
      <formula>10</formula>
      <formula>12.9999</formula>
    </cfRule>
    <cfRule type="cellIs" dxfId="5353" priority="2698" operator="between">
      <formula>7</formula>
      <formula>9.9999</formula>
    </cfRule>
    <cfRule type="cellIs" dxfId="5352" priority="2699" operator="between">
      <formula>4</formula>
      <formula>6.9999</formula>
    </cfRule>
    <cfRule type="cellIs" dxfId="5351" priority="2700" operator="between">
      <formula>0.1</formula>
      <formula>3.9999</formula>
    </cfRule>
  </conditionalFormatting>
  <conditionalFormatting sqref="I17">
    <cfRule type="cellIs" dxfId="5350" priority="2691" operator="equal">
      <formula>"Improving"</formula>
    </cfRule>
    <cfRule type="cellIs" dxfId="5349" priority="2692" operator="equal">
      <formula>"Optimising"</formula>
    </cfRule>
    <cfRule type="cellIs" dxfId="5348" priority="2693" operator="equal">
      <formula>"Proactive"</formula>
    </cfRule>
    <cfRule type="cellIs" dxfId="5347" priority="2694" operator="equal">
      <formula>"Reactive"</formula>
    </cfRule>
    <cfRule type="cellIs" dxfId="5346" priority="2695" operator="equal">
      <formula>"No Formal Approach"</formula>
    </cfRule>
  </conditionalFormatting>
  <conditionalFormatting sqref="G18">
    <cfRule type="cellIs" dxfId="5345" priority="2686" operator="between">
      <formula>13</formula>
      <formula>15.9999</formula>
    </cfRule>
    <cfRule type="cellIs" dxfId="5344" priority="2687" operator="between">
      <formula>10</formula>
      <formula>12.9999</formula>
    </cfRule>
    <cfRule type="cellIs" dxfId="5343" priority="2688" operator="between">
      <formula>7</formula>
      <formula>9.9999</formula>
    </cfRule>
    <cfRule type="cellIs" dxfId="5342" priority="2689" operator="between">
      <formula>4</formula>
      <formula>6.9999</formula>
    </cfRule>
    <cfRule type="cellIs" dxfId="5341" priority="2690" operator="between">
      <formula>0.1</formula>
      <formula>3.9999</formula>
    </cfRule>
  </conditionalFormatting>
  <conditionalFormatting sqref="I18">
    <cfRule type="cellIs" dxfId="5340" priority="2681" operator="equal">
      <formula>"Improving"</formula>
    </cfRule>
    <cfRule type="cellIs" dxfId="5339" priority="2682" operator="equal">
      <formula>"Optimising"</formula>
    </cfRule>
    <cfRule type="cellIs" dxfId="5338" priority="2683" operator="equal">
      <formula>"Proactive"</formula>
    </cfRule>
    <cfRule type="cellIs" dxfId="5337" priority="2684" operator="equal">
      <formula>"Reactive"</formula>
    </cfRule>
    <cfRule type="cellIs" dxfId="5336" priority="2685" operator="equal">
      <formula>"No Formal Approach"</formula>
    </cfRule>
  </conditionalFormatting>
  <conditionalFormatting sqref="I25">
    <cfRule type="cellIs" dxfId="5335" priority="2671" operator="equal">
      <formula>"Improving"</formula>
    </cfRule>
    <cfRule type="cellIs" dxfId="5334" priority="2672" operator="equal">
      <formula>"Optimising"</formula>
    </cfRule>
    <cfRule type="cellIs" dxfId="5333" priority="2673" operator="equal">
      <formula>"Proactive"</formula>
    </cfRule>
    <cfRule type="cellIs" dxfId="5332" priority="2674" operator="equal">
      <formula>"Reactive"</formula>
    </cfRule>
    <cfRule type="cellIs" dxfId="5331" priority="2675" operator="equal">
      <formula>"No Formal Approach"</formula>
    </cfRule>
  </conditionalFormatting>
  <conditionalFormatting sqref="I26">
    <cfRule type="cellIs" dxfId="5330" priority="2661" operator="equal">
      <formula>"Improving"</formula>
    </cfRule>
    <cfRule type="cellIs" dxfId="5329" priority="2662" operator="equal">
      <formula>"Optimising"</formula>
    </cfRule>
    <cfRule type="cellIs" dxfId="5328" priority="2663" operator="equal">
      <formula>"Proactive"</formula>
    </cfRule>
    <cfRule type="cellIs" dxfId="5327" priority="2664" operator="equal">
      <formula>"Reactive"</formula>
    </cfRule>
    <cfRule type="cellIs" dxfId="5326" priority="2665" operator="equal">
      <formula>"No Formal Approach"</formula>
    </cfRule>
  </conditionalFormatting>
  <conditionalFormatting sqref="I27">
    <cfRule type="cellIs" dxfId="5325" priority="2651" operator="equal">
      <formula>"Improving"</formula>
    </cfRule>
    <cfRule type="cellIs" dxfId="5324" priority="2652" operator="equal">
      <formula>"Optimising"</formula>
    </cfRule>
    <cfRule type="cellIs" dxfId="5323" priority="2653" operator="equal">
      <formula>"Proactive"</formula>
    </cfRule>
    <cfRule type="cellIs" dxfId="5322" priority="2654" operator="equal">
      <formula>"Reactive"</formula>
    </cfRule>
    <cfRule type="cellIs" dxfId="5321" priority="2655" operator="equal">
      <formula>"No Formal Approach"</formula>
    </cfRule>
  </conditionalFormatting>
  <conditionalFormatting sqref="I28">
    <cfRule type="cellIs" dxfId="5320" priority="2641" operator="equal">
      <formula>"Improving"</formula>
    </cfRule>
    <cfRule type="cellIs" dxfId="5319" priority="2642" operator="equal">
      <formula>"Optimising"</formula>
    </cfRule>
    <cfRule type="cellIs" dxfId="5318" priority="2643" operator="equal">
      <formula>"Proactive"</formula>
    </cfRule>
    <cfRule type="cellIs" dxfId="5317" priority="2644" operator="equal">
      <formula>"Reactive"</formula>
    </cfRule>
    <cfRule type="cellIs" dxfId="5316" priority="2645" operator="equal">
      <formula>"No Formal Approach"</formula>
    </cfRule>
  </conditionalFormatting>
  <conditionalFormatting sqref="I29">
    <cfRule type="cellIs" dxfId="5315" priority="2631" operator="equal">
      <formula>"Improving"</formula>
    </cfRule>
    <cfRule type="cellIs" dxfId="5314" priority="2632" operator="equal">
      <formula>"Optimising"</formula>
    </cfRule>
    <cfRule type="cellIs" dxfId="5313" priority="2633" operator="equal">
      <formula>"Proactive"</formula>
    </cfRule>
    <cfRule type="cellIs" dxfId="5312" priority="2634" operator="equal">
      <formula>"Reactive"</formula>
    </cfRule>
    <cfRule type="cellIs" dxfId="5311" priority="2635" operator="equal">
      <formula>"No Formal Approach"</formula>
    </cfRule>
  </conditionalFormatting>
  <conditionalFormatting sqref="I30">
    <cfRule type="cellIs" dxfId="5310" priority="2621" operator="equal">
      <formula>"Improving"</formula>
    </cfRule>
    <cfRule type="cellIs" dxfId="5309" priority="2622" operator="equal">
      <formula>"Optimising"</formula>
    </cfRule>
    <cfRule type="cellIs" dxfId="5308" priority="2623" operator="equal">
      <formula>"Proactive"</formula>
    </cfRule>
    <cfRule type="cellIs" dxfId="5307" priority="2624" operator="equal">
      <formula>"Reactive"</formula>
    </cfRule>
    <cfRule type="cellIs" dxfId="5306" priority="2625" operator="equal">
      <formula>"No Formal Approach"</formula>
    </cfRule>
  </conditionalFormatting>
  <conditionalFormatting sqref="I31">
    <cfRule type="cellIs" dxfId="5305" priority="2611" operator="equal">
      <formula>"Improving"</formula>
    </cfRule>
    <cfRule type="cellIs" dxfId="5304" priority="2612" operator="equal">
      <formula>"Optimising"</formula>
    </cfRule>
    <cfRule type="cellIs" dxfId="5303" priority="2613" operator="equal">
      <formula>"Proactive"</formula>
    </cfRule>
    <cfRule type="cellIs" dxfId="5302" priority="2614" operator="equal">
      <formula>"Reactive"</formula>
    </cfRule>
    <cfRule type="cellIs" dxfId="5301" priority="2615" operator="equal">
      <formula>"No Formal Approach"</formula>
    </cfRule>
  </conditionalFormatting>
  <conditionalFormatting sqref="I32">
    <cfRule type="cellIs" dxfId="5300" priority="2601" operator="equal">
      <formula>"Improving"</formula>
    </cfRule>
    <cfRule type="cellIs" dxfId="5299" priority="2602" operator="equal">
      <formula>"Optimising"</formula>
    </cfRule>
    <cfRule type="cellIs" dxfId="5298" priority="2603" operator="equal">
      <formula>"Proactive"</formula>
    </cfRule>
    <cfRule type="cellIs" dxfId="5297" priority="2604" operator="equal">
      <formula>"Reactive"</formula>
    </cfRule>
    <cfRule type="cellIs" dxfId="5296" priority="2605" operator="equal">
      <formula>"No Formal Approach"</formula>
    </cfRule>
  </conditionalFormatting>
  <conditionalFormatting sqref="I34">
    <cfRule type="cellIs" dxfId="5295" priority="2591" operator="equal">
      <formula>"Improving"</formula>
    </cfRule>
    <cfRule type="cellIs" dxfId="5294" priority="2592" operator="equal">
      <formula>"Optimising"</formula>
    </cfRule>
    <cfRule type="cellIs" dxfId="5293" priority="2593" operator="equal">
      <formula>"Proactive"</formula>
    </cfRule>
    <cfRule type="cellIs" dxfId="5292" priority="2594" operator="equal">
      <formula>"Reactive"</formula>
    </cfRule>
    <cfRule type="cellIs" dxfId="5291" priority="2595" operator="equal">
      <formula>"No Formal Approach"</formula>
    </cfRule>
  </conditionalFormatting>
  <conditionalFormatting sqref="I35">
    <cfRule type="cellIs" dxfId="5290" priority="2581" operator="equal">
      <formula>"Improving"</formula>
    </cfRule>
    <cfRule type="cellIs" dxfId="5289" priority="2582" operator="equal">
      <formula>"Optimising"</formula>
    </cfRule>
    <cfRule type="cellIs" dxfId="5288" priority="2583" operator="equal">
      <formula>"Proactive"</formula>
    </cfRule>
    <cfRule type="cellIs" dxfId="5287" priority="2584" operator="equal">
      <formula>"Reactive"</formula>
    </cfRule>
    <cfRule type="cellIs" dxfId="5286" priority="2585" operator="equal">
      <formula>"No Formal Approach"</formula>
    </cfRule>
  </conditionalFormatting>
  <conditionalFormatting sqref="I36">
    <cfRule type="cellIs" dxfId="5285" priority="2571" operator="equal">
      <formula>"Improving"</formula>
    </cfRule>
    <cfRule type="cellIs" dxfId="5284" priority="2572" operator="equal">
      <formula>"Optimising"</formula>
    </cfRule>
    <cfRule type="cellIs" dxfId="5283" priority="2573" operator="equal">
      <formula>"Proactive"</formula>
    </cfRule>
    <cfRule type="cellIs" dxfId="5282" priority="2574" operator="equal">
      <formula>"Reactive"</formula>
    </cfRule>
    <cfRule type="cellIs" dxfId="5281" priority="2575" operator="equal">
      <formula>"No Formal Approach"</formula>
    </cfRule>
  </conditionalFormatting>
  <conditionalFormatting sqref="I37">
    <cfRule type="cellIs" dxfId="5280" priority="2561" operator="equal">
      <formula>"Improving"</formula>
    </cfRule>
    <cfRule type="cellIs" dxfId="5279" priority="2562" operator="equal">
      <formula>"Optimising"</formula>
    </cfRule>
    <cfRule type="cellIs" dxfId="5278" priority="2563" operator="equal">
      <formula>"Proactive"</formula>
    </cfRule>
    <cfRule type="cellIs" dxfId="5277" priority="2564" operator="equal">
      <formula>"Reactive"</formula>
    </cfRule>
    <cfRule type="cellIs" dxfId="5276" priority="2565" operator="equal">
      <formula>"No Formal Approach"</formula>
    </cfRule>
  </conditionalFormatting>
  <conditionalFormatting sqref="I38">
    <cfRule type="cellIs" dxfId="5275" priority="2551" operator="equal">
      <formula>"Improving"</formula>
    </cfRule>
    <cfRule type="cellIs" dxfId="5274" priority="2552" operator="equal">
      <formula>"Optimising"</formula>
    </cfRule>
    <cfRule type="cellIs" dxfId="5273" priority="2553" operator="equal">
      <formula>"Proactive"</formula>
    </cfRule>
    <cfRule type="cellIs" dxfId="5272" priority="2554" operator="equal">
      <formula>"Reactive"</formula>
    </cfRule>
    <cfRule type="cellIs" dxfId="5271" priority="2555" operator="equal">
      <formula>"No Formal Approach"</formula>
    </cfRule>
  </conditionalFormatting>
  <conditionalFormatting sqref="I40">
    <cfRule type="cellIs" dxfId="5270" priority="2531" operator="equal">
      <formula>"Improving"</formula>
    </cfRule>
    <cfRule type="cellIs" dxfId="5269" priority="2532" operator="equal">
      <formula>"Optimising"</formula>
    </cfRule>
    <cfRule type="cellIs" dxfId="5268" priority="2533" operator="equal">
      <formula>"Proactive"</formula>
    </cfRule>
    <cfRule type="cellIs" dxfId="5267" priority="2534" operator="equal">
      <formula>"Reactive"</formula>
    </cfRule>
    <cfRule type="cellIs" dxfId="5266" priority="2535" operator="equal">
      <formula>"No Formal Approach"</formula>
    </cfRule>
  </conditionalFormatting>
  <conditionalFormatting sqref="I41">
    <cfRule type="cellIs" dxfId="5265" priority="2521" operator="equal">
      <formula>"Improving"</formula>
    </cfRule>
    <cfRule type="cellIs" dxfId="5264" priority="2522" operator="equal">
      <formula>"Optimising"</formula>
    </cfRule>
    <cfRule type="cellIs" dxfId="5263" priority="2523" operator="equal">
      <formula>"Proactive"</formula>
    </cfRule>
    <cfRule type="cellIs" dxfId="5262" priority="2524" operator="equal">
      <formula>"Reactive"</formula>
    </cfRule>
    <cfRule type="cellIs" dxfId="5261" priority="2525" operator="equal">
      <formula>"No Formal Approach"</formula>
    </cfRule>
  </conditionalFormatting>
  <conditionalFormatting sqref="I42">
    <cfRule type="cellIs" dxfId="5260" priority="2511" operator="equal">
      <formula>"Improving"</formula>
    </cfRule>
    <cfRule type="cellIs" dxfId="5259" priority="2512" operator="equal">
      <formula>"Optimising"</formula>
    </cfRule>
    <cfRule type="cellIs" dxfId="5258" priority="2513" operator="equal">
      <formula>"Proactive"</formula>
    </cfRule>
    <cfRule type="cellIs" dxfId="5257" priority="2514" operator="equal">
      <formula>"Reactive"</formula>
    </cfRule>
    <cfRule type="cellIs" dxfId="5256" priority="2515" operator="equal">
      <formula>"No Formal Approach"</formula>
    </cfRule>
  </conditionalFormatting>
  <conditionalFormatting sqref="I43">
    <cfRule type="cellIs" dxfId="5255" priority="2501" operator="equal">
      <formula>"Improving"</formula>
    </cfRule>
    <cfRule type="cellIs" dxfId="5254" priority="2502" operator="equal">
      <formula>"Optimising"</formula>
    </cfRule>
    <cfRule type="cellIs" dxfId="5253" priority="2503" operator="equal">
      <formula>"Proactive"</formula>
    </cfRule>
    <cfRule type="cellIs" dxfId="5252" priority="2504" operator="equal">
      <formula>"Reactive"</formula>
    </cfRule>
    <cfRule type="cellIs" dxfId="5251" priority="2505" operator="equal">
      <formula>"No Formal Approach"</formula>
    </cfRule>
  </conditionalFormatting>
  <conditionalFormatting sqref="I44">
    <cfRule type="cellIs" dxfId="5250" priority="2491" operator="equal">
      <formula>"Improving"</formula>
    </cfRule>
    <cfRule type="cellIs" dxfId="5249" priority="2492" operator="equal">
      <formula>"Optimising"</formula>
    </cfRule>
    <cfRule type="cellIs" dxfId="5248" priority="2493" operator="equal">
      <formula>"Proactive"</formula>
    </cfRule>
    <cfRule type="cellIs" dxfId="5247" priority="2494" operator="equal">
      <formula>"Reactive"</formula>
    </cfRule>
    <cfRule type="cellIs" dxfId="5246" priority="2495" operator="equal">
      <formula>"No Formal Approach"</formula>
    </cfRule>
  </conditionalFormatting>
  <conditionalFormatting sqref="I46">
    <cfRule type="cellIs" dxfId="5245" priority="2481" operator="equal">
      <formula>"Improving"</formula>
    </cfRule>
    <cfRule type="cellIs" dxfId="5244" priority="2482" operator="equal">
      <formula>"Optimising"</formula>
    </cfRule>
    <cfRule type="cellIs" dxfId="5243" priority="2483" operator="equal">
      <formula>"Proactive"</formula>
    </cfRule>
    <cfRule type="cellIs" dxfId="5242" priority="2484" operator="equal">
      <formula>"Reactive"</formula>
    </cfRule>
    <cfRule type="cellIs" dxfId="5241" priority="2485" operator="equal">
      <formula>"No Formal Approach"</formula>
    </cfRule>
  </conditionalFormatting>
  <conditionalFormatting sqref="I47">
    <cfRule type="cellIs" dxfId="5240" priority="2471" operator="equal">
      <formula>"Improving"</formula>
    </cfRule>
    <cfRule type="cellIs" dxfId="5239" priority="2472" operator="equal">
      <formula>"Optimising"</formula>
    </cfRule>
    <cfRule type="cellIs" dxfId="5238" priority="2473" operator="equal">
      <formula>"Proactive"</formula>
    </cfRule>
    <cfRule type="cellIs" dxfId="5237" priority="2474" operator="equal">
      <formula>"Reactive"</formula>
    </cfRule>
    <cfRule type="cellIs" dxfId="5236" priority="2475" operator="equal">
      <formula>"No Formal Approach"</formula>
    </cfRule>
  </conditionalFormatting>
  <conditionalFormatting sqref="I49">
    <cfRule type="cellIs" dxfId="5235" priority="2461" operator="equal">
      <formula>"Improving"</formula>
    </cfRule>
    <cfRule type="cellIs" dxfId="5234" priority="2462" operator="equal">
      <formula>"Optimising"</formula>
    </cfRule>
    <cfRule type="cellIs" dxfId="5233" priority="2463" operator="equal">
      <formula>"Proactive"</formula>
    </cfRule>
    <cfRule type="cellIs" dxfId="5232" priority="2464" operator="equal">
      <formula>"Reactive"</formula>
    </cfRule>
    <cfRule type="cellIs" dxfId="5231" priority="2465" operator="equal">
      <formula>"No Formal Approach"</formula>
    </cfRule>
  </conditionalFormatting>
  <conditionalFormatting sqref="I50">
    <cfRule type="cellIs" dxfId="5230" priority="2451" operator="equal">
      <formula>"Improving"</formula>
    </cfRule>
    <cfRule type="cellIs" dxfId="5229" priority="2452" operator="equal">
      <formula>"Optimising"</formula>
    </cfRule>
    <cfRule type="cellIs" dxfId="5228" priority="2453" operator="equal">
      <formula>"Proactive"</formula>
    </cfRule>
    <cfRule type="cellIs" dxfId="5227" priority="2454" operator="equal">
      <formula>"Reactive"</formula>
    </cfRule>
    <cfRule type="cellIs" dxfId="5226" priority="2455" operator="equal">
      <formula>"No Formal Approach"</formula>
    </cfRule>
  </conditionalFormatting>
  <conditionalFormatting sqref="I51">
    <cfRule type="cellIs" dxfId="5225" priority="2441" operator="equal">
      <formula>"Improving"</formula>
    </cfRule>
    <cfRule type="cellIs" dxfId="5224" priority="2442" operator="equal">
      <formula>"Optimising"</formula>
    </cfRule>
    <cfRule type="cellIs" dxfId="5223" priority="2443" operator="equal">
      <formula>"Proactive"</formula>
    </cfRule>
    <cfRule type="cellIs" dxfId="5222" priority="2444" operator="equal">
      <formula>"Reactive"</formula>
    </cfRule>
    <cfRule type="cellIs" dxfId="5221" priority="2445" operator="equal">
      <formula>"No Formal Approach"</formula>
    </cfRule>
  </conditionalFormatting>
  <conditionalFormatting sqref="I53">
    <cfRule type="cellIs" dxfId="5220" priority="2431" operator="equal">
      <formula>"Improving"</formula>
    </cfRule>
    <cfRule type="cellIs" dxfId="5219" priority="2432" operator="equal">
      <formula>"Optimising"</formula>
    </cfRule>
    <cfRule type="cellIs" dxfId="5218" priority="2433" operator="equal">
      <formula>"Proactive"</formula>
    </cfRule>
    <cfRule type="cellIs" dxfId="5217" priority="2434" operator="equal">
      <formula>"Reactive"</formula>
    </cfRule>
    <cfRule type="cellIs" dxfId="5216" priority="2435" operator="equal">
      <formula>"No Formal Approach"</formula>
    </cfRule>
  </conditionalFormatting>
  <conditionalFormatting sqref="I54">
    <cfRule type="cellIs" dxfId="5215" priority="2421" operator="equal">
      <formula>"Improving"</formula>
    </cfRule>
    <cfRule type="cellIs" dxfId="5214" priority="2422" operator="equal">
      <formula>"Optimising"</formula>
    </cfRule>
    <cfRule type="cellIs" dxfId="5213" priority="2423" operator="equal">
      <formula>"Proactive"</formula>
    </cfRule>
    <cfRule type="cellIs" dxfId="5212" priority="2424" operator="equal">
      <formula>"Reactive"</formula>
    </cfRule>
    <cfRule type="cellIs" dxfId="5211" priority="2425" operator="equal">
      <formula>"No Formal Approach"</formula>
    </cfRule>
  </conditionalFormatting>
  <conditionalFormatting sqref="I55">
    <cfRule type="cellIs" dxfId="5210" priority="2411" operator="equal">
      <formula>"Improving"</formula>
    </cfRule>
    <cfRule type="cellIs" dxfId="5209" priority="2412" operator="equal">
      <formula>"Optimising"</formula>
    </cfRule>
    <cfRule type="cellIs" dxfId="5208" priority="2413" operator="equal">
      <formula>"Proactive"</formula>
    </cfRule>
    <cfRule type="cellIs" dxfId="5207" priority="2414" operator="equal">
      <formula>"Reactive"</formula>
    </cfRule>
    <cfRule type="cellIs" dxfId="5206" priority="2415" operator="equal">
      <formula>"No Formal Approach"</formula>
    </cfRule>
  </conditionalFormatting>
  <conditionalFormatting sqref="I56">
    <cfRule type="cellIs" dxfId="5205" priority="2401" operator="equal">
      <formula>"Improving"</formula>
    </cfRule>
    <cfRule type="cellIs" dxfId="5204" priority="2402" operator="equal">
      <formula>"Optimising"</formula>
    </cfRule>
    <cfRule type="cellIs" dxfId="5203" priority="2403" operator="equal">
      <formula>"Proactive"</formula>
    </cfRule>
    <cfRule type="cellIs" dxfId="5202" priority="2404" operator="equal">
      <formula>"Reactive"</formula>
    </cfRule>
    <cfRule type="cellIs" dxfId="5201" priority="2405" operator="equal">
      <formula>"No Formal Approach"</formula>
    </cfRule>
  </conditionalFormatting>
  <conditionalFormatting sqref="I57">
    <cfRule type="cellIs" dxfId="5200" priority="2391" operator="equal">
      <formula>"Improving"</formula>
    </cfRule>
    <cfRule type="cellIs" dxfId="5199" priority="2392" operator="equal">
      <formula>"Optimising"</formula>
    </cfRule>
    <cfRule type="cellIs" dxfId="5198" priority="2393" operator="equal">
      <formula>"Proactive"</formula>
    </cfRule>
    <cfRule type="cellIs" dxfId="5197" priority="2394" operator="equal">
      <formula>"Reactive"</formula>
    </cfRule>
    <cfRule type="cellIs" dxfId="5196" priority="2395" operator="equal">
      <formula>"No Formal Approach"</formula>
    </cfRule>
  </conditionalFormatting>
  <conditionalFormatting sqref="I58">
    <cfRule type="cellIs" dxfId="5195" priority="2381" operator="equal">
      <formula>"Improving"</formula>
    </cfRule>
    <cfRule type="cellIs" dxfId="5194" priority="2382" operator="equal">
      <formula>"Optimising"</formula>
    </cfRule>
    <cfRule type="cellIs" dxfId="5193" priority="2383" operator="equal">
      <formula>"Proactive"</formula>
    </cfRule>
    <cfRule type="cellIs" dxfId="5192" priority="2384" operator="equal">
      <formula>"Reactive"</formula>
    </cfRule>
    <cfRule type="cellIs" dxfId="5191" priority="2385" operator="equal">
      <formula>"No Formal Approach"</formula>
    </cfRule>
  </conditionalFormatting>
  <conditionalFormatting sqref="I59">
    <cfRule type="cellIs" dxfId="5190" priority="2371" operator="equal">
      <formula>"Improving"</formula>
    </cfRule>
    <cfRule type="cellIs" dxfId="5189" priority="2372" operator="equal">
      <formula>"Optimising"</formula>
    </cfRule>
    <cfRule type="cellIs" dxfId="5188" priority="2373" operator="equal">
      <formula>"Proactive"</formula>
    </cfRule>
    <cfRule type="cellIs" dxfId="5187" priority="2374" operator="equal">
      <formula>"Reactive"</formula>
    </cfRule>
    <cfRule type="cellIs" dxfId="5186" priority="2375" operator="equal">
      <formula>"No Formal Approach"</formula>
    </cfRule>
  </conditionalFormatting>
  <conditionalFormatting sqref="I61">
    <cfRule type="cellIs" dxfId="5185" priority="2361" operator="equal">
      <formula>"Improving"</formula>
    </cfRule>
    <cfRule type="cellIs" dxfId="5184" priority="2362" operator="equal">
      <formula>"Optimising"</formula>
    </cfRule>
    <cfRule type="cellIs" dxfId="5183" priority="2363" operator="equal">
      <formula>"Proactive"</formula>
    </cfRule>
    <cfRule type="cellIs" dxfId="5182" priority="2364" operator="equal">
      <formula>"Reactive"</formula>
    </cfRule>
    <cfRule type="cellIs" dxfId="5181" priority="2365" operator="equal">
      <formula>"No Formal Approach"</formula>
    </cfRule>
  </conditionalFormatting>
  <conditionalFormatting sqref="I63">
    <cfRule type="cellIs" dxfId="5180" priority="2351" operator="equal">
      <formula>"Improving"</formula>
    </cfRule>
    <cfRule type="cellIs" dxfId="5179" priority="2352" operator="equal">
      <formula>"Optimising"</formula>
    </cfRule>
    <cfRule type="cellIs" dxfId="5178" priority="2353" operator="equal">
      <formula>"Proactive"</formula>
    </cfRule>
    <cfRule type="cellIs" dxfId="5177" priority="2354" operator="equal">
      <formula>"Reactive"</formula>
    </cfRule>
    <cfRule type="cellIs" dxfId="5176" priority="2355" operator="equal">
      <formula>"No Formal Approach"</formula>
    </cfRule>
  </conditionalFormatting>
  <conditionalFormatting sqref="I62">
    <cfRule type="cellIs" dxfId="5175" priority="2341" operator="equal">
      <formula>"Improving"</formula>
    </cfRule>
    <cfRule type="cellIs" dxfId="5174" priority="2342" operator="equal">
      <formula>"Optimising"</formula>
    </cfRule>
    <cfRule type="cellIs" dxfId="5173" priority="2343" operator="equal">
      <formula>"Proactive"</formula>
    </cfRule>
    <cfRule type="cellIs" dxfId="5172" priority="2344" operator="equal">
      <formula>"Reactive"</formula>
    </cfRule>
    <cfRule type="cellIs" dxfId="5171" priority="2345" operator="equal">
      <formula>"No Formal Approach"</formula>
    </cfRule>
  </conditionalFormatting>
  <conditionalFormatting sqref="I66">
    <cfRule type="cellIs" dxfId="5170" priority="2331" operator="equal">
      <formula>"Improving"</formula>
    </cfRule>
    <cfRule type="cellIs" dxfId="5169" priority="2332" operator="equal">
      <formula>"Optimising"</formula>
    </cfRule>
    <cfRule type="cellIs" dxfId="5168" priority="2333" operator="equal">
      <formula>"Proactive"</formula>
    </cfRule>
    <cfRule type="cellIs" dxfId="5167" priority="2334" operator="equal">
      <formula>"Reactive"</formula>
    </cfRule>
    <cfRule type="cellIs" dxfId="5166" priority="2335" operator="equal">
      <formula>"No Formal Approach"</formula>
    </cfRule>
  </conditionalFormatting>
  <conditionalFormatting sqref="I65">
    <cfRule type="cellIs" dxfId="5165" priority="2321" operator="equal">
      <formula>"Improving"</formula>
    </cfRule>
    <cfRule type="cellIs" dxfId="5164" priority="2322" operator="equal">
      <formula>"Optimising"</formula>
    </cfRule>
    <cfRule type="cellIs" dxfId="5163" priority="2323" operator="equal">
      <formula>"Proactive"</formula>
    </cfRule>
    <cfRule type="cellIs" dxfId="5162" priority="2324" operator="equal">
      <formula>"Reactive"</formula>
    </cfRule>
    <cfRule type="cellIs" dxfId="5161" priority="2325" operator="equal">
      <formula>"No Formal Approach"</formula>
    </cfRule>
  </conditionalFormatting>
  <conditionalFormatting sqref="I67">
    <cfRule type="cellIs" dxfId="5160" priority="2311" operator="equal">
      <formula>"Improving"</formula>
    </cfRule>
    <cfRule type="cellIs" dxfId="5159" priority="2312" operator="equal">
      <formula>"Optimising"</formula>
    </cfRule>
    <cfRule type="cellIs" dxfId="5158" priority="2313" operator="equal">
      <formula>"Proactive"</formula>
    </cfRule>
    <cfRule type="cellIs" dxfId="5157" priority="2314" operator="equal">
      <formula>"Reactive"</formula>
    </cfRule>
    <cfRule type="cellIs" dxfId="5156" priority="2315" operator="equal">
      <formula>"No Formal Approach"</formula>
    </cfRule>
  </conditionalFormatting>
  <conditionalFormatting sqref="I68">
    <cfRule type="cellIs" dxfId="5155" priority="2301" operator="equal">
      <formula>"Improving"</formula>
    </cfRule>
    <cfRule type="cellIs" dxfId="5154" priority="2302" operator="equal">
      <formula>"Optimising"</formula>
    </cfRule>
    <cfRule type="cellIs" dxfId="5153" priority="2303" operator="equal">
      <formula>"Proactive"</formula>
    </cfRule>
    <cfRule type="cellIs" dxfId="5152" priority="2304" operator="equal">
      <formula>"Reactive"</formula>
    </cfRule>
    <cfRule type="cellIs" dxfId="5151" priority="2305" operator="equal">
      <formula>"No Formal Approach"</formula>
    </cfRule>
  </conditionalFormatting>
  <conditionalFormatting sqref="I69">
    <cfRule type="cellIs" dxfId="5150" priority="2291" operator="equal">
      <formula>"Improving"</formula>
    </cfRule>
    <cfRule type="cellIs" dxfId="5149" priority="2292" operator="equal">
      <formula>"Optimising"</formula>
    </cfRule>
    <cfRule type="cellIs" dxfId="5148" priority="2293" operator="equal">
      <formula>"Proactive"</formula>
    </cfRule>
    <cfRule type="cellIs" dxfId="5147" priority="2294" operator="equal">
      <formula>"Reactive"</formula>
    </cfRule>
    <cfRule type="cellIs" dxfId="5146" priority="2295" operator="equal">
      <formula>"No Formal Approach"</formula>
    </cfRule>
  </conditionalFormatting>
  <conditionalFormatting sqref="I70">
    <cfRule type="cellIs" dxfId="5145" priority="2281" operator="equal">
      <formula>"Improving"</formula>
    </cfRule>
    <cfRule type="cellIs" dxfId="5144" priority="2282" operator="equal">
      <formula>"Optimising"</formula>
    </cfRule>
    <cfRule type="cellIs" dxfId="5143" priority="2283" operator="equal">
      <formula>"Proactive"</formula>
    </cfRule>
    <cfRule type="cellIs" dxfId="5142" priority="2284" operator="equal">
      <formula>"Reactive"</formula>
    </cfRule>
    <cfRule type="cellIs" dxfId="5141" priority="2285" operator="equal">
      <formula>"No Formal Approach"</formula>
    </cfRule>
  </conditionalFormatting>
  <conditionalFormatting sqref="I71">
    <cfRule type="cellIs" dxfId="5140" priority="2271" operator="equal">
      <formula>"Improving"</formula>
    </cfRule>
    <cfRule type="cellIs" dxfId="5139" priority="2272" operator="equal">
      <formula>"Optimising"</formula>
    </cfRule>
    <cfRule type="cellIs" dxfId="5138" priority="2273" operator="equal">
      <formula>"Proactive"</formula>
    </cfRule>
    <cfRule type="cellIs" dxfId="5137" priority="2274" operator="equal">
      <formula>"Reactive"</formula>
    </cfRule>
    <cfRule type="cellIs" dxfId="5136" priority="2275" operator="equal">
      <formula>"No Formal Approach"</formula>
    </cfRule>
  </conditionalFormatting>
  <conditionalFormatting sqref="I72">
    <cfRule type="cellIs" dxfId="5135" priority="2261" operator="equal">
      <formula>"Improving"</formula>
    </cfRule>
    <cfRule type="cellIs" dxfId="5134" priority="2262" operator="equal">
      <formula>"Optimising"</formula>
    </cfRule>
    <cfRule type="cellIs" dxfId="5133" priority="2263" operator="equal">
      <formula>"Proactive"</formula>
    </cfRule>
    <cfRule type="cellIs" dxfId="5132" priority="2264" operator="equal">
      <formula>"Reactive"</formula>
    </cfRule>
    <cfRule type="cellIs" dxfId="5131" priority="2265" operator="equal">
      <formula>"No Formal Approach"</formula>
    </cfRule>
  </conditionalFormatting>
  <conditionalFormatting sqref="I73">
    <cfRule type="cellIs" dxfId="5130" priority="2251" operator="equal">
      <formula>"Improving"</formula>
    </cfRule>
    <cfRule type="cellIs" dxfId="5129" priority="2252" operator="equal">
      <formula>"Optimising"</formula>
    </cfRule>
    <cfRule type="cellIs" dxfId="5128" priority="2253" operator="equal">
      <formula>"Proactive"</formula>
    </cfRule>
    <cfRule type="cellIs" dxfId="5127" priority="2254" operator="equal">
      <formula>"Reactive"</formula>
    </cfRule>
    <cfRule type="cellIs" dxfId="5126" priority="2255" operator="equal">
      <formula>"No Formal Approach"</formula>
    </cfRule>
  </conditionalFormatting>
  <conditionalFormatting sqref="I74">
    <cfRule type="cellIs" dxfId="5125" priority="2241" operator="equal">
      <formula>"Improving"</formula>
    </cfRule>
    <cfRule type="cellIs" dxfId="5124" priority="2242" operator="equal">
      <formula>"Optimising"</formula>
    </cfRule>
    <cfRule type="cellIs" dxfId="5123" priority="2243" operator="equal">
      <formula>"Proactive"</formula>
    </cfRule>
    <cfRule type="cellIs" dxfId="5122" priority="2244" operator="equal">
      <formula>"Reactive"</formula>
    </cfRule>
    <cfRule type="cellIs" dxfId="5121" priority="2245" operator="equal">
      <formula>"No Formal Approach"</formula>
    </cfRule>
  </conditionalFormatting>
  <conditionalFormatting sqref="I75">
    <cfRule type="cellIs" dxfId="5120" priority="2231" operator="equal">
      <formula>"Improving"</formula>
    </cfRule>
    <cfRule type="cellIs" dxfId="5119" priority="2232" operator="equal">
      <formula>"Optimising"</formula>
    </cfRule>
    <cfRule type="cellIs" dxfId="5118" priority="2233" operator="equal">
      <formula>"Proactive"</formula>
    </cfRule>
    <cfRule type="cellIs" dxfId="5117" priority="2234" operator="equal">
      <formula>"Reactive"</formula>
    </cfRule>
    <cfRule type="cellIs" dxfId="5116" priority="2235" operator="equal">
      <formula>"No Formal Approach"</formula>
    </cfRule>
  </conditionalFormatting>
  <conditionalFormatting sqref="I76">
    <cfRule type="cellIs" dxfId="5115" priority="2221" operator="equal">
      <formula>"Improving"</formula>
    </cfRule>
    <cfRule type="cellIs" dxfId="5114" priority="2222" operator="equal">
      <formula>"Optimising"</formula>
    </cfRule>
    <cfRule type="cellIs" dxfId="5113" priority="2223" operator="equal">
      <formula>"Proactive"</formula>
    </cfRule>
    <cfRule type="cellIs" dxfId="5112" priority="2224" operator="equal">
      <formula>"Reactive"</formula>
    </cfRule>
    <cfRule type="cellIs" dxfId="5111" priority="2225" operator="equal">
      <formula>"No Formal Approach"</formula>
    </cfRule>
  </conditionalFormatting>
  <conditionalFormatting sqref="I77">
    <cfRule type="cellIs" dxfId="5110" priority="2211" operator="equal">
      <formula>"Improving"</formula>
    </cfRule>
    <cfRule type="cellIs" dxfId="5109" priority="2212" operator="equal">
      <formula>"Optimising"</formula>
    </cfRule>
    <cfRule type="cellIs" dxfId="5108" priority="2213" operator="equal">
      <formula>"Proactive"</formula>
    </cfRule>
    <cfRule type="cellIs" dxfId="5107" priority="2214" operator="equal">
      <formula>"Reactive"</formula>
    </cfRule>
    <cfRule type="cellIs" dxfId="5106" priority="2215" operator="equal">
      <formula>"No Formal Approach"</formula>
    </cfRule>
  </conditionalFormatting>
  <conditionalFormatting sqref="I83">
    <cfRule type="cellIs" dxfId="5105" priority="2191" operator="equal">
      <formula>"Improving"</formula>
    </cfRule>
    <cfRule type="cellIs" dxfId="5104" priority="2192" operator="equal">
      <formula>"Optimising"</formula>
    </cfRule>
    <cfRule type="cellIs" dxfId="5103" priority="2193" operator="equal">
      <formula>"Proactive"</formula>
    </cfRule>
    <cfRule type="cellIs" dxfId="5102" priority="2194" operator="equal">
      <formula>"Reactive"</formula>
    </cfRule>
    <cfRule type="cellIs" dxfId="5101" priority="2195" operator="equal">
      <formula>"No Formal Approach"</formula>
    </cfRule>
  </conditionalFormatting>
  <conditionalFormatting sqref="I82">
    <cfRule type="cellIs" dxfId="5100" priority="2181" operator="equal">
      <formula>"Improving"</formula>
    </cfRule>
    <cfRule type="cellIs" dxfId="5099" priority="2182" operator="equal">
      <formula>"Optimising"</formula>
    </cfRule>
    <cfRule type="cellIs" dxfId="5098" priority="2183" operator="equal">
      <formula>"Proactive"</formula>
    </cfRule>
    <cfRule type="cellIs" dxfId="5097" priority="2184" operator="equal">
      <formula>"Reactive"</formula>
    </cfRule>
    <cfRule type="cellIs" dxfId="5096" priority="2185" operator="equal">
      <formula>"No Formal Approach"</formula>
    </cfRule>
  </conditionalFormatting>
  <conditionalFormatting sqref="I81">
    <cfRule type="cellIs" dxfId="5095" priority="2171" operator="equal">
      <formula>"Improving"</formula>
    </cfRule>
    <cfRule type="cellIs" dxfId="5094" priority="2172" operator="equal">
      <formula>"Optimising"</formula>
    </cfRule>
    <cfRule type="cellIs" dxfId="5093" priority="2173" operator="equal">
      <formula>"Proactive"</formula>
    </cfRule>
    <cfRule type="cellIs" dxfId="5092" priority="2174" operator="equal">
      <formula>"Reactive"</formula>
    </cfRule>
    <cfRule type="cellIs" dxfId="5091" priority="2175" operator="equal">
      <formula>"No Formal Approach"</formula>
    </cfRule>
  </conditionalFormatting>
  <conditionalFormatting sqref="I80">
    <cfRule type="cellIs" dxfId="5090" priority="2161" operator="equal">
      <formula>"Improving"</formula>
    </cfRule>
    <cfRule type="cellIs" dxfId="5089" priority="2162" operator="equal">
      <formula>"Optimising"</formula>
    </cfRule>
    <cfRule type="cellIs" dxfId="5088" priority="2163" operator="equal">
      <formula>"Proactive"</formula>
    </cfRule>
    <cfRule type="cellIs" dxfId="5087" priority="2164" operator="equal">
      <formula>"Reactive"</formula>
    </cfRule>
    <cfRule type="cellIs" dxfId="5086" priority="2165" operator="equal">
      <formula>"No Formal Approach"</formula>
    </cfRule>
  </conditionalFormatting>
  <conditionalFormatting sqref="I79">
    <cfRule type="cellIs" dxfId="5085" priority="2151" operator="equal">
      <formula>"Improving"</formula>
    </cfRule>
    <cfRule type="cellIs" dxfId="5084" priority="2152" operator="equal">
      <formula>"Optimising"</formula>
    </cfRule>
    <cfRule type="cellIs" dxfId="5083" priority="2153" operator="equal">
      <formula>"Proactive"</formula>
    </cfRule>
    <cfRule type="cellIs" dxfId="5082" priority="2154" operator="equal">
      <formula>"Reactive"</formula>
    </cfRule>
    <cfRule type="cellIs" dxfId="5081" priority="2155" operator="equal">
      <formula>"No Formal Approach"</formula>
    </cfRule>
  </conditionalFormatting>
  <conditionalFormatting sqref="I89">
    <cfRule type="cellIs" dxfId="5080" priority="2141" operator="equal">
      <formula>"Improving"</formula>
    </cfRule>
    <cfRule type="cellIs" dxfId="5079" priority="2142" operator="equal">
      <formula>"Optimising"</formula>
    </cfRule>
    <cfRule type="cellIs" dxfId="5078" priority="2143" operator="equal">
      <formula>"Proactive"</formula>
    </cfRule>
    <cfRule type="cellIs" dxfId="5077" priority="2144" operator="equal">
      <formula>"Reactive"</formula>
    </cfRule>
    <cfRule type="cellIs" dxfId="5076" priority="2145" operator="equal">
      <formula>"No Formal Approach"</formula>
    </cfRule>
  </conditionalFormatting>
  <conditionalFormatting sqref="I91">
    <cfRule type="cellIs" dxfId="5075" priority="2131" operator="equal">
      <formula>"Improving"</formula>
    </cfRule>
    <cfRule type="cellIs" dxfId="5074" priority="2132" operator="equal">
      <formula>"Optimising"</formula>
    </cfRule>
    <cfRule type="cellIs" dxfId="5073" priority="2133" operator="equal">
      <formula>"Proactive"</formula>
    </cfRule>
    <cfRule type="cellIs" dxfId="5072" priority="2134" operator="equal">
      <formula>"Reactive"</formula>
    </cfRule>
    <cfRule type="cellIs" dxfId="5071" priority="2135" operator="equal">
      <formula>"No Formal Approach"</formula>
    </cfRule>
  </conditionalFormatting>
  <conditionalFormatting sqref="I90">
    <cfRule type="cellIs" dxfId="5070" priority="2121" operator="equal">
      <formula>"Improving"</formula>
    </cfRule>
    <cfRule type="cellIs" dxfId="5069" priority="2122" operator="equal">
      <formula>"Optimising"</formula>
    </cfRule>
    <cfRule type="cellIs" dxfId="5068" priority="2123" operator="equal">
      <formula>"Proactive"</formula>
    </cfRule>
    <cfRule type="cellIs" dxfId="5067" priority="2124" operator="equal">
      <formula>"Reactive"</formula>
    </cfRule>
    <cfRule type="cellIs" dxfId="5066" priority="2125" operator="equal">
      <formula>"No Formal Approach"</formula>
    </cfRule>
  </conditionalFormatting>
  <conditionalFormatting sqref="I96">
    <cfRule type="cellIs" dxfId="5065" priority="2111" operator="equal">
      <formula>"Improving"</formula>
    </cfRule>
    <cfRule type="cellIs" dxfId="5064" priority="2112" operator="equal">
      <formula>"Optimising"</formula>
    </cfRule>
    <cfRule type="cellIs" dxfId="5063" priority="2113" operator="equal">
      <formula>"Proactive"</formula>
    </cfRule>
    <cfRule type="cellIs" dxfId="5062" priority="2114" operator="equal">
      <formula>"Reactive"</formula>
    </cfRule>
    <cfRule type="cellIs" dxfId="5061" priority="2115" operator="equal">
      <formula>"No Formal Approach"</formula>
    </cfRule>
  </conditionalFormatting>
  <conditionalFormatting sqref="I95">
    <cfRule type="cellIs" dxfId="5060" priority="2101" operator="equal">
      <formula>"Improving"</formula>
    </cfRule>
    <cfRule type="cellIs" dxfId="5059" priority="2102" operator="equal">
      <formula>"Optimising"</formula>
    </cfRule>
    <cfRule type="cellIs" dxfId="5058" priority="2103" operator="equal">
      <formula>"Proactive"</formula>
    </cfRule>
    <cfRule type="cellIs" dxfId="5057" priority="2104" operator="equal">
      <formula>"Reactive"</formula>
    </cfRule>
    <cfRule type="cellIs" dxfId="5056" priority="2105" operator="equal">
      <formula>"No Formal Approach"</formula>
    </cfRule>
  </conditionalFormatting>
  <conditionalFormatting sqref="I94">
    <cfRule type="cellIs" dxfId="5055" priority="2091" operator="equal">
      <formula>"Improving"</formula>
    </cfRule>
    <cfRule type="cellIs" dxfId="5054" priority="2092" operator="equal">
      <formula>"Optimising"</formula>
    </cfRule>
    <cfRule type="cellIs" dxfId="5053" priority="2093" operator="equal">
      <formula>"Proactive"</formula>
    </cfRule>
    <cfRule type="cellIs" dxfId="5052" priority="2094" operator="equal">
      <formula>"Reactive"</formula>
    </cfRule>
    <cfRule type="cellIs" dxfId="5051" priority="2095" operator="equal">
      <formula>"No Formal Approach"</formula>
    </cfRule>
  </conditionalFormatting>
  <conditionalFormatting sqref="I93">
    <cfRule type="cellIs" dxfId="5050" priority="2081" operator="equal">
      <formula>"Improving"</formula>
    </cfRule>
    <cfRule type="cellIs" dxfId="5049" priority="2082" operator="equal">
      <formula>"Optimising"</formula>
    </cfRule>
    <cfRule type="cellIs" dxfId="5048" priority="2083" operator="equal">
      <formula>"Proactive"</formula>
    </cfRule>
    <cfRule type="cellIs" dxfId="5047" priority="2084" operator="equal">
      <formula>"Reactive"</formula>
    </cfRule>
    <cfRule type="cellIs" dxfId="5046" priority="2085" operator="equal">
      <formula>"No Formal Approach"</formula>
    </cfRule>
  </conditionalFormatting>
  <conditionalFormatting sqref="I98">
    <cfRule type="cellIs" dxfId="5045" priority="2071" operator="equal">
      <formula>"Improving"</formula>
    </cfRule>
    <cfRule type="cellIs" dxfId="5044" priority="2072" operator="equal">
      <formula>"Optimising"</formula>
    </cfRule>
    <cfRule type="cellIs" dxfId="5043" priority="2073" operator="equal">
      <formula>"Proactive"</formula>
    </cfRule>
    <cfRule type="cellIs" dxfId="5042" priority="2074" operator="equal">
      <formula>"Reactive"</formula>
    </cfRule>
    <cfRule type="cellIs" dxfId="5041" priority="2075" operator="equal">
      <formula>"No Formal Approach"</formula>
    </cfRule>
  </conditionalFormatting>
  <conditionalFormatting sqref="I99">
    <cfRule type="cellIs" dxfId="5040" priority="2061" operator="equal">
      <formula>"Improving"</formula>
    </cfRule>
    <cfRule type="cellIs" dxfId="5039" priority="2062" operator="equal">
      <formula>"Optimising"</formula>
    </cfRule>
    <cfRule type="cellIs" dxfId="5038" priority="2063" operator="equal">
      <formula>"Proactive"</formula>
    </cfRule>
    <cfRule type="cellIs" dxfId="5037" priority="2064" operator="equal">
      <formula>"Reactive"</formula>
    </cfRule>
    <cfRule type="cellIs" dxfId="5036" priority="2065" operator="equal">
      <formula>"No Formal Approach"</formula>
    </cfRule>
  </conditionalFormatting>
  <conditionalFormatting sqref="I100">
    <cfRule type="cellIs" dxfId="5035" priority="2051" operator="equal">
      <formula>"Improving"</formula>
    </cfRule>
    <cfRule type="cellIs" dxfId="5034" priority="2052" operator="equal">
      <formula>"Optimising"</formula>
    </cfRule>
    <cfRule type="cellIs" dxfId="5033" priority="2053" operator="equal">
      <formula>"Proactive"</formula>
    </cfRule>
    <cfRule type="cellIs" dxfId="5032" priority="2054" operator="equal">
      <formula>"Reactive"</formula>
    </cfRule>
    <cfRule type="cellIs" dxfId="5031" priority="2055" operator="equal">
      <formula>"No Formal Approach"</formula>
    </cfRule>
  </conditionalFormatting>
  <conditionalFormatting sqref="I101">
    <cfRule type="cellIs" dxfId="5030" priority="2041" operator="equal">
      <formula>"Improving"</formula>
    </cfRule>
    <cfRule type="cellIs" dxfId="5029" priority="2042" operator="equal">
      <formula>"Optimising"</formula>
    </cfRule>
    <cfRule type="cellIs" dxfId="5028" priority="2043" operator="equal">
      <formula>"Proactive"</formula>
    </cfRule>
    <cfRule type="cellIs" dxfId="5027" priority="2044" operator="equal">
      <formula>"Reactive"</formula>
    </cfRule>
    <cfRule type="cellIs" dxfId="5026" priority="2045" operator="equal">
      <formula>"No Formal Approach"</formula>
    </cfRule>
  </conditionalFormatting>
  <conditionalFormatting sqref="I102">
    <cfRule type="cellIs" dxfId="5025" priority="2031" operator="equal">
      <formula>"Improving"</formula>
    </cfRule>
    <cfRule type="cellIs" dxfId="5024" priority="2032" operator="equal">
      <formula>"Optimising"</formula>
    </cfRule>
    <cfRule type="cellIs" dxfId="5023" priority="2033" operator="equal">
      <formula>"Proactive"</formula>
    </cfRule>
    <cfRule type="cellIs" dxfId="5022" priority="2034" operator="equal">
      <formula>"Reactive"</formula>
    </cfRule>
    <cfRule type="cellIs" dxfId="5021" priority="2035" operator="equal">
      <formula>"No Formal Approach"</formula>
    </cfRule>
  </conditionalFormatting>
  <conditionalFormatting sqref="I103">
    <cfRule type="cellIs" dxfId="5020" priority="2021" operator="equal">
      <formula>"Improving"</formula>
    </cfRule>
    <cfRule type="cellIs" dxfId="5019" priority="2022" operator="equal">
      <formula>"Optimising"</formula>
    </cfRule>
    <cfRule type="cellIs" dxfId="5018" priority="2023" operator="equal">
      <formula>"Proactive"</formula>
    </cfRule>
    <cfRule type="cellIs" dxfId="5017" priority="2024" operator="equal">
      <formula>"Reactive"</formula>
    </cfRule>
    <cfRule type="cellIs" dxfId="5016" priority="2025" operator="equal">
      <formula>"No Formal Approach"</formula>
    </cfRule>
  </conditionalFormatting>
  <conditionalFormatting sqref="I104">
    <cfRule type="cellIs" dxfId="5015" priority="2011" operator="equal">
      <formula>"Improving"</formula>
    </cfRule>
    <cfRule type="cellIs" dxfId="5014" priority="2012" operator="equal">
      <formula>"Optimising"</formula>
    </cfRule>
    <cfRule type="cellIs" dxfId="5013" priority="2013" operator="equal">
      <formula>"Proactive"</formula>
    </cfRule>
    <cfRule type="cellIs" dxfId="5012" priority="2014" operator="equal">
      <formula>"Reactive"</formula>
    </cfRule>
    <cfRule type="cellIs" dxfId="5011" priority="2015" operator="equal">
      <formula>"No Formal Approach"</formula>
    </cfRule>
  </conditionalFormatting>
  <conditionalFormatting sqref="I105">
    <cfRule type="cellIs" dxfId="5010" priority="2001" operator="equal">
      <formula>"Improving"</formula>
    </cfRule>
    <cfRule type="cellIs" dxfId="5009" priority="2002" operator="equal">
      <formula>"Optimising"</formula>
    </cfRule>
    <cfRule type="cellIs" dxfId="5008" priority="2003" operator="equal">
      <formula>"Proactive"</formula>
    </cfRule>
    <cfRule type="cellIs" dxfId="5007" priority="2004" operator="equal">
      <formula>"Reactive"</formula>
    </cfRule>
    <cfRule type="cellIs" dxfId="5006" priority="2005" operator="equal">
      <formula>"No Formal Approach"</formula>
    </cfRule>
  </conditionalFormatting>
  <conditionalFormatting sqref="I106">
    <cfRule type="cellIs" dxfId="5005" priority="1991" operator="equal">
      <formula>"Improving"</formula>
    </cfRule>
    <cfRule type="cellIs" dxfId="5004" priority="1992" operator="equal">
      <formula>"Optimising"</formula>
    </cfRule>
    <cfRule type="cellIs" dxfId="5003" priority="1993" operator="equal">
      <formula>"Proactive"</formula>
    </cfRule>
    <cfRule type="cellIs" dxfId="5002" priority="1994" operator="equal">
      <formula>"Reactive"</formula>
    </cfRule>
    <cfRule type="cellIs" dxfId="5001" priority="1995" operator="equal">
      <formula>"No Formal Approach"</formula>
    </cfRule>
  </conditionalFormatting>
  <conditionalFormatting sqref="I107">
    <cfRule type="cellIs" dxfId="5000" priority="1981" operator="equal">
      <formula>"Improving"</formula>
    </cfRule>
    <cfRule type="cellIs" dxfId="4999" priority="1982" operator="equal">
      <formula>"Optimising"</formula>
    </cfRule>
    <cfRule type="cellIs" dxfId="4998" priority="1983" operator="equal">
      <formula>"Proactive"</formula>
    </cfRule>
    <cfRule type="cellIs" dxfId="4997" priority="1984" operator="equal">
      <formula>"Reactive"</formula>
    </cfRule>
    <cfRule type="cellIs" dxfId="4996" priority="1985" operator="equal">
      <formula>"No Formal Approach"</formula>
    </cfRule>
  </conditionalFormatting>
  <conditionalFormatting sqref="I108">
    <cfRule type="cellIs" dxfId="4995" priority="1971" operator="equal">
      <formula>"Improving"</formula>
    </cfRule>
    <cfRule type="cellIs" dxfId="4994" priority="1972" operator="equal">
      <formula>"Optimising"</formula>
    </cfRule>
    <cfRule type="cellIs" dxfId="4993" priority="1973" operator="equal">
      <formula>"Proactive"</formula>
    </cfRule>
    <cfRule type="cellIs" dxfId="4992" priority="1974" operator="equal">
      <formula>"Reactive"</formula>
    </cfRule>
    <cfRule type="cellIs" dxfId="4991" priority="1975" operator="equal">
      <formula>"No Formal Approach"</formula>
    </cfRule>
  </conditionalFormatting>
  <conditionalFormatting sqref="I111">
    <cfRule type="cellIs" dxfId="4990" priority="1961" operator="equal">
      <formula>"Improving"</formula>
    </cfRule>
    <cfRule type="cellIs" dxfId="4989" priority="1962" operator="equal">
      <formula>"Optimising"</formula>
    </cfRule>
    <cfRule type="cellIs" dxfId="4988" priority="1963" operator="equal">
      <formula>"Proactive"</formula>
    </cfRule>
    <cfRule type="cellIs" dxfId="4987" priority="1964" operator="equal">
      <formula>"Reactive"</formula>
    </cfRule>
    <cfRule type="cellIs" dxfId="4986" priority="1965" operator="equal">
      <formula>"No Formal Approach"</formula>
    </cfRule>
  </conditionalFormatting>
  <conditionalFormatting sqref="I110">
    <cfRule type="cellIs" dxfId="4985" priority="1951" operator="equal">
      <formula>"Improving"</formula>
    </cfRule>
    <cfRule type="cellIs" dxfId="4984" priority="1952" operator="equal">
      <formula>"Optimising"</formula>
    </cfRule>
    <cfRule type="cellIs" dxfId="4983" priority="1953" operator="equal">
      <formula>"Proactive"</formula>
    </cfRule>
    <cfRule type="cellIs" dxfId="4982" priority="1954" operator="equal">
      <formula>"Reactive"</formula>
    </cfRule>
    <cfRule type="cellIs" dxfId="4981" priority="1955" operator="equal">
      <formula>"No Formal Approach"</formula>
    </cfRule>
  </conditionalFormatting>
  <conditionalFormatting sqref="I112">
    <cfRule type="cellIs" dxfId="4980" priority="1941" operator="equal">
      <formula>"Improving"</formula>
    </cfRule>
    <cfRule type="cellIs" dxfId="4979" priority="1942" operator="equal">
      <formula>"Optimising"</formula>
    </cfRule>
    <cfRule type="cellIs" dxfId="4978" priority="1943" operator="equal">
      <formula>"Proactive"</formula>
    </cfRule>
    <cfRule type="cellIs" dxfId="4977" priority="1944" operator="equal">
      <formula>"Reactive"</formula>
    </cfRule>
    <cfRule type="cellIs" dxfId="4976" priority="1945" operator="equal">
      <formula>"No Formal Approach"</formula>
    </cfRule>
  </conditionalFormatting>
  <conditionalFormatting sqref="I113">
    <cfRule type="cellIs" dxfId="4975" priority="1931" operator="equal">
      <formula>"Improving"</formula>
    </cfRule>
    <cfRule type="cellIs" dxfId="4974" priority="1932" operator="equal">
      <formula>"Optimising"</formula>
    </cfRule>
    <cfRule type="cellIs" dxfId="4973" priority="1933" operator="equal">
      <formula>"Proactive"</formula>
    </cfRule>
    <cfRule type="cellIs" dxfId="4972" priority="1934" operator="equal">
      <formula>"Reactive"</formula>
    </cfRule>
    <cfRule type="cellIs" dxfId="4971" priority="1935" operator="equal">
      <formula>"No Formal Approach"</formula>
    </cfRule>
  </conditionalFormatting>
  <conditionalFormatting sqref="I114">
    <cfRule type="cellIs" dxfId="4970" priority="1921" operator="equal">
      <formula>"Improving"</formula>
    </cfRule>
    <cfRule type="cellIs" dxfId="4969" priority="1922" operator="equal">
      <formula>"Optimising"</formula>
    </cfRule>
    <cfRule type="cellIs" dxfId="4968" priority="1923" operator="equal">
      <formula>"Proactive"</formula>
    </cfRule>
    <cfRule type="cellIs" dxfId="4967" priority="1924" operator="equal">
      <formula>"Reactive"</formula>
    </cfRule>
    <cfRule type="cellIs" dxfId="4966" priority="1925" operator="equal">
      <formula>"No Formal Approach"</formula>
    </cfRule>
  </conditionalFormatting>
  <conditionalFormatting sqref="I115">
    <cfRule type="cellIs" dxfId="4965" priority="1911" operator="equal">
      <formula>"Improving"</formula>
    </cfRule>
    <cfRule type="cellIs" dxfId="4964" priority="1912" operator="equal">
      <formula>"Optimising"</formula>
    </cfRule>
    <cfRule type="cellIs" dxfId="4963" priority="1913" operator="equal">
      <formula>"Proactive"</formula>
    </cfRule>
    <cfRule type="cellIs" dxfId="4962" priority="1914" operator="equal">
      <formula>"Reactive"</formula>
    </cfRule>
    <cfRule type="cellIs" dxfId="4961" priority="1915" operator="equal">
      <formula>"No Formal Approach"</formula>
    </cfRule>
  </conditionalFormatting>
  <conditionalFormatting sqref="I116">
    <cfRule type="cellIs" dxfId="4960" priority="1901" operator="equal">
      <formula>"Improving"</formula>
    </cfRule>
    <cfRule type="cellIs" dxfId="4959" priority="1902" operator="equal">
      <formula>"Optimising"</formula>
    </cfRule>
    <cfRule type="cellIs" dxfId="4958" priority="1903" operator="equal">
      <formula>"Proactive"</formula>
    </cfRule>
    <cfRule type="cellIs" dxfId="4957" priority="1904" operator="equal">
      <formula>"Reactive"</formula>
    </cfRule>
    <cfRule type="cellIs" dxfId="4956" priority="1905" operator="equal">
      <formula>"No Formal Approach"</formula>
    </cfRule>
  </conditionalFormatting>
  <conditionalFormatting sqref="I117">
    <cfRule type="cellIs" dxfId="4955" priority="1891" operator="equal">
      <formula>"Improving"</formula>
    </cfRule>
    <cfRule type="cellIs" dxfId="4954" priority="1892" operator="equal">
      <formula>"Optimising"</formula>
    </cfRule>
    <cfRule type="cellIs" dxfId="4953" priority="1893" operator="equal">
      <formula>"Proactive"</formula>
    </cfRule>
    <cfRule type="cellIs" dxfId="4952" priority="1894" operator="equal">
      <formula>"Reactive"</formula>
    </cfRule>
    <cfRule type="cellIs" dxfId="4951" priority="1895" operator="equal">
      <formula>"No Formal Approach"</formula>
    </cfRule>
  </conditionalFormatting>
  <conditionalFormatting sqref="I118">
    <cfRule type="cellIs" dxfId="4950" priority="1881" operator="equal">
      <formula>"Improving"</formula>
    </cfRule>
    <cfRule type="cellIs" dxfId="4949" priority="1882" operator="equal">
      <formula>"Optimising"</formula>
    </cfRule>
    <cfRule type="cellIs" dxfId="4948" priority="1883" operator="equal">
      <formula>"Proactive"</formula>
    </cfRule>
    <cfRule type="cellIs" dxfId="4947" priority="1884" operator="equal">
      <formula>"Reactive"</formula>
    </cfRule>
    <cfRule type="cellIs" dxfId="4946" priority="1885" operator="equal">
      <formula>"No Formal Approach"</formula>
    </cfRule>
  </conditionalFormatting>
  <conditionalFormatting sqref="I119">
    <cfRule type="cellIs" dxfId="4945" priority="1871" operator="equal">
      <formula>"Improving"</formula>
    </cfRule>
    <cfRule type="cellIs" dxfId="4944" priority="1872" operator="equal">
      <formula>"Optimising"</formula>
    </cfRule>
    <cfRule type="cellIs" dxfId="4943" priority="1873" operator="equal">
      <formula>"Proactive"</formula>
    </cfRule>
    <cfRule type="cellIs" dxfId="4942" priority="1874" operator="equal">
      <formula>"Reactive"</formula>
    </cfRule>
    <cfRule type="cellIs" dxfId="4941" priority="1875" operator="equal">
      <formula>"No Formal Approach"</formula>
    </cfRule>
  </conditionalFormatting>
  <conditionalFormatting sqref="I122">
    <cfRule type="cellIs" dxfId="4940" priority="1861" operator="equal">
      <formula>"Improving"</formula>
    </cfRule>
    <cfRule type="cellIs" dxfId="4939" priority="1862" operator="equal">
      <formula>"Optimising"</formula>
    </cfRule>
    <cfRule type="cellIs" dxfId="4938" priority="1863" operator="equal">
      <formula>"Proactive"</formula>
    </cfRule>
    <cfRule type="cellIs" dxfId="4937" priority="1864" operator="equal">
      <formula>"Reactive"</formula>
    </cfRule>
    <cfRule type="cellIs" dxfId="4936" priority="1865" operator="equal">
      <formula>"No Formal Approach"</formula>
    </cfRule>
  </conditionalFormatting>
  <conditionalFormatting sqref="I121">
    <cfRule type="cellIs" dxfId="4935" priority="1851" operator="equal">
      <formula>"Improving"</formula>
    </cfRule>
    <cfRule type="cellIs" dxfId="4934" priority="1852" operator="equal">
      <formula>"Optimising"</formula>
    </cfRule>
    <cfRule type="cellIs" dxfId="4933" priority="1853" operator="equal">
      <formula>"Proactive"</formula>
    </cfRule>
    <cfRule type="cellIs" dxfId="4932" priority="1854" operator="equal">
      <formula>"Reactive"</formula>
    </cfRule>
    <cfRule type="cellIs" dxfId="4931" priority="1855" operator="equal">
      <formula>"No Formal Approach"</formula>
    </cfRule>
  </conditionalFormatting>
  <conditionalFormatting sqref="I124">
    <cfRule type="cellIs" dxfId="4930" priority="1841" operator="equal">
      <formula>"Improving"</formula>
    </cfRule>
    <cfRule type="cellIs" dxfId="4929" priority="1842" operator="equal">
      <formula>"Optimising"</formula>
    </cfRule>
    <cfRule type="cellIs" dxfId="4928" priority="1843" operator="equal">
      <formula>"Proactive"</formula>
    </cfRule>
    <cfRule type="cellIs" dxfId="4927" priority="1844" operator="equal">
      <formula>"Reactive"</formula>
    </cfRule>
    <cfRule type="cellIs" dxfId="4926" priority="1845" operator="equal">
      <formula>"No Formal Approach"</formula>
    </cfRule>
  </conditionalFormatting>
  <conditionalFormatting sqref="I126">
    <cfRule type="cellIs" dxfId="4925" priority="1831" operator="equal">
      <formula>"Improving"</formula>
    </cfRule>
    <cfRule type="cellIs" dxfId="4924" priority="1832" operator="equal">
      <formula>"Optimising"</formula>
    </cfRule>
    <cfRule type="cellIs" dxfId="4923" priority="1833" operator="equal">
      <formula>"Proactive"</formula>
    </cfRule>
    <cfRule type="cellIs" dxfId="4922" priority="1834" operator="equal">
      <formula>"Reactive"</formula>
    </cfRule>
    <cfRule type="cellIs" dxfId="4921" priority="1835" operator="equal">
      <formula>"No Formal Approach"</formula>
    </cfRule>
  </conditionalFormatting>
  <conditionalFormatting sqref="I125">
    <cfRule type="cellIs" dxfId="4920" priority="1821" operator="equal">
      <formula>"Improving"</formula>
    </cfRule>
    <cfRule type="cellIs" dxfId="4919" priority="1822" operator="equal">
      <formula>"Optimising"</formula>
    </cfRule>
    <cfRule type="cellIs" dxfId="4918" priority="1823" operator="equal">
      <formula>"Proactive"</formula>
    </cfRule>
    <cfRule type="cellIs" dxfId="4917" priority="1824" operator="equal">
      <formula>"Reactive"</formula>
    </cfRule>
    <cfRule type="cellIs" dxfId="4916" priority="1825" operator="equal">
      <formula>"No Formal Approach"</formula>
    </cfRule>
  </conditionalFormatting>
  <conditionalFormatting sqref="I128">
    <cfRule type="cellIs" dxfId="4915" priority="1811" operator="equal">
      <formula>"Improving"</formula>
    </cfRule>
    <cfRule type="cellIs" dxfId="4914" priority="1812" operator="equal">
      <formula>"Optimising"</formula>
    </cfRule>
    <cfRule type="cellIs" dxfId="4913" priority="1813" operator="equal">
      <formula>"Proactive"</formula>
    </cfRule>
    <cfRule type="cellIs" dxfId="4912" priority="1814" operator="equal">
      <formula>"Reactive"</formula>
    </cfRule>
    <cfRule type="cellIs" dxfId="4911" priority="1815" operator="equal">
      <formula>"No Formal Approach"</formula>
    </cfRule>
  </conditionalFormatting>
  <conditionalFormatting sqref="I129">
    <cfRule type="cellIs" dxfId="4910" priority="1801" operator="equal">
      <formula>"Improving"</formula>
    </cfRule>
    <cfRule type="cellIs" dxfId="4909" priority="1802" operator="equal">
      <formula>"Optimising"</formula>
    </cfRule>
    <cfRule type="cellIs" dxfId="4908" priority="1803" operator="equal">
      <formula>"Proactive"</formula>
    </cfRule>
    <cfRule type="cellIs" dxfId="4907" priority="1804" operator="equal">
      <formula>"Reactive"</formula>
    </cfRule>
    <cfRule type="cellIs" dxfId="4906" priority="1805" operator="equal">
      <formula>"No Formal Approach"</formula>
    </cfRule>
  </conditionalFormatting>
  <conditionalFormatting sqref="I130">
    <cfRule type="cellIs" dxfId="4905" priority="1791" operator="equal">
      <formula>"Improving"</formula>
    </cfRule>
    <cfRule type="cellIs" dxfId="4904" priority="1792" operator="equal">
      <formula>"Optimising"</formula>
    </cfRule>
    <cfRule type="cellIs" dxfId="4903" priority="1793" operator="equal">
      <formula>"Proactive"</formula>
    </cfRule>
    <cfRule type="cellIs" dxfId="4902" priority="1794" operator="equal">
      <formula>"Reactive"</formula>
    </cfRule>
    <cfRule type="cellIs" dxfId="4901" priority="1795" operator="equal">
      <formula>"No Formal Approach"</formula>
    </cfRule>
  </conditionalFormatting>
  <conditionalFormatting sqref="I132">
    <cfRule type="cellIs" dxfId="4900" priority="1781" operator="equal">
      <formula>"Improving"</formula>
    </cfRule>
    <cfRule type="cellIs" dxfId="4899" priority="1782" operator="equal">
      <formula>"Optimising"</formula>
    </cfRule>
    <cfRule type="cellIs" dxfId="4898" priority="1783" operator="equal">
      <formula>"Proactive"</formula>
    </cfRule>
    <cfRule type="cellIs" dxfId="4897" priority="1784" operator="equal">
      <formula>"Reactive"</formula>
    </cfRule>
    <cfRule type="cellIs" dxfId="4896" priority="1785" operator="equal">
      <formula>"No Formal Approach"</formula>
    </cfRule>
  </conditionalFormatting>
  <conditionalFormatting sqref="I133">
    <cfRule type="cellIs" dxfId="4895" priority="1771" operator="equal">
      <formula>"Improving"</formula>
    </cfRule>
    <cfRule type="cellIs" dxfId="4894" priority="1772" operator="equal">
      <formula>"Optimising"</formula>
    </cfRule>
    <cfRule type="cellIs" dxfId="4893" priority="1773" operator="equal">
      <formula>"Proactive"</formula>
    </cfRule>
    <cfRule type="cellIs" dxfId="4892" priority="1774" operator="equal">
      <formula>"Reactive"</formula>
    </cfRule>
    <cfRule type="cellIs" dxfId="4891" priority="1775" operator="equal">
      <formula>"No Formal Approach"</formula>
    </cfRule>
  </conditionalFormatting>
  <conditionalFormatting sqref="I138">
    <cfRule type="cellIs" dxfId="4890" priority="1761" operator="equal">
      <formula>"Improving"</formula>
    </cfRule>
    <cfRule type="cellIs" dxfId="4889" priority="1762" operator="equal">
      <formula>"Optimising"</formula>
    </cfRule>
    <cfRule type="cellIs" dxfId="4888" priority="1763" operator="equal">
      <formula>"Proactive"</formula>
    </cfRule>
    <cfRule type="cellIs" dxfId="4887" priority="1764" operator="equal">
      <formula>"Reactive"</formula>
    </cfRule>
    <cfRule type="cellIs" dxfId="4886" priority="1765" operator="equal">
      <formula>"No Formal Approach"</formula>
    </cfRule>
  </conditionalFormatting>
  <conditionalFormatting sqref="I137">
    <cfRule type="cellIs" dxfId="4885" priority="1751" operator="equal">
      <formula>"Improving"</formula>
    </cfRule>
    <cfRule type="cellIs" dxfId="4884" priority="1752" operator="equal">
      <formula>"Optimising"</formula>
    </cfRule>
    <cfRule type="cellIs" dxfId="4883" priority="1753" operator="equal">
      <formula>"Proactive"</formula>
    </cfRule>
    <cfRule type="cellIs" dxfId="4882" priority="1754" operator="equal">
      <formula>"Reactive"</formula>
    </cfRule>
    <cfRule type="cellIs" dxfId="4881" priority="1755" operator="equal">
      <formula>"No Formal Approach"</formula>
    </cfRule>
  </conditionalFormatting>
  <conditionalFormatting sqref="I136">
    <cfRule type="cellIs" dxfId="4880" priority="1741" operator="equal">
      <formula>"Improving"</formula>
    </cfRule>
    <cfRule type="cellIs" dxfId="4879" priority="1742" operator="equal">
      <formula>"Optimising"</formula>
    </cfRule>
    <cfRule type="cellIs" dxfId="4878" priority="1743" operator="equal">
      <formula>"Proactive"</formula>
    </cfRule>
    <cfRule type="cellIs" dxfId="4877" priority="1744" operator="equal">
      <formula>"Reactive"</formula>
    </cfRule>
    <cfRule type="cellIs" dxfId="4876" priority="1745" operator="equal">
      <formula>"No Formal Approach"</formula>
    </cfRule>
  </conditionalFormatting>
  <conditionalFormatting sqref="I135">
    <cfRule type="cellIs" dxfId="4875" priority="1731" operator="equal">
      <formula>"Improving"</formula>
    </cfRule>
    <cfRule type="cellIs" dxfId="4874" priority="1732" operator="equal">
      <formula>"Optimising"</formula>
    </cfRule>
    <cfRule type="cellIs" dxfId="4873" priority="1733" operator="equal">
      <formula>"Proactive"</formula>
    </cfRule>
    <cfRule type="cellIs" dxfId="4872" priority="1734" operator="equal">
      <formula>"Reactive"</formula>
    </cfRule>
    <cfRule type="cellIs" dxfId="4871" priority="1735" operator="equal">
      <formula>"No Formal Approach"</formula>
    </cfRule>
  </conditionalFormatting>
  <conditionalFormatting sqref="G5">
    <cfRule type="cellIs" dxfId="4870" priority="1401" operator="between">
      <formula>13</formula>
      <formula>15.9999</formula>
    </cfRule>
    <cfRule type="cellIs" dxfId="4869" priority="1402" operator="between">
      <formula>10</formula>
      <formula>12.9999</formula>
    </cfRule>
    <cfRule type="cellIs" dxfId="4868" priority="1403" operator="between">
      <formula>7</formula>
      <formula>9.9999</formula>
    </cfRule>
    <cfRule type="cellIs" dxfId="4867" priority="1404" operator="between">
      <formula>4</formula>
      <formula>6.9999</formula>
    </cfRule>
    <cfRule type="cellIs" dxfId="4866" priority="1405" operator="between">
      <formula>0.1</formula>
      <formula>3.9999</formula>
    </cfRule>
  </conditionalFormatting>
  <conditionalFormatting sqref="I5">
    <cfRule type="cellIs" dxfId="4865" priority="1391" operator="equal">
      <formula>"Improving"</formula>
    </cfRule>
    <cfRule type="cellIs" dxfId="4864" priority="1392" operator="equal">
      <formula>"Optimising"</formula>
    </cfRule>
    <cfRule type="cellIs" dxfId="4863" priority="1393" operator="equal">
      <formula>"Proactive"</formula>
    </cfRule>
    <cfRule type="cellIs" dxfId="4862" priority="1394" operator="equal">
      <formula>"Reactive"</formula>
    </cfRule>
    <cfRule type="cellIs" dxfId="4861" priority="1395" operator="equal">
      <formula>"No Formal Approach"</formula>
    </cfRule>
  </conditionalFormatting>
  <conditionalFormatting sqref="G24">
    <cfRule type="cellIs" dxfId="4860" priority="1376" operator="between">
      <formula>13</formula>
      <formula>15.9999</formula>
    </cfRule>
    <cfRule type="cellIs" dxfId="4859" priority="1377" operator="between">
      <formula>10</formula>
      <formula>12.9999</formula>
    </cfRule>
    <cfRule type="cellIs" dxfId="4858" priority="1378" operator="between">
      <formula>7</formula>
      <formula>9.9999</formula>
    </cfRule>
    <cfRule type="cellIs" dxfId="4857" priority="1379" operator="between">
      <formula>4</formula>
      <formula>6.9999</formula>
    </cfRule>
    <cfRule type="cellIs" dxfId="4856" priority="1380" operator="between">
      <formula>0.1</formula>
      <formula>3.9999</formula>
    </cfRule>
  </conditionalFormatting>
  <conditionalFormatting sqref="I24">
    <cfRule type="cellIs" dxfId="4855" priority="1371" operator="equal">
      <formula>"Improving"</formula>
    </cfRule>
    <cfRule type="cellIs" dxfId="4854" priority="1372" operator="equal">
      <formula>"Optimising"</formula>
    </cfRule>
    <cfRule type="cellIs" dxfId="4853" priority="1373" operator="equal">
      <formula>"Proactive"</formula>
    </cfRule>
    <cfRule type="cellIs" dxfId="4852" priority="1374" operator="equal">
      <formula>"Reactive"</formula>
    </cfRule>
    <cfRule type="cellIs" dxfId="4851" priority="1375" operator="equal">
      <formula>"No Formal Approach"</formula>
    </cfRule>
  </conditionalFormatting>
  <conditionalFormatting sqref="G33">
    <cfRule type="cellIs" dxfId="4850" priority="1366" operator="between">
      <formula>13</formula>
      <formula>15.9999</formula>
    </cfRule>
    <cfRule type="cellIs" dxfId="4849" priority="1367" operator="between">
      <formula>10</formula>
      <formula>12.9999</formula>
    </cfRule>
    <cfRule type="cellIs" dxfId="4848" priority="1368" operator="between">
      <formula>7</formula>
      <formula>9.9999</formula>
    </cfRule>
    <cfRule type="cellIs" dxfId="4847" priority="1369" operator="between">
      <formula>4</formula>
      <formula>6.9999</formula>
    </cfRule>
    <cfRule type="cellIs" dxfId="4846" priority="1370" operator="between">
      <formula>0.1</formula>
      <formula>3.9999</formula>
    </cfRule>
  </conditionalFormatting>
  <conditionalFormatting sqref="I33">
    <cfRule type="cellIs" dxfId="4845" priority="1361" operator="equal">
      <formula>"Improving"</formula>
    </cfRule>
    <cfRule type="cellIs" dxfId="4844" priority="1362" operator="equal">
      <formula>"Optimising"</formula>
    </cfRule>
    <cfRule type="cellIs" dxfId="4843" priority="1363" operator="equal">
      <formula>"Proactive"</formula>
    </cfRule>
    <cfRule type="cellIs" dxfId="4842" priority="1364" operator="equal">
      <formula>"Reactive"</formula>
    </cfRule>
    <cfRule type="cellIs" dxfId="4841" priority="1365" operator="equal">
      <formula>"No Formal Approach"</formula>
    </cfRule>
  </conditionalFormatting>
  <conditionalFormatting sqref="G39">
    <cfRule type="cellIs" dxfId="4840" priority="1356" operator="between">
      <formula>13</formula>
      <formula>15.9999</formula>
    </cfRule>
    <cfRule type="cellIs" dxfId="4839" priority="1357" operator="between">
      <formula>10</formula>
      <formula>12.9999</formula>
    </cfRule>
    <cfRule type="cellIs" dxfId="4838" priority="1358" operator="between">
      <formula>7</formula>
      <formula>9.9999</formula>
    </cfRule>
    <cfRule type="cellIs" dxfId="4837" priority="1359" operator="between">
      <formula>4</formula>
      <formula>6.9999</formula>
    </cfRule>
    <cfRule type="cellIs" dxfId="4836" priority="1360" operator="between">
      <formula>0.1</formula>
      <formula>3.9999</formula>
    </cfRule>
  </conditionalFormatting>
  <conditionalFormatting sqref="I39">
    <cfRule type="cellIs" dxfId="4835" priority="1351" operator="equal">
      <formula>"Improving"</formula>
    </cfRule>
    <cfRule type="cellIs" dxfId="4834" priority="1352" operator="equal">
      <formula>"Optimising"</formula>
    </cfRule>
    <cfRule type="cellIs" dxfId="4833" priority="1353" operator="equal">
      <formula>"Proactive"</formula>
    </cfRule>
    <cfRule type="cellIs" dxfId="4832" priority="1354" operator="equal">
      <formula>"Reactive"</formula>
    </cfRule>
    <cfRule type="cellIs" dxfId="4831" priority="1355" operator="equal">
      <formula>"No Formal Approach"</formula>
    </cfRule>
  </conditionalFormatting>
  <conditionalFormatting sqref="G45">
    <cfRule type="cellIs" dxfId="4830" priority="1346" operator="between">
      <formula>13</formula>
      <formula>15.9999</formula>
    </cfRule>
    <cfRule type="cellIs" dxfId="4829" priority="1347" operator="between">
      <formula>10</formula>
      <formula>12.9999</formula>
    </cfRule>
    <cfRule type="cellIs" dxfId="4828" priority="1348" operator="between">
      <formula>7</formula>
      <formula>9.9999</formula>
    </cfRule>
    <cfRule type="cellIs" dxfId="4827" priority="1349" operator="between">
      <formula>4</formula>
      <formula>6.9999</formula>
    </cfRule>
    <cfRule type="cellIs" dxfId="4826" priority="1350" operator="between">
      <formula>0.1</formula>
      <formula>3.9999</formula>
    </cfRule>
  </conditionalFormatting>
  <conditionalFormatting sqref="I45">
    <cfRule type="cellIs" dxfId="4825" priority="1341" operator="equal">
      <formula>"Improving"</formula>
    </cfRule>
    <cfRule type="cellIs" dxfId="4824" priority="1342" operator="equal">
      <formula>"Optimising"</formula>
    </cfRule>
    <cfRule type="cellIs" dxfId="4823" priority="1343" operator="equal">
      <formula>"Proactive"</formula>
    </cfRule>
    <cfRule type="cellIs" dxfId="4822" priority="1344" operator="equal">
      <formula>"Reactive"</formula>
    </cfRule>
    <cfRule type="cellIs" dxfId="4821" priority="1345" operator="equal">
      <formula>"No Formal Approach"</formula>
    </cfRule>
  </conditionalFormatting>
  <conditionalFormatting sqref="G48">
    <cfRule type="cellIs" dxfId="4820" priority="1336" operator="between">
      <formula>13</formula>
      <formula>15.9999</formula>
    </cfRule>
    <cfRule type="cellIs" dxfId="4819" priority="1337" operator="between">
      <formula>10</formula>
      <formula>12.9999</formula>
    </cfRule>
    <cfRule type="cellIs" dxfId="4818" priority="1338" operator="between">
      <formula>7</formula>
      <formula>9.9999</formula>
    </cfRule>
    <cfRule type="cellIs" dxfId="4817" priority="1339" operator="between">
      <formula>4</formula>
      <formula>6.9999</formula>
    </cfRule>
    <cfRule type="cellIs" dxfId="4816" priority="1340" operator="between">
      <formula>0.1</formula>
      <formula>3.9999</formula>
    </cfRule>
  </conditionalFormatting>
  <conditionalFormatting sqref="I48">
    <cfRule type="cellIs" dxfId="4815" priority="1331" operator="equal">
      <formula>"Improving"</formula>
    </cfRule>
    <cfRule type="cellIs" dxfId="4814" priority="1332" operator="equal">
      <formula>"Optimising"</formula>
    </cfRule>
    <cfRule type="cellIs" dxfId="4813" priority="1333" operator="equal">
      <formula>"Proactive"</formula>
    </cfRule>
    <cfRule type="cellIs" dxfId="4812" priority="1334" operator="equal">
      <formula>"Reactive"</formula>
    </cfRule>
    <cfRule type="cellIs" dxfId="4811" priority="1335" operator="equal">
      <formula>"No Formal Approach"</formula>
    </cfRule>
  </conditionalFormatting>
  <conditionalFormatting sqref="G52">
    <cfRule type="cellIs" dxfId="4810" priority="1326" operator="between">
      <formula>13</formula>
      <formula>15.9999</formula>
    </cfRule>
    <cfRule type="cellIs" dxfId="4809" priority="1327" operator="between">
      <formula>10</formula>
      <formula>12.9999</formula>
    </cfRule>
    <cfRule type="cellIs" dxfId="4808" priority="1328" operator="between">
      <formula>7</formula>
      <formula>9.9999</formula>
    </cfRule>
    <cfRule type="cellIs" dxfId="4807" priority="1329" operator="between">
      <formula>4</formula>
      <formula>6.9999</formula>
    </cfRule>
    <cfRule type="cellIs" dxfId="4806" priority="1330" operator="between">
      <formula>0.1</formula>
      <formula>3.9999</formula>
    </cfRule>
  </conditionalFormatting>
  <conditionalFormatting sqref="I52">
    <cfRule type="cellIs" dxfId="4805" priority="1321" operator="equal">
      <formula>"Improving"</formula>
    </cfRule>
    <cfRule type="cellIs" dxfId="4804" priority="1322" operator="equal">
      <formula>"Optimising"</formula>
    </cfRule>
    <cfRule type="cellIs" dxfId="4803" priority="1323" operator="equal">
      <formula>"Proactive"</formula>
    </cfRule>
    <cfRule type="cellIs" dxfId="4802" priority="1324" operator="equal">
      <formula>"Reactive"</formula>
    </cfRule>
    <cfRule type="cellIs" dxfId="4801" priority="1325" operator="equal">
      <formula>"No Formal Approach"</formula>
    </cfRule>
  </conditionalFormatting>
  <conditionalFormatting sqref="G60">
    <cfRule type="cellIs" dxfId="4800" priority="1316" operator="between">
      <formula>13</formula>
      <formula>15.9999</formula>
    </cfRule>
    <cfRule type="cellIs" dxfId="4799" priority="1317" operator="between">
      <formula>10</formula>
      <formula>12.9999</formula>
    </cfRule>
    <cfRule type="cellIs" dxfId="4798" priority="1318" operator="between">
      <formula>7</formula>
      <formula>9.9999</formula>
    </cfRule>
    <cfRule type="cellIs" dxfId="4797" priority="1319" operator="between">
      <formula>4</formula>
      <formula>6.9999</formula>
    </cfRule>
    <cfRule type="cellIs" dxfId="4796" priority="1320" operator="between">
      <formula>0.1</formula>
      <formula>3.9999</formula>
    </cfRule>
  </conditionalFormatting>
  <conditionalFormatting sqref="I60">
    <cfRule type="cellIs" dxfId="4795" priority="1311" operator="equal">
      <formula>"Improving"</formula>
    </cfRule>
    <cfRule type="cellIs" dxfId="4794" priority="1312" operator="equal">
      <formula>"Optimising"</formula>
    </cfRule>
    <cfRule type="cellIs" dxfId="4793" priority="1313" operator="equal">
      <formula>"Proactive"</formula>
    </cfRule>
    <cfRule type="cellIs" dxfId="4792" priority="1314" operator="equal">
      <formula>"Reactive"</formula>
    </cfRule>
    <cfRule type="cellIs" dxfId="4791" priority="1315" operator="equal">
      <formula>"No Formal Approach"</formula>
    </cfRule>
  </conditionalFormatting>
  <conditionalFormatting sqref="G64">
    <cfRule type="cellIs" dxfId="4790" priority="1306" operator="between">
      <formula>13</formula>
      <formula>15.9999</formula>
    </cfRule>
    <cfRule type="cellIs" dxfId="4789" priority="1307" operator="between">
      <formula>10</formula>
      <formula>12.9999</formula>
    </cfRule>
    <cfRule type="cellIs" dxfId="4788" priority="1308" operator="between">
      <formula>7</formula>
      <formula>9.9999</formula>
    </cfRule>
    <cfRule type="cellIs" dxfId="4787" priority="1309" operator="between">
      <formula>4</formula>
      <formula>6.9999</formula>
    </cfRule>
    <cfRule type="cellIs" dxfId="4786" priority="1310" operator="between">
      <formula>0.1</formula>
      <formula>3.9999</formula>
    </cfRule>
  </conditionalFormatting>
  <conditionalFormatting sqref="I64">
    <cfRule type="cellIs" dxfId="4785" priority="1301" operator="equal">
      <formula>"Improving"</formula>
    </cfRule>
    <cfRule type="cellIs" dxfId="4784" priority="1302" operator="equal">
      <formula>"Optimising"</formula>
    </cfRule>
    <cfRule type="cellIs" dxfId="4783" priority="1303" operator="equal">
      <formula>"Proactive"</formula>
    </cfRule>
    <cfRule type="cellIs" dxfId="4782" priority="1304" operator="equal">
      <formula>"Reactive"</formula>
    </cfRule>
    <cfRule type="cellIs" dxfId="4781" priority="1305" operator="equal">
      <formula>"No Formal Approach"</formula>
    </cfRule>
  </conditionalFormatting>
  <conditionalFormatting sqref="G78">
    <cfRule type="cellIs" dxfId="4780" priority="1296" operator="between">
      <formula>13</formula>
      <formula>15.9999</formula>
    </cfRule>
    <cfRule type="cellIs" dxfId="4779" priority="1297" operator="between">
      <formula>10</formula>
      <formula>12.9999</formula>
    </cfRule>
    <cfRule type="cellIs" dxfId="4778" priority="1298" operator="between">
      <formula>7</formula>
      <formula>9.9999</formula>
    </cfRule>
    <cfRule type="cellIs" dxfId="4777" priority="1299" operator="between">
      <formula>4</formula>
      <formula>6.9999</formula>
    </cfRule>
    <cfRule type="cellIs" dxfId="4776" priority="1300" operator="between">
      <formula>0.1</formula>
      <formula>3.9999</formula>
    </cfRule>
  </conditionalFormatting>
  <conditionalFormatting sqref="I78">
    <cfRule type="cellIs" dxfId="4775" priority="1291" operator="equal">
      <formula>"Improving"</formula>
    </cfRule>
    <cfRule type="cellIs" dxfId="4774" priority="1292" operator="equal">
      <formula>"Optimising"</formula>
    </cfRule>
    <cfRule type="cellIs" dxfId="4773" priority="1293" operator="equal">
      <formula>"Proactive"</formula>
    </cfRule>
    <cfRule type="cellIs" dxfId="4772" priority="1294" operator="equal">
      <formula>"Reactive"</formula>
    </cfRule>
    <cfRule type="cellIs" dxfId="4771" priority="1295" operator="equal">
      <formula>"No Formal Approach"</formula>
    </cfRule>
  </conditionalFormatting>
  <conditionalFormatting sqref="G88">
    <cfRule type="cellIs" dxfId="4770" priority="1286" operator="between">
      <formula>13</formula>
      <formula>15.9999</formula>
    </cfRule>
    <cfRule type="cellIs" dxfId="4769" priority="1287" operator="between">
      <formula>10</formula>
      <formula>12.9999</formula>
    </cfRule>
    <cfRule type="cellIs" dxfId="4768" priority="1288" operator="between">
      <formula>7</formula>
      <formula>9.9999</formula>
    </cfRule>
    <cfRule type="cellIs" dxfId="4767" priority="1289" operator="between">
      <formula>4</formula>
      <formula>6.9999</formula>
    </cfRule>
    <cfRule type="cellIs" dxfId="4766" priority="1290" operator="between">
      <formula>0.1</formula>
      <formula>3.9999</formula>
    </cfRule>
  </conditionalFormatting>
  <conditionalFormatting sqref="I88">
    <cfRule type="cellIs" dxfId="4765" priority="1281" operator="equal">
      <formula>"Improving"</formula>
    </cfRule>
    <cfRule type="cellIs" dxfId="4764" priority="1282" operator="equal">
      <formula>"Optimising"</formula>
    </cfRule>
    <cfRule type="cellIs" dxfId="4763" priority="1283" operator="equal">
      <formula>"Proactive"</formula>
    </cfRule>
    <cfRule type="cellIs" dxfId="4762" priority="1284" operator="equal">
      <formula>"Reactive"</formula>
    </cfRule>
    <cfRule type="cellIs" dxfId="4761" priority="1285" operator="equal">
      <formula>"No Formal Approach"</formula>
    </cfRule>
  </conditionalFormatting>
  <conditionalFormatting sqref="G92">
    <cfRule type="cellIs" dxfId="4760" priority="1276" operator="between">
      <formula>13</formula>
      <formula>15.9999</formula>
    </cfRule>
    <cfRule type="cellIs" dxfId="4759" priority="1277" operator="between">
      <formula>10</formula>
      <formula>12.9999</formula>
    </cfRule>
    <cfRule type="cellIs" dxfId="4758" priority="1278" operator="between">
      <formula>7</formula>
      <formula>9.9999</formula>
    </cfRule>
    <cfRule type="cellIs" dxfId="4757" priority="1279" operator="between">
      <formula>4</formula>
      <formula>6.9999</formula>
    </cfRule>
    <cfRule type="cellIs" dxfId="4756" priority="1280" operator="between">
      <formula>0.1</formula>
      <formula>3.9999</formula>
    </cfRule>
  </conditionalFormatting>
  <conditionalFormatting sqref="I92">
    <cfRule type="cellIs" dxfId="4755" priority="1271" operator="equal">
      <formula>"Improving"</formula>
    </cfRule>
    <cfRule type="cellIs" dxfId="4754" priority="1272" operator="equal">
      <formula>"Optimising"</formula>
    </cfRule>
    <cfRule type="cellIs" dxfId="4753" priority="1273" operator="equal">
      <formula>"Proactive"</formula>
    </cfRule>
    <cfRule type="cellIs" dxfId="4752" priority="1274" operator="equal">
      <formula>"Reactive"</formula>
    </cfRule>
    <cfRule type="cellIs" dxfId="4751" priority="1275" operator="equal">
      <formula>"No Formal Approach"</formula>
    </cfRule>
  </conditionalFormatting>
  <conditionalFormatting sqref="G97">
    <cfRule type="cellIs" dxfId="4750" priority="1266" operator="between">
      <formula>13</formula>
      <formula>15.9999</formula>
    </cfRule>
    <cfRule type="cellIs" dxfId="4749" priority="1267" operator="between">
      <formula>10</formula>
      <formula>12.9999</formula>
    </cfRule>
    <cfRule type="cellIs" dxfId="4748" priority="1268" operator="between">
      <formula>7</formula>
      <formula>9.9999</formula>
    </cfRule>
    <cfRule type="cellIs" dxfId="4747" priority="1269" operator="between">
      <formula>4</formula>
      <formula>6.9999</formula>
    </cfRule>
    <cfRule type="cellIs" dxfId="4746" priority="1270" operator="between">
      <formula>0.1</formula>
      <formula>3.9999</formula>
    </cfRule>
  </conditionalFormatting>
  <conditionalFormatting sqref="I97">
    <cfRule type="cellIs" dxfId="4745" priority="1261" operator="equal">
      <formula>"Improving"</formula>
    </cfRule>
    <cfRule type="cellIs" dxfId="4744" priority="1262" operator="equal">
      <formula>"Optimising"</formula>
    </cfRule>
    <cfRule type="cellIs" dxfId="4743" priority="1263" operator="equal">
      <formula>"Proactive"</formula>
    </cfRule>
    <cfRule type="cellIs" dxfId="4742" priority="1264" operator="equal">
      <formula>"Reactive"</formula>
    </cfRule>
    <cfRule type="cellIs" dxfId="4741" priority="1265" operator="equal">
      <formula>"No Formal Approach"</formula>
    </cfRule>
  </conditionalFormatting>
  <conditionalFormatting sqref="G109">
    <cfRule type="cellIs" dxfId="4740" priority="1256" operator="between">
      <formula>13</formula>
      <formula>15.9999</formula>
    </cfRule>
    <cfRule type="cellIs" dxfId="4739" priority="1257" operator="between">
      <formula>10</formula>
      <formula>12.9999</formula>
    </cfRule>
    <cfRule type="cellIs" dxfId="4738" priority="1258" operator="between">
      <formula>7</formula>
      <formula>9.9999</formula>
    </cfRule>
    <cfRule type="cellIs" dxfId="4737" priority="1259" operator="between">
      <formula>4</formula>
      <formula>6.9999</formula>
    </cfRule>
    <cfRule type="cellIs" dxfId="4736" priority="1260" operator="between">
      <formula>0.1</formula>
      <formula>3.9999</formula>
    </cfRule>
  </conditionalFormatting>
  <conditionalFormatting sqref="I109">
    <cfRule type="cellIs" dxfId="4735" priority="1251" operator="equal">
      <formula>"Improving"</formula>
    </cfRule>
    <cfRule type="cellIs" dxfId="4734" priority="1252" operator="equal">
      <formula>"Optimising"</formula>
    </cfRule>
    <cfRule type="cellIs" dxfId="4733" priority="1253" operator="equal">
      <formula>"Proactive"</formula>
    </cfRule>
    <cfRule type="cellIs" dxfId="4732" priority="1254" operator="equal">
      <formula>"Reactive"</formula>
    </cfRule>
    <cfRule type="cellIs" dxfId="4731" priority="1255" operator="equal">
      <formula>"No Formal Approach"</formula>
    </cfRule>
  </conditionalFormatting>
  <conditionalFormatting sqref="G120">
    <cfRule type="cellIs" dxfId="4730" priority="1246" operator="between">
      <formula>13</formula>
      <formula>15.9999</formula>
    </cfRule>
    <cfRule type="cellIs" dxfId="4729" priority="1247" operator="between">
      <formula>10</formula>
      <formula>12.9999</formula>
    </cfRule>
    <cfRule type="cellIs" dxfId="4728" priority="1248" operator="between">
      <formula>7</formula>
      <formula>9.9999</formula>
    </cfRule>
    <cfRule type="cellIs" dxfId="4727" priority="1249" operator="between">
      <formula>4</formula>
      <formula>6.9999</formula>
    </cfRule>
    <cfRule type="cellIs" dxfId="4726" priority="1250" operator="between">
      <formula>0.1</formula>
      <formula>3.9999</formula>
    </cfRule>
  </conditionalFormatting>
  <conditionalFormatting sqref="I120">
    <cfRule type="cellIs" dxfId="4725" priority="1241" operator="equal">
      <formula>"Improving"</formula>
    </cfRule>
    <cfRule type="cellIs" dxfId="4724" priority="1242" operator="equal">
      <formula>"Optimising"</formula>
    </cfRule>
    <cfRule type="cellIs" dxfId="4723" priority="1243" operator="equal">
      <formula>"Proactive"</formula>
    </cfRule>
    <cfRule type="cellIs" dxfId="4722" priority="1244" operator="equal">
      <formula>"Reactive"</formula>
    </cfRule>
    <cfRule type="cellIs" dxfId="4721" priority="1245" operator="equal">
      <formula>"No Formal Approach"</formula>
    </cfRule>
  </conditionalFormatting>
  <conditionalFormatting sqref="G123">
    <cfRule type="cellIs" dxfId="4720" priority="1236" operator="between">
      <formula>13</formula>
      <formula>15.9999</formula>
    </cfRule>
    <cfRule type="cellIs" dxfId="4719" priority="1237" operator="between">
      <formula>10</formula>
      <formula>12.9999</formula>
    </cfRule>
    <cfRule type="cellIs" dxfId="4718" priority="1238" operator="between">
      <formula>7</formula>
      <formula>9.9999</formula>
    </cfRule>
    <cfRule type="cellIs" dxfId="4717" priority="1239" operator="between">
      <formula>4</formula>
      <formula>6.9999</formula>
    </cfRule>
    <cfRule type="cellIs" dxfId="4716" priority="1240" operator="between">
      <formula>0.1</formula>
      <formula>3.9999</formula>
    </cfRule>
  </conditionalFormatting>
  <conditionalFormatting sqref="I123">
    <cfRule type="cellIs" dxfId="4715" priority="1231" operator="equal">
      <formula>"Improving"</formula>
    </cfRule>
    <cfRule type="cellIs" dxfId="4714" priority="1232" operator="equal">
      <formula>"Optimising"</formula>
    </cfRule>
    <cfRule type="cellIs" dxfId="4713" priority="1233" operator="equal">
      <formula>"Proactive"</formula>
    </cfRule>
    <cfRule type="cellIs" dxfId="4712" priority="1234" operator="equal">
      <formula>"Reactive"</formula>
    </cfRule>
    <cfRule type="cellIs" dxfId="4711" priority="1235" operator="equal">
      <formula>"No Formal Approach"</formula>
    </cfRule>
  </conditionalFormatting>
  <conditionalFormatting sqref="G127">
    <cfRule type="cellIs" dxfId="4710" priority="1226" operator="between">
      <formula>13</formula>
      <formula>15.9999</formula>
    </cfRule>
    <cfRule type="cellIs" dxfId="4709" priority="1227" operator="between">
      <formula>10</formula>
      <formula>12.9999</formula>
    </cfRule>
    <cfRule type="cellIs" dxfId="4708" priority="1228" operator="between">
      <formula>7</formula>
      <formula>9.9999</formula>
    </cfRule>
    <cfRule type="cellIs" dxfId="4707" priority="1229" operator="between">
      <formula>4</formula>
      <formula>6.9999</formula>
    </cfRule>
    <cfRule type="cellIs" dxfId="4706" priority="1230" operator="between">
      <formula>0.1</formula>
      <formula>3.9999</formula>
    </cfRule>
  </conditionalFormatting>
  <conditionalFormatting sqref="I127">
    <cfRule type="cellIs" dxfId="4705" priority="1221" operator="equal">
      <formula>"Improving"</formula>
    </cfRule>
    <cfRule type="cellIs" dxfId="4704" priority="1222" operator="equal">
      <formula>"Optimising"</formula>
    </cfRule>
    <cfRule type="cellIs" dxfId="4703" priority="1223" operator="equal">
      <formula>"Proactive"</formula>
    </cfRule>
    <cfRule type="cellIs" dxfId="4702" priority="1224" operator="equal">
      <formula>"Reactive"</formula>
    </cfRule>
    <cfRule type="cellIs" dxfId="4701" priority="1225" operator="equal">
      <formula>"No Formal Approach"</formula>
    </cfRule>
  </conditionalFormatting>
  <conditionalFormatting sqref="G131">
    <cfRule type="cellIs" dxfId="4700" priority="1216" operator="between">
      <formula>13</formula>
      <formula>15.9999</formula>
    </cfRule>
    <cfRule type="cellIs" dxfId="4699" priority="1217" operator="between">
      <formula>10</formula>
      <formula>12.9999</formula>
    </cfRule>
    <cfRule type="cellIs" dxfId="4698" priority="1218" operator="between">
      <formula>7</formula>
      <formula>9.9999</formula>
    </cfRule>
    <cfRule type="cellIs" dxfId="4697" priority="1219" operator="between">
      <formula>4</formula>
      <formula>6.9999</formula>
    </cfRule>
    <cfRule type="cellIs" dxfId="4696" priority="1220" operator="between">
      <formula>0.1</formula>
      <formula>3.9999</formula>
    </cfRule>
  </conditionalFormatting>
  <conditionalFormatting sqref="I131">
    <cfRule type="cellIs" dxfId="4695" priority="1211" operator="equal">
      <formula>"Improving"</formula>
    </cfRule>
    <cfRule type="cellIs" dxfId="4694" priority="1212" operator="equal">
      <formula>"Optimising"</formula>
    </cfRule>
    <cfRule type="cellIs" dxfId="4693" priority="1213" operator="equal">
      <formula>"Proactive"</formula>
    </cfRule>
    <cfRule type="cellIs" dxfId="4692" priority="1214" operator="equal">
      <formula>"Reactive"</formula>
    </cfRule>
    <cfRule type="cellIs" dxfId="4691" priority="1215" operator="equal">
      <formula>"No Formal Approach"</formula>
    </cfRule>
  </conditionalFormatting>
  <conditionalFormatting sqref="G134">
    <cfRule type="cellIs" dxfId="4690" priority="1206" operator="between">
      <formula>13</formula>
      <formula>15.9999</formula>
    </cfRule>
    <cfRule type="cellIs" dxfId="4689" priority="1207" operator="between">
      <formula>10</formula>
      <formula>12.9999</formula>
    </cfRule>
    <cfRule type="cellIs" dxfId="4688" priority="1208" operator="between">
      <formula>7</formula>
      <formula>9.9999</formula>
    </cfRule>
    <cfRule type="cellIs" dxfId="4687" priority="1209" operator="between">
      <formula>4</formula>
      <formula>6.9999</formula>
    </cfRule>
    <cfRule type="cellIs" dxfId="4686" priority="1210" operator="between">
      <formula>0.1</formula>
      <formula>3.9999</formula>
    </cfRule>
  </conditionalFormatting>
  <conditionalFormatting sqref="I134">
    <cfRule type="cellIs" dxfId="4685" priority="1201" operator="equal">
      <formula>"Improving"</formula>
    </cfRule>
    <cfRule type="cellIs" dxfId="4684" priority="1202" operator="equal">
      <formula>"Optimising"</formula>
    </cfRule>
    <cfRule type="cellIs" dxfId="4683" priority="1203" operator="equal">
      <formula>"Proactive"</formula>
    </cfRule>
    <cfRule type="cellIs" dxfId="4682" priority="1204" operator="equal">
      <formula>"Reactive"</formula>
    </cfRule>
    <cfRule type="cellIs" dxfId="4681" priority="1205" operator="equal">
      <formula>"No Formal Approach"</formula>
    </cfRule>
  </conditionalFormatting>
  <conditionalFormatting sqref="G139">
    <cfRule type="cellIs" dxfId="4680" priority="1196" operator="between">
      <formula>13</formula>
      <formula>15.9999</formula>
    </cfRule>
    <cfRule type="cellIs" dxfId="4679" priority="1197" operator="between">
      <formula>10</formula>
      <formula>12.9999</formula>
    </cfRule>
    <cfRule type="cellIs" dxfId="4678" priority="1198" operator="between">
      <formula>7</formula>
      <formula>9.9999</formula>
    </cfRule>
    <cfRule type="cellIs" dxfId="4677" priority="1199" operator="between">
      <formula>4</formula>
      <formula>6.9999</formula>
    </cfRule>
    <cfRule type="cellIs" dxfId="4676" priority="1200" operator="between">
      <formula>0.1</formula>
      <formula>3.9999</formula>
    </cfRule>
  </conditionalFormatting>
  <conditionalFormatting sqref="I139">
    <cfRule type="cellIs" dxfId="4675" priority="1191" operator="equal">
      <formula>"Improving"</formula>
    </cfRule>
    <cfRule type="cellIs" dxfId="4674" priority="1192" operator="equal">
      <formula>"Optimising"</formula>
    </cfRule>
    <cfRule type="cellIs" dxfId="4673" priority="1193" operator="equal">
      <formula>"Proactive"</formula>
    </cfRule>
    <cfRule type="cellIs" dxfId="4672" priority="1194" operator="equal">
      <formula>"Reactive"</formula>
    </cfRule>
    <cfRule type="cellIs" dxfId="4671" priority="1195" operator="equal">
      <formula>"No Formal Approach"</formula>
    </cfRule>
  </conditionalFormatting>
  <conditionalFormatting sqref="I143">
    <cfRule type="cellIs" dxfId="4670" priority="1181" operator="equal">
      <formula>"Improving"</formula>
    </cfRule>
    <cfRule type="cellIs" dxfId="4669" priority="1182" operator="equal">
      <formula>"Optimising"</formula>
    </cfRule>
    <cfRule type="cellIs" dxfId="4668" priority="1183" operator="equal">
      <formula>"Proactive"</formula>
    </cfRule>
    <cfRule type="cellIs" dxfId="4667" priority="1184" operator="equal">
      <formula>"Reactive"</formula>
    </cfRule>
    <cfRule type="cellIs" dxfId="4666" priority="1185" operator="equal">
      <formula>"No Formal Approach"</formula>
    </cfRule>
  </conditionalFormatting>
  <conditionalFormatting sqref="I144">
    <cfRule type="cellIs" dxfId="4665" priority="1171" operator="equal">
      <formula>"Improving"</formula>
    </cfRule>
    <cfRule type="cellIs" dxfId="4664" priority="1172" operator="equal">
      <formula>"Optimising"</formula>
    </cfRule>
    <cfRule type="cellIs" dxfId="4663" priority="1173" operator="equal">
      <formula>"Proactive"</formula>
    </cfRule>
    <cfRule type="cellIs" dxfId="4662" priority="1174" operator="equal">
      <formula>"Reactive"</formula>
    </cfRule>
    <cfRule type="cellIs" dxfId="4661" priority="1175" operator="equal">
      <formula>"No Formal Approach"</formula>
    </cfRule>
  </conditionalFormatting>
  <conditionalFormatting sqref="I145">
    <cfRule type="cellIs" dxfId="4660" priority="1161" operator="equal">
      <formula>"Improving"</formula>
    </cfRule>
    <cfRule type="cellIs" dxfId="4659" priority="1162" operator="equal">
      <formula>"Optimising"</formula>
    </cfRule>
    <cfRule type="cellIs" dxfId="4658" priority="1163" operator="equal">
      <formula>"Proactive"</formula>
    </cfRule>
    <cfRule type="cellIs" dxfId="4657" priority="1164" operator="equal">
      <formula>"Reactive"</formula>
    </cfRule>
    <cfRule type="cellIs" dxfId="4656" priority="1165" operator="equal">
      <formula>"No Formal Approach"</formula>
    </cfRule>
  </conditionalFormatting>
  <conditionalFormatting sqref="I146">
    <cfRule type="cellIs" dxfId="4655" priority="1151" operator="equal">
      <formula>"Improving"</formula>
    </cfRule>
    <cfRule type="cellIs" dxfId="4654" priority="1152" operator="equal">
      <formula>"Optimising"</formula>
    </cfRule>
    <cfRule type="cellIs" dxfId="4653" priority="1153" operator="equal">
      <formula>"Proactive"</formula>
    </cfRule>
    <cfRule type="cellIs" dxfId="4652" priority="1154" operator="equal">
      <formula>"Reactive"</formula>
    </cfRule>
    <cfRule type="cellIs" dxfId="4651" priority="1155" operator="equal">
      <formula>"No Formal Approach"</formula>
    </cfRule>
  </conditionalFormatting>
  <conditionalFormatting sqref="I147">
    <cfRule type="cellIs" dxfId="4650" priority="1141" operator="equal">
      <formula>"Improving"</formula>
    </cfRule>
    <cfRule type="cellIs" dxfId="4649" priority="1142" operator="equal">
      <formula>"Optimising"</formula>
    </cfRule>
    <cfRule type="cellIs" dxfId="4648" priority="1143" operator="equal">
      <formula>"Proactive"</formula>
    </cfRule>
    <cfRule type="cellIs" dxfId="4647" priority="1144" operator="equal">
      <formula>"Reactive"</formula>
    </cfRule>
    <cfRule type="cellIs" dxfId="4646" priority="1145" operator="equal">
      <formula>"No Formal Approach"</formula>
    </cfRule>
  </conditionalFormatting>
  <conditionalFormatting sqref="I148">
    <cfRule type="cellIs" dxfId="4645" priority="1131" operator="equal">
      <formula>"Improving"</formula>
    </cfRule>
    <cfRule type="cellIs" dxfId="4644" priority="1132" operator="equal">
      <formula>"Optimising"</formula>
    </cfRule>
    <cfRule type="cellIs" dxfId="4643" priority="1133" operator="equal">
      <formula>"Proactive"</formula>
    </cfRule>
    <cfRule type="cellIs" dxfId="4642" priority="1134" operator="equal">
      <formula>"Reactive"</formula>
    </cfRule>
    <cfRule type="cellIs" dxfId="4641" priority="1135" operator="equal">
      <formula>"No Formal Approach"</formula>
    </cfRule>
  </conditionalFormatting>
  <conditionalFormatting sqref="I149">
    <cfRule type="cellIs" dxfId="4640" priority="1121" operator="equal">
      <formula>"Improving"</formula>
    </cfRule>
    <cfRule type="cellIs" dxfId="4639" priority="1122" operator="equal">
      <formula>"Optimising"</formula>
    </cfRule>
    <cfRule type="cellIs" dxfId="4638" priority="1123" operator="equal">
      <formula>"Proactive"</formula>
    </cfRule>
    <cfRule type="cellIs" dxfId="4637" priority="1124" operator="equal">
      <formula>"Reactive"</formula>
    </cfRule>
    <cfRule type="cellIs" dxfId="4636" priority="1125" operator="equal">
      <formula>"No Formal Approach"</formula>
    </cfRule>
  </conditionalFormatting>
  <conditionalFormatting sqref="I150">
    <cfRule type="cellIs" dxfId="4635" priority="1111" operator="equal">
      <formula>"Improving"</formula>
    </cfRule>
    <cfRule type="cellIs" dxfId="4634" priority="1112" operator="equal">
      <formula>"Optimising"</formula>
    </cfRule>
    <cfRule type="cellIs" dxfId="4633" priority="1113" operator="equal">
      <formula>"Proactive"</formula>
    </cfRule>
    <cfRule type="cellIs" dxfId="4632" priority="1114" operator="equal">
      <formula>"Reactive"</formula>
    </cfRule>
    <cfRule type="cellIs" dxfId="4631" priority="1115" operator="equal">
      <formula>"No Formal Approach"</formula>
    </cfRule>
  </conditionalFormatting>
  <conditionalFormatting sqref="I151">
    <cfRule type="cellIs" dxfId="4630" priority="1101" operator="equal">
      <formula>"Improving"</formula>
    </cfRule>
    <cfRule type="cellIs" dxfId="4629" priority="1102" operator="equal">
      <formula>"Optimising"</formula>
    </cfRule>
    <cfRule type="cellIs" dxfId="4628" priority="1103" operator="equal">
      <formula>"Proactive"</formula>
    </cfRule>
    <cfRule type="cellIs" dxfId="4627" priority="1104" operator="equal">
      <formula>"Reactive"</formula>
    </cfRule>
    <cfRule type="cellIs" dxfId="4626" priority="1105" operator="equal">
      <formula>"No Formal Approach"</formula>
    </cfRule>
  </conditionalFormatting>
  <conditionalFormatting sqref="G19">
    <cfRule type="cellIs" dxfId="4625" priority="1056" operator="between">
      <formula>13</formula>
      <formula>15.9999</formula>
    </cfRule>
    <cfRule type="cellIs" dxfId="4624" priority="1057" operator="between">
      <formula>10</formula>
      <formula>12.9999</formula>
    </cfRule>
    <cfRule type="cellIs" dxfId="4623" priority="1058" operator="between">
      <formula>7</formula>
      <formula>9.9999</formula>
    </cfRule>
    <cfRule type="cellIs" dxfId="4622" priority="1059" operator="between">
      <formula>4</formula>
      <formula>6.9999</formula>
    </cfRule>
    <cfRule type="cellIs" dxfId="4621" priority="1060" operator="between">
      <formula>0.1</formula>
      <formula>3.9999</formula>
    </cfRule>
  </conditionalFormatting>
  <conditionalFormatting sqref="I152">
    <cfRule type="cellIs" dxfId="4620" priority="1091" operator="equal">
      <formula>"Improving"</formula>
    </cfRule>
    <cfRule type="cellIs" dxfId="4619" priority="1092" operator="equal">
      <formula>"Optimising"</formula>
    </cfRule>
    <cfRule type="cellIs" dxfId="4618" priority="1093" operator="equal">
      <formula>"Proactive"</formula>
    </cfRule>
    <cfRule type="cellIs" dxfId="4617" priority="1094" operator="equal">
      <formula>"Reactive"</formula>
    </cfRule>
    <cfRule type="cellIs" dxfId="4616" priority="1095" operator="equal">
      <formula>"No Formal Approach"</formula>
    </cfRule>
  </conditionalFormatting>
  <conditionalFormatting sqref="I153">
    <cfRule type="cellIs" dxfId="4615" priority="1081" operator="equal">
      <formula>"Improving"</formula>
    </cfRule>
    <cfRule type="cellIs" dxfId="4614" priority="1082" operator="equal">
      <formula>"Optimising"</formula>
    </cfRule>
    <cfRule type="cellIs" dxfId="4613" priority="1083" operator="equal">
      <formula>"Proactive"</formula>
    </cfRule>
    <cfRule type="cellIs" dxfId="4612" priority="1084" operator="equal">
      <formula>"Reactive"</formula>
    </cfRule>
    <cfRule type="cellIs" dxfId="4611" priority="1085" operator="equal">
      <formula>"No Formal Approach"</formula>
    </cfRule>
  </conditionalFormatting>
  <conditionalFormatting sqref="G21">
    <cfRule type="cellIs" dxfId="4610" priority="1036" operator="between">
      <formula>13</formula>
      <formula>15.9999</formula>
    </cfRule>
    <cfRule type="cellIs" dxfId="4609" priority="1037" operator="between">
      <formula>10</formula>
      <formula>12.9999</formula>
    </cfRule>
    <cfRule type="cellIs" dxfId="4608" priority="1038" operator="between">
      <formula>7</formula>
      <formula>9.9999</formula>
    </cfRule>
    <cfRule type="cellIs" dxfId="4607" priority="1039" operator="between">
      <formula>4</formula>
      <formula>6.9999</formula>
    </cfRule>
    <cfRule type="cellIs" dxfId="4606" priority="1040" operator="between">
      <formula>0.1</formula>
      <formula>3.9999</formula>
    </cfRule>
  </conditionalFormatting>
  <conditionalFormatting sqref="I154">
    <cfRule type="cellIs" dxfId="4605" priority="1071" operator="equal">
      <formula>"Improving"</formula>
    </cfRule>
    <cfRule type="cellIs" dxfId="4604" priority="1072" operator="equal">
      <formula>"Optimising"</formula>
    </cfRule>
    <cfRule type="cellIs" dxfId="4603" priority="1073" operator="equal">
      <formula>"Proactive"</formula>
    </cfRule>
    <cfRule type="cellIs" dxfId="4602" priority="1074" operator="equal">
      <formula>"Reactive"</formula>
    </cfRule>
    <cfRule type="cellIs" dxfId="4601" priority="1075" operator="equal">
      <formula>"No Formal Approach"</formula>
    </cfRule>
  </conditionalFormatting>
  <conditionalFormatting sqref="I20">
    <cfRule type="cellIs" dxfId="4600" priority="1061" operator="equal">
      <formula>"Improving"</formula>
    </cfRule>
    <cfRule type="cellIs" dxfId="4599" priority="1062" operator="equal">
      <formula>"Optimising"</formula>
    </cfRule>
    <cfRule type="cellIs" dxfId="4598" priority="1063" operator="equal">
      <formula>"Proactive"</formula>
    </cfRule>
    <cfRule type="cellIs" dxfId="4597" priority="1064" operator="equal">
      <formula>"Reactive"</formula>
    </cfRule>
    <cfRule type="cellIs" dxfId="4596" priority="1065" operator="equal">
      <formula>"No Formal Approach"</formula>
    </cfRule>
  </conditionalFormatting>
  <conditionalFormatting sqref="I19">
    <cfRule type="cellIs" dxfId="4595" priority="1051" operator="equal">
      <formula>"Improving"</formula>
    </cfRule>
    <cfRule type="cellIs" dxfId="4594" priority="1052" operator="equal">
      <formula>"Optimising"</formula>
    </cfRule>
    <cfRule type="cellIs" dxfId="4593" priority="1053" operator="equal">
      <formula>"Proactive"</formula>
    </cfRule>
    <cfRule type="cellIs" dxfId="4592" priority="1054" operator="equal">
      <formula>"Reactive"</formula>
    </cfRule>
    <cfRule type="cellIs" dxfId="4591" priority="1055" operator="equal">
      <formula>"No Formal Approach"</formula>
    </cfRule>
  </conditionalFormatting>
  <conditionalFormatting sqref="G155">
    <cfRule type="cellIs" dxfId="4590" priority="906" operator="between">
      <formula>13</formula>
      <formula>15.9999</formula>
    </cfRule>
    <cfRule type="cellIs" dxfId="4589" priority="907" operator="between">
      <formula>10</formula>
      <formula>12.9999</formula>
    </cfRule>
    <cfRule type="cellIs" dxfId="4588" priority="908" operator="between">
      <formula>7</formula>
      <formula>9.9999</formula>
    </cfRule>
    <cfRule type="cellIs" dxfId="4587" priority="909" operator="between">
      <formula>4</formula>
      <formula>6.9999</formula>
    </cfRule>
    <cfRule type="cellIs" dxfId="4586" priority="910" operator="between">
      <formula>0.1</formula>
      <formula>3.9999</formula>
    </cfRule>
  </conditionalFormatting>
  <conditionalFormatting sqref="I23">
    <cfRule type="cellIs" dxfId="4585" priority="1041" operator="equal">
      <formula>"Improving"</formula>
    </cfRule>
    <cfRule type="cellIs" dxfId="4584" priority="1042" operator="equal">
      <formula>"Optimising"</formula>
    </cfRule>
    <cfRule type="cellIs" dxfId="4583" priority="1043" operator="equal">
      <formula>"Proactive"</formula>
    </cfRule>
    <cfRule type="cellIs" dxfId="4582" priority="1044" operator="equal">
      <formula>"Reactive"</formula>
    </cfRule>
    <cfRule type="cellIs" dxfId="4581" priority="1045" operator="equal">
      <formula>"No Formal Approach"</formula>
    </cfRule>
  </conditionalFormatting>
  <conditionalFormatting sqref="I21">
    <cfRule type="cellIs" dxfId="4580" priority="1031" operator="equal">
      <formula>"Improving"</formula>
    </cfRule>
    <cfRule type="cellIs" dxfId="4579" priority="1032" operator="equal">
      <formula>"Optimising"</formula>
    </cfRule>
    <cfRule type="cellIs" dxfId="4578" priority="1033" operator="equal">
      <formula>"Proactive"</formula>
    </cfRule>
    <cfRule type="cellIs" dxfId="4577" priority="1034" operator="equal">
      <formula>"Reactive"</formula>
    </cfRule>
    <cfRule type="cellIs" dxfId="4576" priority="1035" operator="equal">
      <formula>"No Formal Approach"</formula>
    </cfRule>
  </conditionalFormatting>
  <conditionalFormatting sqref="I22">
    <cfRule type="cellIs" dxfId="4575" priority="1021" operator="equal">
      <formula>"Improving"</formula>
    </cfRule>
    <cfRule type="cellIs" dxfId="4574" priority="1022" operator="equal">
      <formula>"Optimising"</formula>
    </cfRule>
    <cfRule type="cellIs" dxfId="4573" priority="1023" operator="equal">
      <formula>"Proactive"</formula>
    </cfRule>
    <cfRule type="cellIs" dxfId="4572" priority="1024" operator="equal">
      <formula>"Reactive"</formula>
    </cfRule>
    <cfRule type="cellIs" dxfId="4571" priority="1025" operator="equal">
      <formula>"No Formal Approach"</formula>
    </cfRule>
  </conditionalFormatting>
  <conditionalFormatting sqref="I85">
    <cfRule type="cellIs" dxfId="4570" priority="1011" operator="equal">
      <formula>"Improving"</formula>
    </cfRule>
    <cfRule type="cellIs" dxfId="4569" priority="1012" operator="equal">
      <formula>"Optimising"</formula>
    </cfRule>
    <cfRule type="cellIs" dxfId="4568" priority="1013" operator="equal">
      <formula>"Proactive"</formula>
    </cfRule>
    <cfRule type="cellIs" dxfId="4567" priority="1014" operator="equal">
      <formula>"Reactive"</formula>
    </cfRule>
    <cfRule type="cellIs" dxfId="4566" priority="1015" operator="equal">
      <formula>"No Formal Approach"</formula>
    </cfRule>
  </conditionalFormatting>
  <conditionalFormatting sqref="I87">
    <cfRule type="cellIs" dxfId="4565" priority="1001" operator="equal">
      <formula>"Improving"</formula>
    </cfRule>
    <cfRule type="cellIs" dxfId="4564" priority="1002" operator="equal">
      <formula>"Optimising"</formula>
    </cfRule>
    <cfRule type="cellIs" dxfId="4563" priority="1003" operator="equal">
      <formula>"Proactive"</formula>
    </cfRule>
    <cfRule type="cellIs" dxfId="4562" priority="1004" operator="equal">
      <formula>"Reactive"</formula>
    </cfRule>
    <cfRule type="cellIs" dxfId="4561" priority="1005" operator="equal">
      <formula>"No Formal Approach"</formula>
    </cfRule>
  </conditionalFormatting>
  <conditionalFormatting sqref="I86">
    <cfRule type="cellIs" dxfId="4560" priority="991" operator="equal">
      <formula>"Improving"</formula>
    </cfRule>
    <cfRule type="cellIs" dxfId="4559" priority="992" operator="equal">
      <formula>"Optimising"</formula>
    </cfRule>
    <cfRule type="cellIs" dxfId="4558" priority="993" operator="equal">
      <formula>"Proactive"</formula>
    </cfRule>
    <cfRule type="cellIs" dxfId="4557" priority="994" operator="equal">
      <formula>"Reactive"</formula>
    </cfRule>
    <cfRule type="cellIs" dxfId="4556" priority="995" operator="equal">
      <formula>"No Formal Approach"</formula>
    </cfRule>
  </conditionalFormatting>
  <conditionalFormatting sqref="G84">
    <cfRule type="cellIs" dxfId="4555" priority="986" operator="between">
      <formula>13</formula>
      <formula>15.9999</formula>
    </cfRule>
    <cfRule type="cellIs" dxfId="4554" priority="987" operator="between">
      <formula>10</formula>
      <formula>12.9999</formula>
    </cfRule>
    <cfRule type="cellIs" dxfId="4553" priority="988" operator="between">
      <formula>7</formula>
      <formula>9.9999</formula>
    </cfRule>
    <cfRule type="cellIs" dxfId="4552" priority="989" operator="between">
      <formula>4</formula>
      <formula>6.9999</formula>
    </cfRule>
    <cfRule type="cellIs" dxfId="4551" priority="990" operator="between">
      <formula>0.1</formula>
      <formula>3.9999</formula>
    </cfRule>
  </conditionalFormatting>
  <conditionalFormatting sqref="I84">
    <cfRule type="cellIs" dxfId="4550" priority="981" operator="equal">
      <formula>"Improving"</formula>
    </cfRule>
    <cfRule type="cellIs" dxfId="4549" priority="982" operator="equal">
      <formula>"Optimising"</formula>
    </cfRule>
    <cfRule type="cellIs" dxfId="4548" priority="983" operator="equal">
      <formula>"Proactive"</formula>
    </cfRule>
    <cfRule type="cellIs" dxfId="4547" priority="984" operator="equal">
      <formula>"Reactive"</formula>
    </cfRule>
    <cfRule type="cellIs" dxfId="4546" priority="985" operator="equal">
      <formula>"No Formal Approach"</formula>
    </cfRule>
  </conditionalFormatting>
  <conditionalFormatting sqref="I156">
    <cfRule type="cellIs" dxfId="4545" priority="931" operator="equal">
      <formula>"Improving"</formula>
    </cfRule>
    <cfRule type="cellIs" dxfId="4544" priority="932" operator="equal">
      <formula>"Optimising"</formula>
    </cfRule>
    <cfRule type="cellIs" dxfId="4543" priority="933" operator="equal">
      <formula>"Proactive"</formula>
    </cfRule>
    <cfRule type="cellIs" dxfId="4542" priority="934" operator="equal">
      <formula>"Reactive"</formula>
    </cfRule>
    <cfRule type="cellIs" dxfId="4541" priority="935" operator="equal">
      <formula>"No Formal Approach"</formula>
    </cfRule>
  </conditionalFormatting>
  <conditionalFormatting sqref="I157">
    <cfRule type="cellIs" dxfId="4540" priority="921" operator="equal">
      <formula>"Improving"</formula>
    </cfRule>
    <cfRule type="cellIs" dxfId="4539" priority="922" operator="equal">
      <formula>"Optimising"</formula>
    </cfRule>
    <cfRule type="cellIs" dxfId="4538" priority="923" operator="equal">
      <formula>"Proactive"</formula>
    </cfRule>
    <cfRule type="cellIs" dxfId="4537" priority="924" operator="equal">
      <formula>"Reactive"</formula>
    </cfRule>
    <cfRule type="cellIs" dxfId="4536" priority="925" operator="equal">
      <formula>"No Formal Approach"</formula>
    </cfRule>
  </conditionalFormatting>
  <conditionalFormatting sqref="I158">
    <cfRule type="cellIs" dxfId="4535" priority="911" operator="equal">
      <formula>"Improving"</formula>
    </cfRule>
    <cfRule type="cellIs" dxfId="4534" priority="912" operator="equal">
      <formula>"Optimising"</formula>
    </cfRule>
    <cfRule type="cellIs" dxfId="4533" priority="913" operator="equal">
      <formula>"Proactive"</formula>
    </cfRule>
    <cfRule type="cellIs" dxfId="4532" priority="914" operator="equal">
      <formula>"Reactive"</formula>
    </cfRule>
    <cfRule type="cellIs" dxfId="4531" priority="915" operator="equal">
      <formula>"No Formal Approach"</formula>
    </cfRule>
  </conditionalFormatting>
  <conditionalFormatting sqref="I155">
    <cfRule type="cellIs" dxfId="4530" priority="901" operator="equal">
      <formula>"Improving"</formula>
    </cfRule>
    <cfRule type="cellIs" dxfId="4529" priority="902" operator="equal">
      <formula>"Optimising"</formula>
    </cfRule>
    <cfRule type="cellIs" dxfId="4528" priority="903" operator="equal">
      <formula>"Proactive"</formula>
    </cfRule>
    <cfRule type="cellIs" dxfId="4527" priority="904" operator="equal">
      <formula>"Reactive"</formula>
    </cfRule>
    <cfRule type="cellIs" dxfId="4526" priority="905" operator="equal">
      <formula>"No Formal Approach"</formula>
    </cfRule>
  </conditionalFormatting>
  <conditionalFormatting sqref="I163">
    <cfRule type="cellIs" dxfId="4525" priority="861" operator="equal">
      <formula>"Improving"</formula>
    </cfRule>
    <cfRule type="cellIs" dxfId="4524" priority="862" operator="equal">
      <formula>"Optimising"</formula>
    </cfRule>
    <cfRule type="cellIs" dxfId="4523" priority="863" operator="equal">
      <formula>"Proactive"</formula>
    </cfRule>
    <cfRule type="cellIs" dxfId="4522" priority="864" operator="equal">
      <formula>"Reactive"</formula>
    </cfRule>
    <cfRule type="cellIs" dxfId="4521" priority="865" operator="equal">
      <formula>"No Formal Approach"</formula>
    </cfRule>
  </conditionalFormatting>
  <conditionalFormatting sqref="I164">
    <cfRule type="cellIs" dxfId="4520" priority="851" operator="equal">
      <formula>"Improving"</formula>
    </cfRule>
    <cfRule type="cellIs" dxfId="4519" priority="852" operator="equal">
      <formula>"Optimising"</formula>
    </cfRule>
    <cfRule type="cellIs" dxfId="4518" priority="853" operator="equal">
      <formula>"Proactive"</formula>
    </cfRule>
    <cfRule type="cellIs" dxfId="4517" priority="854" operator="equal">
      <formula>"Reactive"</formula>
    </cfRule>
    <cfRule type="cellIs" dxfId="4516" priority="855" operator="equal">
      <formula>"No Formal Approach"</formula>
    </cfRule>
  </conditionalFormatting>
  <conditionalFormatting sqref="I165">
    <cfRule type="cellIs" dxfId="4515" priority="841" operator="equal">
      <formula>"Improving"</formula>
    </cfRule>
    <cfRule type="cellIs" dxfId="4514" priority="842" operator="equal">
      <formula>"Optimising"</formula>
    </cfRule>
    <cfRule type="cellIs" dxfId="4513" priority="843" operator="equal">
      <formula>"Proactive"</formula>
    </cfRule>
    <cfRule type="cellIs" dxfId="4512" priority="844" operator="equal">
      <formula>"Reactive"</formula>
    </cfRule>
    <cfRule type="cellIs" dxfId="4511" priority="845" operator="equal">
      <formula>"No Formal Approach"</formula>
    </cfRule>
  </conditionalFormatting>
  <conditionalFormatting sqref="G162">
    <cfRule type="cellIs" dxfId="4510" priority="836" operator="between">
      <formula>13</formula>
      <formula>15.9999</formula>
    </cfRule>
    <cfRule type="cellIs" dxfId="4509" priority="837" operator="between">
      <formula>10</formula>
      <formula>12.9999</formula>
    </cfRule>
    <cfRule type="cellIs" dxfId="4508" priority="838" operator="between">
      <formula>7</formula>
      <formula>9.9999</formula>
    </cfRule>
    <cfRule type="cellIs" dxfId="4507" priority="839" operator="between">
      <formula>4</formula>
      <formula>6.9999</formula>
    </cfRule>
    <cfRule type="cellIs" dxfId="4506" priority="840" operator="between">
      <formula>0.1</formula>
      <formula>3.9999</formula>
    </cfRule>
  </conditionalFormatting>
  <conditionalFormatting sqref="I162">
    <cfRule type="cellIs" dxfId="4505" priority="831" operator="equal">
      <formula>"Improving"</formula>
    </cfRule>
    <cfRule type="cellIs" dxfId="4504" priority="832" operator="equal">
      <formula>"Optimising"</formula>
    </cfRule>
    <cfRule type="cellIs" dxfId="4503" priority="833" operator="equal">
      <formula>"Proactive"</formula>
    </cfRule>
    <cfRule type="cellIs" dxfId="4502" priority="834" operator="equal">
      <formula>"Reactive"</formula>
    </cfRule>
    <cfRule type="cellIs" dxfId="4501" priority="835" operator="equal">
      <formula>"No Formal Approach"</formula>
    </cfRule>
  </conditionalFormatting>
  <conditionalFormatting sqref="I166">
    <cfRule type="cellIs" dxfId="4500" priority="821" operator="equal">
      <formula>"Improving"</formula>
    </cfRule>
    <cfRule type="cellIs" dxfId="4499" priority="822" operator="equal">
      <formula>"Optimising"</formula>
    </cfRule>
    <cfRule type="cellIs" dxfId="4498" priority="823" operator="equal">
      <formula>"Proactive"</formula>
    </cfRule>
    <cfRule type="cellIs" dxfId="4497" priority="824" operator="equal">
      <formula>"Reactive"</formula>
    </cfRule>
    <cfRule type="cellIs" dxfId="4496" priority="825" operator="equal">
      <formula>"No Formal Approach"</formula>
    </cfRule>
  </conditionalFormatting>
  <conditionalFormatting sqref="I159">
    <cfRule type="cellIs" dxfId="4495" priority="611" operator="equal">
      <formula>"Improving"</formula>
    </cfRule>
    <cfRule type="cellIs" dxfId="4494" priority="612" operator="equal">
      <formula>"Optimising"</formula>
    </cfRule>
    <cfRule type="cellIs" dxfId="4493" priority="613" operator="equal">
      <formula>"Proactive"</formula>
    </cfRule>
    <cfRule type="cellIs" dxfId="4492" priority="614" operator="equal">
      <formula>"Reactive"</formula>
    </cfRule>
    <cfRule type="cellIs" dxfId="4491" priority="615" operator="equal">
      <formula>"No Formal Approach"</formula>
    </cfRule>
  </conditionalFormatting>
  <conditionalFormatting sqref="I160">
    <cfRule type="cellIs" dxfId="4490" priority="601" operator="equal">
      <formula>"Improving"</formula>
    </cfRule>
    <cfRule type="cellIs" dxfId="4489" priority="602" operator="equal">
      <formula>"Optimising"</formula>
    </cfRule>
    <cfRule type="cellIs" dxfId="4488" priority="603" operator="equal">
      <formula>"Proactive"</formula>
    </cfRule>
    <cfRule type="cellIs" dxfId="4487" priority="604" operator="equal">
      <formula>"Reactive"</formula>
    </cfRule>
    <cfRule type="cellIs" dxfId="4486" priority="605" operator="equal">
      <formula>"No Formal Approach"</formula>
    </cfRule>
  </conditionalFormatting>
  <conditionalFormatting sqref="G191">
    <cfRule type="cellIs" dxfId="4485" priority="566" operator="between">
      <formula>13</formula>
      <formula>15.9999</formula>
    </cfRule>
    <cfRule type="cellIs" dxfId="4484" priority="567" operator="between">
      <formula>10</formula>
      <formula>12.9999</formula>
    </cfRule>
    <cfRule type="cellIs" dxfId="4483" priority="568" operator="between">
      <formula>7</formula>
      <formula>9.9999</formula>
    </cfRule>
    <cfRule type="cellIs" dxfId="4482" priority="569" operator="between">
      <formula>4</formula>
      <formula>6.9999</formula>
    </cfRule>
    <cfRule type="cellIs" dxfId="4481" priority="570" operator="between">
      <formula>0.1</formula>
      <formula>3.9999</formula>
    </cfRule>
  </conditionalFormatting>
  <conditionalFormatting sqref="I161">
    <cfRule type="cellIs" dxfId="4480" priority="591" operator="equal">
      <formula>"Improving"</formula>
    </cfRule>
    <cfRule type="cellIs" dxfId="4479" priority="592" operator="equal">
      <formula>"Optimising"</formula>
    </cfRule>
    <cfRule type="cellIs" dxfId="4478" priority="593" operator="equal">
      <formula>"Proactive"</formula>
    </cfRule>
    <cfRule type="cellIs" dxfId="4477" priority="594" operator="equal">
      <formula>"Reactive"</formula>
    </cfRule>
    <cfRule type="cellIs" dxfId="4476" priority="595" operator="equal">
      <formula>"No Formal Approach"</formula>
    </cfRule>
  </conditionalFormatting>
  <conditionalFormatting sqref="I191">
    <cfRule type="cellIs" dxfId="4475" priority="561" operator="equal">
      <formula>"Improving"</formula>
    </cfRule>
    <cfRule type="cellIs" dxfId="4474" priority="562" operator="equal">
      <formula>"Optimising"</formula>
    </cfRule>
    <cfRule type="cellIs" dxfId="4473" priority="563" operator="equal">
      <formula>"Proactive"</formula>
    </cfRule>
    <cfRule type="cellIs" dxfId="4472" priority="564" operator="equal">
      <formula>"Reactive"</formula>
    </cfRule>
    <cfRule type="cellIs" dxfId="4471" priority="565" operator="equal">
      <formula>"No Formal Approach"</formula>
    </cfRule>
  </conditionalFormatting>
  <conditionalFormatting sqref="I194">
    <cfRule type="cellIs" dxfId="4470" priority="491" operator="equal">
      <formula>"Improving"</formula>
    </cfRule>
    <cfRule type="cellIs" dxfId="4469" priority="492" operator="equal">
      <formula>"Optimising"</formula>
    </cfRule>
    <cfRule type="cellIs" dxfId="4468" priority="493" operator="equal">
      <formula>"Proactive"</formula>
    </cfRule>
    <cfRule type="cellIs" dxfId="4467" priority="494" operator="equal">
      <formula>"Reactive"</formula>
    </cfRule>
    <cfRule type="cellIs" dxfId="4466" priority="495" operator="equal">
      <formula>"No Formal Approach"</formula>
    </cfRule>
  </conditionalFormatting>
  <conditionalFormatting sqref="I195">
    <cfRule type="cellIs" dxfId="4465" priority="481" operator="equal">
      <formula>"Improving"</formula>
    </cfRule>
    <cfRule type="cellIs" dxfId="4464" priority="482" operator="equal">
      <formula>"Optimising"</formula>
    </cfRule>
    <cfRule type="cellIs" dxfId="4463" priority="483" operator="equal">
      <formula>"Proactive"</formula>
    </cfRule>
    <cfRule type="cellIs" dxfId="4462" priority="484" operator="equal">
      <formula>"Reactive"</formula>
    </cfRule>
    <cfRule type="cellIs" dxfId="4461" priority="485" operator="equal">
      <formula>"No Formal Approach"</formula>
    </cfRule>
  </conditionalFormatting>
  <conditionalFormatting sqref="I192">
    <cfRule type="cellIs" dxfId="4460" priority="471" operator="equal">
      <formula>"Improving"</formula>
    </cfRule>
    <cfRule type="cellIs" dxfId="4459" priority="472" operator="equal">
      <formula>"Optimising"</formula>
    </cfRule>
    <cfRule type="cellIs" dxfId="4458" priority="473" operator="equal">
      <formula>"Proactive"</formula>
    </cfRule>
    <cfRule type="cellIs" dxfId="4457" priority="474" operator="equal">
      <formula>"Reactive"</formula>
    </cfRule>
    <cfRule type="cellIs" dxfId="4456" priority="475" operator="equal">
      <formula>"No Formal Approach"</formula>
    </cfRule>
  </conditionalFormatting>
  <conditionalFormatting sqref="G200">
    <cfRule type="cellIs" dxfId="4455" priority="456" operator="between">
      <formula>13</formula>
      <formula>15.9999</formula>
    </cfRule>
    <cfRule type="cellIs" dxfId="4454" priority="457" operator="between">
      <formula>10</formula>
      <formula>12.9999</formula>
    </cfRule>
    <cfRule type="cellIs" dxfId="4453" priority="458" operator="between">
      <formula>7</formula>
      <formula>9.9999</formula>
    </cfRule>
    <cfRule type="cellIs" dxfId="4452" priority="459" operator="between">
      <formula>4</formula>
      <formula>6.9999</formula>
    </cfRule>
    <cfRule type="cellIs" dxfId="4451" priority="460" operator="between">
      <formula>0.1</formula>
      <formula>3.9999</formula>
    </cfRule>
  </conditionalFormatting>
  <conditionalFormatting sqref="I193">
    <cfRule type="cellIs" dxfId="4450" priority="461" operator="equal">
      <formula>"Improving"</formula>
    </cfRule>
    <cfRule type="cellIs" dxfId="4449" priority="462" operator="equal">
      <formula>"Optimising"</formula>
    </cfRule>
    <cfRule type="cellIs" dxfId="4448" priority="463" operator="equal">
      <formula>"Proactive"</formula>
    </cfRule>
    <cfRule type="cellIs" dxfId="4447" priority="464" operator="equal">
      <formula>"Reactive"</formula>
    </cfRule>
    <cfRule type="cellIs" dxfId="4446" priority="465" operator="equal">
      <formula>"No Formal Approach"</formula>
    </cfRule>
  </conditionalFormatting>
  <conditionalFormatting sqref="I200">
    <cfRule type="cellIs" dxfId="4445" priority="451" operator="equal">
      <formula>"Improving"</formula>
    </cfRule>
    <cfRule type="cellIs" dxfId="4444" priority="452" operator="equal">
      <formula>"Optimising"</formula>
    </cfRule>
    <cfRule type="cellIs" dxfId="4443" priority="453" operator="equal">
      <formula>"Proactive"</formula>
    </cfRule>
    <cfRule type="cellIs" dxfId="4442" priority="454" operator="equal">
      <formula>"Reactive"</formula>
    </cfRule>
    <cfRule type="cellIs" dxfId="4441" priority="455" operator="equal">
      <formula>"No Formal Approach"</formula>
    </cfRule>
  </conditionalFormatting>
  <conditionalFormatting sqref="I205">
    <cfRule type="cellIs" dxfId="4440" priority="441" operator="equal">
      <formula>"Improving"</formula>
    </cfRule>
    <cfRule type="cellIs" dxfId="4439" priority="442" operator="equal">
      <formula>"Optimising"</formula>
    </cfRule>
    <cfRule type="cellIs" dxfId="4438" priority="443" operator="equal">
      <formula>"Proactive"</formula>
    </cfRule>
    <cfRule type="cellIs" dxfId="4437" priority="444" operator="equal">
      <formula>"Reactive"</formula>
    </cfRule>
    <cfRule type="cellIs" dxfId="4436" priority="445" operator="equal">
      <formula>"No Formal Approach"</formula>
    </cfRule>
  </conditionalFormatting>
  <conditionalFormatting sqref="I206">
    <cfRule type="cellIs" dxfId="4435" priority="431" operator="equal">
      <formula>"Improving"</formula>
    </cfRule>
    <cfRule type="cellIs" dxfId="4434" priority="432" operator="equal">
      <formula>"Optimising"</formula>
    </cfRule>
    <cfRule type="cellIs" dxfId="4433" priority="433" operator="equal">
      <formula>"Proactive"</formula>
    </cfRule>
    <cfRule type="cellIs" dxfId="4432" priority="434" operator="equal">
      <formula>"Reactive"</formula>
    </cfRule>
    <cfRule type="cellIs" dxfId="4431" priority="435" operator="equal">
      <formula>"No Formal Approach"</formula>
    </cfRule>
  </conditionalFormatting>
  <conditionalFormatting sqref="I203">
    <cfRule type="cellIs" dxfId="4430" priority="421" operator="equal">
      <formula>"Improving"</formula>
    </cfRule>
    <cfRule type="cellIs" dxfId="4429" priority="422" operator="equal">
      <formula>"Optimising"</formula>
    </cfRule>
    <cfRule type="cellIs" dxfId="4428" priority="423" operator="equal">
      <formula>"Proactive"</formula>
    </cfRule>
    <cfRule type="cellIs" dxfId="4427" priority="424" operator="equal">
      <formula>"Reactive"</formula>
    </cfRule>
    <cfRule type="cellIs" dxfId="4426" priority="425" operator="equal">
      <formula>"No Formal Approach"</formula>
    </cfRule>
  </conditionalFormatting>
  <conditionalFormatting sqref="I204">
    <cfRule type="cellIs" dxfId="4425" priority="411" operator="equal">
      <formula>"Improving"</formula>
    </cfRule>
    <cfRule type="cellIs" dxfId="4424" priority="412" operator="equal">
      <formula>"Optimising"</formula>
    </cfRule>
    <cfRule type="cellIs" dxfId="4423" priority="413" operator="equal">
      <formula>"Proactive"</formula>
    </cfRule>
    <cfRule type="cellIs" dxfId="4422" priority="414" operator="equal">
      <formula>"Reactive"</formula>
    </cfRule>
    <cfRule type="cellIs" dxfId="4421" priority="415" operator="equal">
      <formula>"No Formal Approach"</formula>
    </cfRule>
  </conditionalFormatting>
  <conditionalFormatting sqref="I201">
    <cfRule type="cellIs" dxfId="4420" priority="401" operator="equal">
      <formula>"Improving"</formula>
    </cfRule>
    <cfRule type="cellIs" dxfId="4419" priority="402" operator="equal">
      <formula>"Optimising"</formula>
    </cfRule>
    <cfRule type="cellIs" dxfId="4418" priority="403" operator="equal">
      <formula>"Proactive"</formula>
    </cfRule>
    <cfRule type="cellIs" dxfId="4417" priority="404" operator="equal">
      <formula>"Reactive"</formula>
    </cfRule>
    <cfRule type="cellIs" dxfId="4416" priority="405" operator="equal">
      <formula>"No Formal Approach"</formula>
    </cfRule>
  </conditionalFormatting>
  <conditionalFormatting sqref="I202">
    <cfRule type="cellIs" dxfId="4415" priority="391" operator="equal">
      <formula>"Improving"</formula>
    </cfRule>
    <cfRule type="cellIs" dxfId="4414" priority="392" operator="equal">
      <formula>"Optimising"</formula>
    </cfRule>
    <cfRule type="cellIs" dxfId="4413" priority="393" operator="equal">
      <formula>"Proactive"</formula>
    </cfRule>
    <cfRule type="cellIs" dxfId="4412" priority="394" operator="equal">
      <formula>"Reactive"</formula>
    </cfRule>
    <cfRule type="cellIs" dxfId="4411" priority="395" operator="equal">
      <formula>"No Formal Approach"</formula>
    </cfRule>
  </conditionalFormatting>
  <conditionalFormatting sqref="G20">
    <cfRule type="cellIs" dxfId="4410" priority="386" operator="between">
      <formula>13</formula>
      <formula>15.9999</formula>
    </cfRule>
    <cfRule type="cellIs" dxfId="4409" priority="387" operator="between">
      <formula>10</formula>
      <formula>12.9999</formula>
    </cfRule>
    <cfRule type="cellIs" dxfId="4408" priority="388" operator="between">
      <formula>7</formula>
      <formula>9.9999</formula>
    </cfRule>
    <cfRule type="cellIs" dxfId="4407" priority="389" operator="between">
      <formula>4</formula>
      <formula>6.9999</formula>
    </cfRule>
    <cfRule type="cellIs" dxfId="4406" priority="390" operator="between">
      <formula>0.1</formula>
      <formula>3.9999</formula>
    </cfRule>
  </conditionalFormatting>
  <conditionalFormatting sqref="G22:G23">
    <cfRule type="cellIs" dxfId="4405" priority="381" operator="between">
      <formula>13</formula>
      <formula>15.9999</formula>
    </cfRule>
    <cfRule type="cellIs" dxfId="4404" priority="382" operator="between">
      <formula>10</formula>
      <formula>12.9999</formula>
    </cfRule>
    <cfRule type="cellIs" dxfId="4403" priority="383" operator="between">
      <formula>7</formula>
      <formula>9.9999</formula>
    </cfRule>
    <cfRule type="cellIs" dxfId="4402" priority="384" operator="between">
      <formula>4</formula>
      <formula>6.9999</formula>
    </cfRule>
    <cfRule type="cellIs" dxfId="4401" priority="385" operator="between">
      <formula>0.1</formula>
      <formula>3.9999</formula>
    </cfRule>
  </conditionalFormatting>
  <conditionalFormatting sqref="G25:G32">
    <cfRule type="cellIs" dxfId="4400" priority="376" operator="between">
      <formula>13</formula>
      <formula>15.9999</formula>
    </cfRule>
    <cfRule type="cellIs" dxfId="4399" priority="377" operator="between">
      <formula>10</formula>
      <formula>12.9999</formula>
    </cfRule>
    <cfRule type="cellIs" dxfId="4398" priority="378" operator="between">
      <formula>7</formula>
      <formula>9.9999</formula>
    </cfRule>
    <cfRule type="cellIs" dxfId="4397" priority="379" operator="between">
      <formula>4</formula>
      <formula>6.9999</formula>
    </cfRule>
    <cfRule type="cellIs" dxfId="4396" priority="380" operator="between">
      <formula>0.1</formula>
      <formula>3.9999</formula>
    </cfRule>
  </conditionalFormatting>
  <conditionalFormatting sqref="G34:G38">
    <cfRule type="cellIs" dxfId="4395" priority="371" operator="between">
      <formula>13</formula>
      <formula>15.9999</formula>
    </cfRule>
    <cfRule type="cellIs" dxfId="4394" priority="372" operator="between">
      <formula>10</formula>
      <formula>12.9999</formula>
    </cfRule>
    <cfRule type="cellIs" dxfId="4393" priority="373" operator="between">
      <formula>7</formula>
      <formula>9.9999</formula>
    </cfRule>
    <cfRule type="cellIs" dxfId="4392" priority="374" operator="between">
      <formula>4</formula>
      <formula>6.9999</formula>
    </cfRule>
    <cfRule type="cellIs" dxfId="4391" priority="375" operator="between">
      <formula>0.1</formula>
      <formula>3.9999</formula>
    </cfRule>
  </conditionalFormatting>
  <conditionalFormatting sqref="G40:G44">
    <cfRule type="cellIs" dxfId="4390" priority="366" operator="between">
      <formula>13</formula>
      <formula>15.9999</formula>
    </cfRule>
    <cfRule type="cellIs" dxfId="4389" priority="367" operator="between">
      <formula>10</formula>
      <formula>12.9999</formula>
    </cfRule>
    <cfRule type="cellIs" dxfId="4388" priority="368" operator="between">
      <formula>7</formula>
      <formula>9.9999</formula>
    </cfRule>
    <cfRule type="cellIs" dxfId="4387" priority="369" operator="between">
      <formula>4</formula>
      <formula>6.9999</formula>
    </cfRule>
    <cfRule type="cellIs" dxfId="4386" priority="370" operator="between">
      <formula>0.1</formula>
      <formula>3.9999</formula>
    </cfRule>
  </conditionalFormatting>
  <conditionalFormatting sqref="G46:G47">
    <cfRule type="cellIs" dxfId="4385" priority="361" operator="between">
      <formula>13</formula>
      <formula>15.9999</formula>
    </cfRule>
    <cfRule type="cellIs" dxfId="4384" priority="362" operator="between">
      <formula>10</formula>
      <formula>12.9999</formula>
    </cfRule>
    <cfRule type="cellIs" dxfId="4383" priority="363" operator="between">
      <formula>7</formula>
      <formula>9.9999</formula>
    </cfRule>
    <cfRule type="cellIs" dxfId="4382" priority="364" operator="between">
      <formula>4</formula>
      <formula>6.9999</formula>
    </cfRule>
    <cfRule type="cellIs" dxfId="4381" priority="365" operator="between">
      <formula>0.1</formula>
      <formula>3.9999</formula>
    </cfRule>
  </conditionalFormatting>
  <conditionalFormatting sqref="G49:G51">
    <cfRule type="cellIs" dxfId="4380" priority="356" operator="between">
      <formula>13</formula>
      <formula>15.9999</formula>
    </cfRule>
    <cfRule type="cellIs" dxfId="4379" priority="357" operator="between">
      <formula>10</formula>
      <formula>12.9999</formula>
    </cfRule>
    <cfRule type="cellIs" dxfId="4378" priority="358" operator="between">
      <formula>7</formula>
      <formula>9.9999</formula>
    </cfRule>
    <cfRule type="cellIs" dxfId="4377" priority="359" operator="between">
      <formula>4</formula>
      <formula>6.9999</formula>
    </cfRule>
    <cfRule type="cellIs" dxfId="4376" priority="360" operator="between">
      <formula>0.1</formula>
      <formula>3.9999</formula>
    </cfRule>
  </conditionalFormatting>
  <conditionalFormatting sqref="G53:G59">
    <cfRule type="cellIs" dxfId="4375" priority="351" operator="between">
      <formula>13</formula>
      <formula>15.9999</formula>
    </cfRule>
    <cfRule type="cellIs" dxfId="4374" priority="352" operator="between">
      <formula>10</formula>
      <formula>12.9999</formula>
    </cfRule>
    <cfRule type="cellIs" dxfId="4373" priority="353" operator="between">
      <formula>7</formula>
      <formula>9.9999</formula>
    </cfRule>
    <cfRule type="cellIs" dxfId="4372" priority="354" operator="between">
      <formula>4</formula>
      <formula>6.9999</formula>
    </cfRule>
    <cfRule type="cellIs" dxfId="4371" priority="355" operator="between">
      <formula>0.1</formula>
      <formula>3.9999</formula>
    </cfRule>
  </conditionalFormatting>
  <conditionalFormatting sqref="G61:G63">
    <cfRule type="cellIs" dxfId="4370" priority="346" operator="between">
      <formula>13</formula>
      <formula>15.9999</formula>
    </cfRule>
    <cfRule type="cellIs" dxfId="4369" priority="347" operator="between">
      <formula>10</formula>
      <formula>12.9999</formula>
    </cfRule>
    <cfRule type="cellIs" dxfId="4368" priority="348" operator="between">
      <formula>7</formula>
      <formula>9.9999</formula>
    </cfRule>
    <cfRule type="cellIs" dxfId="4367" priority="349" operator="between">
      <formula>4</formula>
      <formula>6.9999</formula>
    </cfRule>
    <cfRule type="cellIs" dxfId="4366" priority="350" operator="between">
      <formula>0.1</formula>
      <formula>3.9999</formula>
    </cfRule>
  </conditionalFormatting>
  <conditionalFormatting sqref="G65:G77">
    <cfRule type="cellIs" dxfId="4365" priority="341" operator="between">
      <formula>13</formula>
      <formula>15.9999</formula>
    </cfRule>
    <cfRule type="cellIs" dxfId="4364" priority="342" operator="between">
      <formula>10</formula>
      <formula>12.9999</formula>
    </cfRule>
    <cfRule type="cellIs" dxfId="4363" priority="343" operator="between">
      <formula>7</formula>
      <formula>9.9999</formula>
    </cfRule>
    <cfRule type="cellIs" dxfId="4362" priority="344" operator="between">
      <formula>4</formula>
      <formula>6.9999</formula>
    </cfRule>
    <cfRule type="cellIs" dxfId="4361" priority="345" operator="between">
      <formula>0.1</formula>
      <formula>3.9999</formula>
    </cfRule>
  </conditionalFormatting>
  <conditionalFormatting sqref="G79:G83">
    <cfRule type="cellIs" dxfId="4360" priority="336" operator="between">
      <formula>13</formula>
      <formula>15.9999</formula>
    </cfRule>
    <cfRule type="cellIs" dxfId="4359" priority="337" operator="between">
      <formula>10</formula>
      <formula>12.9999</formula>
    </cfRule>
    <cfRule type="cellIs" dxfId="4358" priority="338" operator="between">
      <formula>7</formula>
      <formula>9.9999</formula>
    </cfRule>
    <cfRule type="cellIs" dxfId="4357" priority="339" operator="between">
      <formula>4</formula>
      <formula>6.9999</formula>
    </cfRule>
    <cfRule type="cellIs" dxfId="4356" priority="340" operator="between">
      <formula>0.1</formula>
      <formula>3.9999</formula>
    </cfRule>
  </conditionalFormatting>
  <conditionalFormatting sqref="G85:G87">
    <cfRule type="cellIs" dxfId="4355" priority="331" operator="between">
      <formula>13</formula>
      <formula>15.9999</formula>
    </cfRule>
    <cfRule type="cellIs" dxfId="4354" priority="332" operator="between">
      <formula>10</formula>
      <formula>12.9999</formula>
    </cfRule>
    <cfRule type="cellIs" dxfId="4353" priority="333" operator="between">
      <formula>7</formula>
      <formula>9.9999</formula>
    </cfRule>
    <cfRule type="cellIs" dxfId="4352" priority="334" operator="between">
      <formula>4</formula>
      <formula>6.9999</formula>
    </cfRule>
    <cfRule type="cellIs" dxfId="4351" priority="335" operator="between">
      <formula>0.1</formula>
      <formula>3.9999</formula>
    </cfRule>
  </conditionalFormatting>
  <conditionalFormatting sqref="G89:G91">
    <cfRule type="cellIs" dxfId="4350" priority="326" operator="between">
      <formula>13</formula>
      <formula>15.9999</formula>
    </cfRule>
    <cfRule type="cellIs" dxfId="4349" priority="327" operator="between">
      <formula>10</formula>
      <formula>12.9999</formula>
    </cfRule>
    <cfRule type="cellIs" dxfId="4348" priority="328" operator="between">
      <formula>7</formula>
      <formula>9.9999</formula>
    </cfRule>
    <cfRule type="cellIs" dxfId="4347" priority="329" operator="between">
      <formula>4</formula>
      <formula>6.9999</formula>
    </cfRule>
    <cfRule type="cellIs" dxfId="4346" priority="330" operator="between">
      <formula>0.1</formula>
      <formula>3.9999</formula>
    </cfRule>
  </conditionalFormatting>
  <conditionalFormatting sqref="G93:G96">
    <cfRule type="cellIs" dxfId="4345" priority="321" operator="between">
      <formula>13</formula>
      <formula>15.9999</formula>
    </cfRule>
    <cfRule type="cellIs" dxfId="4344" priority="322" operator="between">
      <formula>10</formula>
      <formula>12.9999</formula>
    </cfRule>
    <cfRule type="cellIs" dxfId="4343" priority="323" operator="between">
      <formula>7</formula>
      <formula>9.9999</formula>
    </cfRule>
    <cfRule type="cellIs" dxfId="4342" priority="324" operator="between">
      <formula>4</formula>
      <formula>6.9999</formula>
    </cfRule>
    <cfRule type="cellIs" dxfId="4341" priority="325" operator="between">
      <formula>0.1</formula>
      <formula>3.9999</formula>
    </cfRule>
  </conditionalFormatting>
  <conditionalFormatting sqref="G98:G108">
    <cfRule type="cellIs" dxfId="4340" priority="316" operator="between">
      <formula>13</formula>
      <formula>15.9999</formula>
    </cfRule>
    <cfRule type="cellIs" dxfId="4339" priority="317" operator="between">
      <formula>10</formula>
      <formula>12.9999</formula>
    </cfRule>
    <cfRule type="cellIs" dxfId="4338" priority="318" operator="between">
      <formula>7</formula>
      <formula>9.9999</formula>
    </cfRule>
    <cfRule type="cellIs" dxfId="4337" priority="319" operator="between">
      <formula>4</formula>
      <formula>6.9999</formula>
    </cfRule>
    <cfRule type="cellIs" dxfId="4336" priority="320" operator="between">
      <formula>0.1</formula>
      <formula>3.9999</formula>
    </cfRule>
  </conditionalFormatting>
  <conditionalFormatting sqref="G110:G119">
    <cfRule type="cellIs" dxfId="4335" priority="311" operator="between">
      <formula>13</formula>
      <formula>15.9999</formula>
    </cfRule>
    <cfRule type="cellIs" dxfId="4334" priority="312" operator="between">
      <formula>10</formula>
      <formula>12.9999</formula>
    </cfRule>
    <cfRule type="cellIs" dxfId="4333" priority="313" operator="between">
      <formula>7</formula>
      <formula>9.9999</formula>
    </cfRule>
    <cfRule type="cellIs" dxfId="4332" priority="314" operator="between">
      <formula>4</formula>
      <formula>6.9999</formula>
    </cfRule>
    <cfRule type="cellIs" dxfId="4331" priority="315" operator="between">
      <formula>0.1</formula>
      <formula>3.9999</formula>
    </cfRule>
  </conditionalFormatting>
  <conditionalFormatting sqref="G121:G122">
    <cfRule type="cellIs" dxfId="4330" priority="306" operator="between">
      <formula>13</formula>
      <formula>15.9999</formula>
    </cfRule>
    <cfRule type="cellIs" dxfId="4329" priority="307" operator="between">
      <formula>10</formula>
      <formula>12.9999</formula>
    </cfRule>
    <cfRule type="cellIs" dxfId="4328" priority="308" operator="between">
      <formula>7</formula>
      <formula>9.9999</formula>
    </cfRule>
    <cfRule type="cellIs" dxfId="4327" priority="309" operator="between">
      <formula>4</formula>
      <formula>6.9999</formula>
    </cfRule>
    <cfRule type="cellIs" dxfId="4326" priority="310" operator="between">
      <formula>0.1</formula>
      <formula>3.9999</formula>
    </cfRule>
  </conditionalFormatting>
  <conditionalFormatting sqref="G124:G126">
    <cfRule type="cellIs" dxfId="4325" priority="301" operator="between">
      <formula>13</formula>
      <formula>15.9999</formula>
    </cfRule>
    <cfRule type="cellIs" dxfId="4324" priority="302" operator="between">
      <formula>10</formula>
      <formula>12.9999</formula>
    </cfRule>
    <cfRule type="cellIs" dxfId="4323" priority="303" operator="between">
      <formula>7</formula>
      <formula>9.9999</formula>
    </cfRule>
    <cfRule type="cellIs" dxfId="4322" priority="304" operator="between">
      <formula>4</formula>
      <formula>6.9999</formula>
    </cfRule>
    <cfRule type="cellIs" dxfId="4321" priority="305" operator="between">
      <formula>0.1</formula>
      <formula>3.9999</formula>
    </cfRule>
  </conditionalFormatting>
  <conditionalFormatting sqref="G128:G130">
    <cfRule type="cellIs" dxfId="4320" priority="296" operator="between">
      <formula>13</formula>
      <formula>15.9999</formula>
    </cfRule>
    <cfRule type="cellIs" dxfId="4319" priority="297" operator="between">
      <formula>10</formula>
      <formula>12.9999</formula>
    </cfRule>
    <cfRule type="cellIs" dxfId="4318" priority="298" operator="between">
      <formula>7</formula>
      <formula>9.9999</formula>
    </cfRule>
    <cfRule type="cellIs" dxfId="4317" priority="299" operator="between">
      <formula>4</formula>
      <formula>6.9999</formula>
    </cfRule>
    <cfRule type="cellIs" dxfId="4316" priority="300" operator="between">
      <formula>0.1</formula>
      <formula>3.9999</formula>
    </cfRule>
  </conditionalFormatting>
  <conditionalFormatting sqref="G132:G133">
    <cfRule type="cellIs" dxfId="4315" priority="291" operator="between">
      <formula>13</formula>
      <formula>15.9999</formula>
    </cfRule>
    <cfRule type="cellIs" dxfId="4314" priority="292" operator="between">
      <formula>10</formula>
      <formula>12.9999</formula>
    </cfRule>
    <cfRule type="cellIs" dxfId="4313" priority="293" operator="between">
      <formula>7</formula>
      <formula>9.9999</formula>
    </cfRule>
    <cfRule type="cellIs" dxfId="4312" priority="294" operator="between">
      <formula>4</formula>
      <formula>6.9999</formula>
    </cfRule>
    <cfRule type="cellIs" dxfId="4311" priority="295" operator="between">
      <formula>0.1</formula>
      <formula>3.9999</formula>
    </cfRule>
  </conditionalFormatting>
  <conditionalFormatting sqref="G135:G138">
    <cfRule type="cellIs" dxfId="4310" priority="286" operator="between">
      <formula>13</formula>
      <formula>15.9999</formula>
    </cfRule>
    <cfRule type="cellIs" dxfId="4309" priority="287" operator="between">
      <formula>10</formula>
      <formula>12.9999</formula>
    </cfRule>
    <cfRule type="cellIs" dxfId="4308" priority="288" operator="between">
      <formula>7</formula>
      <formula>9.9999</formula>
    </cfRule>
    <cfRule type="cellIs" dxfId="4307" priority="289" operator="between">
      <formula>4</formula>
      <formula>6.9999</formula>
    </cfRule>
    <cfRule type="cellIs" dxfId="4306" priority="290" operator="between">
      <formula>0.1</formula>
      <formula>3.9999</formula>
    </cfRule>
  </conditionalFormatting>
  <conditionalFormatting sqref="G140:G154">
    <cfRule type="cellIs" dxfId="4305" priority="281" operator="between">
      <formula>13</formula>
      <formula>15.9999</formula>
    </cfRule>
    <cfRule type="cellIs" dxfId="4304" priority="282" operator="between">
      <formula>10</formula>
      <formula>12.9999</formula>
    </cfRule>
    <cfRule type="cellIs" dxfId="4303" priority="283" operator="between">
      <formula>7</formula>
      <formula>9.9999</formula>
    </cfRule>
    <cfRule type="cellIs" dxfId="4302" priority="284" operator="between">
      <formula>4</formula>
      <formula>6.9999</formula>
    </cfRule>
    <cfRule type="cellIs" dxfId="4301" priority="285" operator="between">
      <formula>0.1</formula>
      <formula>3.9999</formula>
    </cfRule>
  </conditionalFormatting>
  <conditionalFormatting sqref="G156:G161">
    <cfRule type="cellIs" dxfId="4300" priority="271" operator="between">
      <formula>13</formula>
      <formula>15.9999</formula>
    </cfRule>
    <cfRule type="cellIs" dxfId="4299" priority="272" operator="between">
      <formula>10</formula>
      <formula>12.9999</formula>
    </cfRule>
    <cfRule type="cellIs" dxfId="4298" priority="273" operator="between">
      <formula>7</formula>
      <formula>9.9999</formula>
    </cfRule>
    <cfRule type="cellIs" dxfId="4297" priority="274" operator="between">
      <formula>4</formula>
      <formula>6.9999</formula>
    </cfRule>
    <cfRule type="cellIs" dxfId="4296" priority="275" operator="between">
      <formula>0.1</formula>
      <formula>3.9999</formula>
    </cfRule>
  </conditionalFormatting>
  <conditionalFormatting sqref="G163:G166">
    <cfRule type="cellIs" dxfId="4295" priority="266" operator="between">
      <formula>13</formula>
      <formula>15.9999</formula>
    </cfRule>
    <cfRule type="cellIs" dxfId="4294" priority="267" operator="between">
      <formula>10</formula>
      <formula>12.9999</formula>
    </cfRule>
    <cfRule type="cellIs" dxfId="4293" priority="268" operator="between">
      <formula>7</formula>
      <formula>9.9999</formula>
    </cfRule>
    <cfRule type="cellIs" dxfId="4292" priority="269" operator="between">
      <formula>4</formula>
      <formula>6.9999</formula>
    </cfRule>
    <cfRule type="cellIs" dxfId="4291" priority="270" operator="between">
      <formula>0.1</formula>
      <formula>3.9999</formula>
    </cfRule>
  </conditionalFormatting>
  <conditionalFormatting sqref="G192:G195">
    <cfRule type="cellIs" dxfId="4290" priority="251" operator="between">
      <formula>13</formula>
      <formula>15.9999</formula>
    </cfRule>
    <cfRule type="cellIs" dxfId="4289" priority="252" operator="between">
      <formula>10</formula>
      <formula>12.9999</formula>
    </cfRule>
    <cfRule type="cellIs" dxfId="4288" priority="253" operator="between">
      <formula>7</formula>
      <formula>9.9999</formula>
    </cfRule>
    <cfRule type="cellIs" dxfId="4287" priority="254" operator="between">
      <formula>4</formula>
      <formula>6.9999</formula>
    </cfRule>
    <cfRule type="cellIs" dxfId="4286" priority="255" operator="between">
      <formula>0.1</formula>
      <formula>3.9999</formula>
    </cfRule>
  </conditionalFormatting>
  <conditionalFormatting sqref="G201:G206">
    <cfRule type="cellIs" dxfId="4285" priority="246" operator="between">
      <formula>13</formula>
      <formula>15.9999</formula>
    </cfRule>
    <cfRule type="cellIs" dxfId="4284" priority="247" operator="between">
      <formula>10</formula>
      <formula>12.9999</formula>
    </cfRule>
    <cfRule type="cellIs" dxfId="4283" priority="248" operator="between">
      <formula>7</formula>
      <formula>9.9999</formula>
    </cfRule>
    <cfRule type="cellIs" dxfId="4282" priority="249" operator="between">
      <formula>4</formula>
      <formula>6.9999</formula>
    </cfRule>
    <cfRule type="cellIs" dxfId="4281" priority="250" operator="between">
      <formula>0.1</formula>
      <formula>3.9999</formula>
    </cfRule>
  </conditionalFormatting>
  <conditionalFormatting sqref="G171">
    <cfRule type="cellIs" dxfId="4280" priority="241" operator="between">
      <formula>13</formula>
      <formula>15.9999</formula>
    </cfRule>
    <cfRule type="cellIs" dxfId="4279" priority="242" operator="between">
      <formula>10</formula>
      <formula>12.9999</formula>
    </cfRule>
    <cfRule type="cellIs" dxfId="4278" priority="243" operator="between">
      <formula>7</formula>
      <formula>9.9999</formula>
    </cfRule>
    <cfRule type="cellIs" dxfId="4277" priority="244" operator="between">
      <formula>4</formula>
      <formula>6.9999</formula>
    </cfRule>
    <cfRule type="cellIs" dxfId="4276" priority="245" operator="between">
      <formula>0.1</formula>
      <formula>3.9999</formula>
    </cfRule>
  </conditionalFormatting>
  <conditionalFormatting sqref="I171">
    <cfRule type="cellIs" dxfId="4275" priority="236" operator="equal">
      <formula>"Improving"</formula>
    </cfRule>
    <cfRule type="cellIs" dxfId="4274" priority="237" operator="equal">
      <formula>"Optimising"</formula>
    </cfRule>
    <cfRule type="cellIs" dxfId="4273" priority="238" operator="equal">
      <formula>"Proactive"</formula>
    </cfRule>
    <cfRule type="cellIs" dxfId="4272" priority="239" operator="equal">
      <formula>"Reactive"</formula>
    </cfRule>
    <cfRule type="cellIs" dxfId="4271" priority="240" operator="equal">
      <formula>"No Formal Approach"</formula>
    </cfRule>
  </conditionalFormatting>
  <conditionalFormatting sqref="I176">
    <cfRule type="cellIs" dxfId="4270" priority="231" operator="equal">
      <formula>"Improving"</formula>
    </cfRule>
    <cfRule type="cellIs" dxfId="4269" priority="232" operator="equal">
      <formula>"Optimising"</formula>
    </cfRule>
    <cfRule type="cellIs" dxfId="4268" priority="233" operator="equal">
      <formula>"Proactive"</formula>
    </cfRule>
    <cfRule type="cellIs" dxfId="4267" priority="234" operator="equal">
      <formula>"Reactive"</formula>
    </cfRule>
    <cfRule type="cellIs" dxfId="4266" priority="235" operator="equal">
      <formula>"No Formal Approach"</formula>
    </cfRule>
  </conditionalFormatting>
  <conditionalFormatting sqref="I177">
    <cfRule type="cellIs" dxfId="4265" priority="226" operator="equal">
      <formula>"Improving"</formula>
    </cfRule>
    <cfRule type="cellIs" dxfId="4264" priority="227" operator="equal">
      <formula>"Optimising"</formula>
    </cfRule>
    <cfRule type="cellIs" dxfId="4263" priority="228" operator="equal">
      <formula>"Proactive"</formula>
    </cfRule>
    <cfRule type="cellIs" dxfId="4262" priority="229" operator="equal">
      <formula>"Reactive"</formula>
    </cfRule>
    <cfRule type="cellIs" dxfId="4261" priority="230" operator="equal">
      <formula>"No Formal Approach"</formula>
    </cfRule>
  </conditionalFormatting>
  <conditionalFormatting sqref="I174">
    <cfRule type="cellIs" dxfId="4260" priority="221" operator="equal">
      <formula>"Improving"</formula>
    </cfRule>
    <cfRule type="cellIs" dxfId="4259" priority="222" operator="equal">
      <formula>"Optimising"</formula>
    </cfRule>
    <cfRule type="cellIs" dxfId="4258" priority="223" operator="equal">
      <formula>"Proactive"</formula>
    </cfRule>
    <cfRule type="cellIs" dxfId="4257" priority="224" operator="equal">
      <formula>"Reactive"</formula>
    </cfRule>
    <cfRule type="cellIs" dxfId="4256" priority="225" operator="equal">
      <formula>"No Formal Approach"</formula>
    </cfRule>
  </conditionalFormatting>
  <conditionalFormatting sqref="I175">
    <cfRule type="cellIs" dxfId="4255" priority="216" operator="equal">
      <formula>"Improving"</formula>
    </cfRule>
    <cfRule type="cellIs" dxfId="4254" priority="217" operator="equal">
      <formula>"Optimising"</formula>
    </cfRule>
    <cfRule type="cellIs" dxfId="4253" priority="218" operator="equal">
      <formula>"Proactive"</formula>
    </cfRule>
    <cfRule type="cellIs" dxfId="4252" priority="219" operator="equal">
      <formula>"Reactive"</formula>
    </cfRule>
    <cfRule type="cellIs" dxfId="4251" priority="220" operator="equal">
      <formula>"No Formal Approach"</formula>
    </cfRule>
  </conditionalFormatting>
  <conditionalFormatting sqref="I172">
    <cfRule type="cellIs" dxfId="4250" priority="211" operator="equal">
      <formula>"Improving"</formula>
    </cfRule>
    <cfRule type="cellIs" dxfId="4249" priority="212" operator="equal">
      <formula>"Optimising"</formula>
    </cfRule>
    <cfRule type="cellIs" dxfId="4248" priority="213" operator="equal">
      <formula>"Proactive"</formula>
    </cfRule>
    <cfRule type="cellIs" dxfId="4247" priority="214" operator="equal">
      <formula>"Reactive"</formula>
    </cfRule>
    <cfRule type="cellIs" dxfId="4246" priority="215" operator="equal">
      <formula>"No Formal Approach"</formula>
    </cfRule>
  </conditionalFormatting>
  <conditionalFormatting sqref="I173">
    <cfRule type="cellIs" dxfId="4245" priority="206" operator="equal">
      <formula>"Improving"</formula>
    </cfRule>
    <cfRule type="cellIs" dxfId="4244" priority="207" operator="equal">
      <formula>"Optimising"</formula>
    </cfRule>
    <cfRule type="cellIs" dxfId="4243" priority="208" operator="equal">
      <formula>"Proactive"</formula>
    </cfRule>
    <cfRule type="cellIs" dxfId="4242" priority="209" operator="equal">
      <formula>"Reactive"</formula>
    </cfRule>
    <cfRule type="cellIs" dxfId="4241" priority="210" operator="equal">
      <formula>"No Formal Approach"</formula>
    </cfRule>
  </conditionalFormatting>
  <conditionalFormatting sqref="G196">
    <cfRule type="cellIs" dxfId="4240" priority="161" operator="between">
      <formula>13</formula>
      <formula>15.9999</formula>
    </cfRule>
    <cfRule type="cellIs" dxfId="4239" priority="162" operator="between">
      <formula>10</formula>
      <formula>12.9999</formula>
    </cfRule>
    <cfRule type="cellIs" dxfId="4238" priority="163" operator="between">
      <formula>7</formula>
      <formula>9.9999</formula>
    </cfRule>
    <cfRule type="cellIs" dxfId="4237" priority="164" operator="between">
      <formula>4</formula>
      <formula>6.9999</formula>
    </cfRule>
    <cfRule type="cellIs" dxfId="4236" priority="165" operator="between">
      <formula>0.1</formula>
      <formula>3.9999</formula>
    </cfRule>
  </conditionalFormatting>
  <conditionalFormatting sqref="I196">
    <cfRule type="cellIs" dxfId="4235" priority="156" operator="equal">
      <formula>"Improving"</formula>
    </cfRule>
    <cfRule type="cellIs" dxfId="4234" priority="157" operator="equal">
      <formula>"Optimising"</formula>
    </cfRule>
    <cfRule type="cellIs" dxfId="4233" priority="158" operator="equal">
      <formula>"Proactive"</formula>
    </cfRule>
    <cfRule type="cellIs" dxfId="4232" priority="159" operator="equal">
      <formula>"Reactive"</formula>
    </cfRule>
    <cfRule type="cellIs" dxfId="4231" priority="160" operator="equal">
      <formula>"No Formal Approach"</formula>
    </cfRule>
  </conditionalFormatting>
  <conditionalFormatting sqref="I197">
    <cfRule type="cellIs" dxfId="4230" priority="151" operator="equal">
      <formula>"Improving"</formula>
    </cfRule>
    <cfRule type="cellIs" dxfId="4229" priority="152" operator="equal">
      <formula>"Optimising"</formula>
    </cfRule>
    <cfRule type="cellIs" dxfId="4228" priority="153" operator="equal">
      <formula>"Proactive"</formula>
    </cfRule>
    <cfRule type="cellIs" dxfId="4227" priority="154" operator="equal">
      <formula>"Reactive"</formula>
    </cfRule>
    <cfRule type="cellIs" dxfId="4226" priority="155" operator="equal">
      <formula>"No Formal Approach"</formula>
    </cfRule>
  </conditionalFormatting>
  <conditionalFormatting sqref="I198">
    <cfRule type="cellIs" dxfId="4225" priority="146" operator="equal">
      <formula>"Improving"</formula>
    </cfRule>
    <cfRule type="cellIs" dxfId="4224" priority="147" operator="equal">
      <formula>"Optimising"</formula>
    </cfRule>
    <cfRule type="cellIs" dxfId="4223" priority="148" operator="equal">
      <formula>"Proactive"</formula>
    </cfRule>
    <cfRule type="cellIs" dxfId="4222" priority="149" operator="equal">
      <formula>"Reactive"</formula>
    </cfRule>
    <cfRule type="cellIs" dxfId="4221" priority="150" operator="equal">
      <formula>"No Formal Approach"</formula>
    </cfRule>
  </conditionalFormatting>
  <conditionalFormatting sqref="I199">
    <cfRule type="cellIs" dxfId="4220" priority="141" operator="equal">
      <formula>"Improving"</formula>
    </cfRule>
    <cfRule type="cellIs" dxfId="4219" priority="142" operator="equal">
      <formula>"Optimising"</formula>
    </cfRule>
    <cfRule type="cellIs" dxfId="4218" priority="143" operator="equal">
      <formula>"Proactive"</formula>
    </cfRule>
    <cfRule type="cellIs" dxfId="4217" priority="144" operator="equal">
      <formula>"Reactive"</formula>
    </cfRule>
    <cfRule type="cellIs" dxfId="4216" priority="145" operator="equal">
      <formula>"No Formal Approach"</formula>
    </cfRule>
  </conditionalFormatting>
  <conditionalFormatting sqref="I189">
    <cfRule type="cellIs" dxfId="4215" priority="116" operator="equal">
      <formula>"Improving"</formula>
    </cfRule>
    <cfRule type="cellIs" dxfId="4214" priority="117" operator="equal">
      <formula>"Optimising"</formula>
    </cfRule>
    <cfRule type="cellIs" dxfId="4213" priority="118" operator="equal">
      <formula>"Proactive"</formula>
    </cfRule>
    <cfRule type="cellIs" dxfId="4212" priority="119" operator="equal">
      <formula>"Reactive"</formula>
    </cfRule>
    <cfRule type="cellIs" dxfId="4211" priority="120" operator="equal">
      <formula>"No Formal Approach"</formula>
    </cfRule>
  </conditionalFormatting>
  <conditionalFormatting sqref="I190">
    <cfRule type="cellIs" dxfId="4210" priority="111" operator="equal">
      <formula>"Improving"</formula>
    </cfRule>
    <cfRule type="cellIs" dxfId="4209" priority="112" operator="equal">
      <formula>"Optimising"</formula>
    </cfRule>
    <cfRule type="cellIs" dxfId="4208" priority="113" operator="equal">
      <formula>"Proactive"</formula>
    </cfRule>
    <cfRule type="cellIs" dxfId="4207" priority="114" operator="equal">
      <formula>"Reactive"</formula>
    </cfRule>
    <cfRule type="cellIs" dxfId="4206" priority="115" operator="equal">
      <formula>"No Formal Approach"</formula>
    </cfRule>
  </conditionalFormatting>
  <conditionalFormatting sqref="G188">
    <cfRule type="cellIs" dxfId="4205" priority="106" operator="between">
      <formula>13</formula>
      <formula>15.9999</formula>
    </cfRule>
    <cfRule type="cellIs" dxfId="4204" priority="107" operator="between">
      <formula>10</formula>
      <formula>12.9999</formula>
    </cfRule>
    <cfRule type="cellIs" dxfId="4203" priority="108" operator="between">
      <formula>7</formula>
      <formula>9.9999</formula>
    </cfRule>
    <cfRule type="cellIs" dxfId="4202" priority="109" operator="between">
      <formula>4</formula>
      <formula>6.9999</formula>
    </cfRule>
    <cfRule type="cellIs" dxfId="4201" priority="110" operator="between">
      <formula>0.1</formula>
      <formula>3.9999</formula>
    </cfRule>
  </conditionalFormatting>
  <conditionalFormatting sqref="I188">
    <cfRule type="cellIs" dxfId="4200" priority="101" operator="equal">
      <formula>"Improving"</formula>
    </cfRule>
    <cfRule type="cellIs" dxfId="4199" priority="102" operator="equal">
      <formula>"Optimising"</formula>
    </cfRule>
    <cfRule type="cellIs" dxfId="4198" priority="103" operator="equal">
      <formula>"Proactive"</formula>
    </cfRule>
    <cfRule type="cellIs" dxfId="4197" priority="104" operator="equal">
      <formula>"Reactive"</formula>
    </cfRule>
    <cfRule type="cellIs" dxfId="4196" priority="105" operator="equal">
      <formula>"No Formal Approach"</formula>
    </cfRule>
  </conditionalFormatting>
  <conditionalFormatting sqref="G189:G190">
    <cfRule type="cellIs" dxfId="4195" priority="96" operator="between">
      <formula>13</formula>
      <formula>15.9999</formula>
    </cfRule>
    <cfRule type="cellIs" dxfId="4194" priority="97" operator="between">
      <formula>10</formula>
      <formula>12.9999</formula>
    </cfRule>
    <cfRule type="cellIs" dxfId="4193" priority="98" operator="between">
      <formula>7</formula>
      <formula>9.9999</formula>
    </cfRule>
    <cfRule type="cellIs" dxfId="4192" priority="99" operator="between">
      <formula>4</formula>
      <formula>6.9999</formula>
    </cfRule>
    <cfRule type="cellIs" dxfId="4191" priority="100" operator="between">
      <formula>0.1</formula>
      <formula>3.9999</formula>
    </cfRule>
  </conditionalFormatting>
  <conditionalFormatting sqref="I179">
    <cfRule type="cellIs" dxfId="4190" priority="91" operator="equal">
      <formula>"Improving"</formula>
    </cfRule>
    <cfRule type="cellIs" dxfId="4189" priority="92" operator="equal">
      <formula>"Optimising"</formula>
    </cfRule>
    <cfRule type="cellIs" dxfId="4188" priority="93" operator="equal">
      <formula>"Proactive"</formula>
    </cfRule>
    <cfRule type="cellIs" dxfId="4187" priority="94" operator="equal">
      <formula>"Reactive"</formula>
    </cfRule>
    <cfRule type="cellIs" dxfId="4186" priority="95" operator="equal">
      <formula>"No Formal Approach"</formula>
    </cfRule>
  </conditionalFormatting>
  <conditionalFormatting sqref="G178">
    <cfRule type="cellIs" dxfId="4185" priority="76" operator="between">
      <formula>13</formula>
      <formula>15.9999</formula>
    </cfRule>
    <cfRule type="cellIs" dxfId="4184" priority="77" operator="between">
      <formula>10</formula>
      <formula>12.9999</formula>
    </cfRule>
    <cfRule type="cellIs" dxfId="4183" priority="78" operator="between">
      <formula>7</formula>
      <formula>9.9999</formula>
    </cfRule>
    <cfRule type="cellIs" dxfId="4182" priority="79" operator="between">
      <formula>4</formula>
      <formula>6.9999</formula>
    </cfRule>
    <cfRule type="cellIs" dxfId="4181" priority="80" operator="between">
      <formula>0.1</formula>
      <formula>3.9999</formula>
    </cfRule>
  </conditionalFormatting>
  <conditionalFormatting sqref="I180">
    <cfRule type="cellIs" dxfId="4180" priority="86" operator="equal">
      <formula>"Improving"</formula>
    </cfRule>
    <cfRule type="cellIs" dxfId="4179" priority="87" operator="equal">
      <formula>"Optimising"</formula>
    </cfRule>
    <cfRule type="cellIs" dxfId="4178" priority="88" operator="equal">
      <formula>"Proactive"</formula>
    </cfRule>
    <cfRule type="cellIs" dxfId="4177" priority="89" operator="equal">
      <formula>"Reactive"</formula>
    </cfRule>
    <cfRule type="cellIs" dxfId="4176" priority="90" operator="equal">
      <formula>"No Formal Approach"</formula>
    </cfRule>
  </conditionalFormatting>
  <conditionalFormatting sqref="I181">
    <cfRule type="cellIs" dxfId="4175" priority="81" operator="equal">
      <formula>"Improving"</formula>
    </cfRule>
    <cfRule type="cellIs" dxfId="4174" priority="82" operator="equal">
      <formula>"Optimising"</formula>
    </cfRule>
    <cfRule type="cellIs" dxfId="4173" priority="83" operator="equal">
      <formula>"Proactive"</formula>
    </cfRule>
    <cfRule type="cellIs" dxfId="4172" priority="84" operator="equal">
      <formula>"Reactive"</formula>
    </cfRule>
    <cfRule type="cellIs" dxfId="4171" priority="85" operator="equal">
      <formula>"No Formal Approach"</formula>
    </cfRule>
  </conditionalFormatting>
  <conditionalFormatting sqref="I178">
    <cfRule type="cellIs" dxfId="4170" priority="71" operator="equal">
      <formula>"Improving"</formula>
    </cfRule>
    <cfRule type="cellIs" dxfId="4169" priority="72" operator="equal">
      <formula>"Optimising"</formula>
    </cfRule>
    <cfRule type="cellIs" dxfId="4168" priority="73" operator="equal">
      <formula>"Proactive"</formula>
    </cfRule>
    <cfRule type="cellIs" dxfId="4167" priority="74" operator="equal">
      <formula>"Reactive"</formula>
    </cfRule>
    <cfRule type="cellIs" dxfId="4166" priority="75" operator="equal">
      <formula>"No Formal Approach"</formula>
    </cfRule>
  </conditionalFormatting>
  <conditionalFormatting sqref="I182">
    <cfRule type="cellIs" dxfId="4165" priority="66" operator="equal">
      <formula>"Improving"</formula>
    </cfRule>
    <cfRule type="cellIs" dxfId="4164" priority="67" operator="equal">
      <formula>"Optimising"</formula>
    </cfRule>
    <cfRule type="cellIs" dxfId="4163" priority="68" operator="equal">
      <formula>"Proactive"</formula>
    </cfRule>
    <cfRule type="cellIs" dxfId="4162" priority="69" operator="equal">
      <formula>"Reactive"</formula>
    </cfRule>
    <cfRule type="cellIs" dxfId="4161" priority="70" operator="equal">
      <formula>"No Formal Approach"</formula>
    </cfRule>
  </conditionalFormatting>
  <conditionalFormatting sqref="I184">
    <cfRule type="cellIs" dxfId="4160" priority="61" operator="equal">
      <formula>"Improving"</formula>
    </cfRule>
    <cfRule type="cellIs" dxfId="4159" priority="62" operator="equal">
      <formula>"Optimising"</formula>
    </cfRule>
    <cfRule type="cellIs" dxfId="4158" priority="63" operator="equal">
      <formula>"Proactive"</formula>
    </cfRule>
    <cfRule type="cellIs" dxfId="4157" priority="64" operator="equal">
      <formula>"Reactive"</formula>
    </cfRule>
    <cfRule type="cellIs" dxfId="4156" priority="65" operator="equal">
      <formula>"No Formal Approach"</formula>
    </cfRule>
  </conditionalFormatting>
  <conditionalFormatting sqref="I185">
    <cfRule type="cellIs" dxfId="4155" priority="56" operator="equal">
      <formula>"Improving"</formula>
    </cfRule>
    <cfRule type="cellIs" dxfId="4154" priority="57" operator="equal">
      <formula>"Optimising"</formula>
    </cfRule>
    <cfRule type="cellIs" dxfId="4153" priority="58" operator="equal">
      <formula>"Proactive"</formula>
    </cfRule>
    <cfRule type="cellIs" dxfId="4152" priority="59" operator="equal">
      <formula>"Reactive"</formula>
    </cfRule>
    <cfRule type="cellIs" dxfId="4151" priority="60" operator="equal">
      <formula>"No Formal Approach"</formula>
    </cfRule>
  </conditionalFormatting>
  <conditionalFormatting sqref="I186">
    <cfRule type="cellIs" dxfId="4150" priority="51" operator="equal">
      <formula>"Improving"</formula>
    </cfRule>
    <cfRule type="cellIs" dxfId="4149" priority="52" operator="equal">
      <formula>"Optimising"</formula>
    </cfRule>
    <cfRule type="cellIs" dxfId="4148" priority="53" operator="equal">
      <formula>"Proactive"</formula>
    </cfRule>
    <cfRule type="cellIs" dxfId="4147" priority="54" operator="equal">
      <formula>"Reactive"</formula>
    </cfRule>
    <cfRule type="cellIs" dxfId="4146" priority="55" operator="equal">
      <formula>"No Formal Approach"</formula>
    </cfRule>
  </conditionalFormatting>
  <conditionalFormatting sqref="I187">
    <cfRule type="cellIs" dxfId="4145" priority="46" operator="equal">
      <formula>"Improving"</formula>
    </cfRule>
    <cfRule type="cellIs" dxfId="4144" priority="47" operator="equal">
      <formula>"Optimising"</formula>
    </cfRule>
    <cfRule type="cellIs" dxfId="4143" priority="48" operator="equal">
      <formula>"Proactive"</formula>
    </cfRule>
    <cfRule type="cellIs" dxfId="4142" priority="49" operator="equal">
      <formula>"Reactive"</formula>
    </cfRule>
    <cfRule type="cellIs" dxfId="4141" priority="50" operator="equal">
      <formula>"No Formal Approach"</formula>
    </cfRule>
  </conditionalFormatting>
  <conditionalFormatting sqref="G179:G182 G184:G187">
    <cfRule type="cellIs" dxfId="4140" priority="41" operator="between">
      <formula>13</formula>
      <formula>15.9999</formula>
    </cfRule>
    <cfRule type="cellIs" dxfId="4139" priority="42" operator="between">
      <formula>10</formula>
      <formula>12.9999</formula>
    </cfRule>
    <cfRule type="cellIs" dxfId="4138" priority="43" operator="between">
      <formula>7</formula>
      <formula>9.9999</formula>
    </cfRule>
    <cfRule type="cellIs" dxfId="4137" priority="44" operator="between">
      <formula>4</formula>
      <formula>6.9999</formula>
    </cfRule>
    <cfRule type="cellIs" dxfId="4136" priority="45" operator="between">
      <formula>0.1</formula>
      <formula>3.9999</formula>
    </cfRule>
  </conditionalFormatting>
  <conditionalFormatting sqref="I168">
    <cfRule type="cellIs" dxfId="4135" priority="36" operator="equal">
      <formula>"Improving"</formula>
    </cfRule>
    <cfRule type="cellIs" dxfId="4134" priority="37" operator="equal">
      <formula>"Optimising"</formula>
    </cfRule>
    <cfRule type="cellIs" dxfId="4133" priority="38" operator="equal">
      <formula>"Proactive"</formula>
    </cfRule>
    <cfRule type="cellIs" dxfId="4132" priority="39" operator="equal">
      <formula>"Reactive"</formula>
    </cfRule>
    <cfRule type="cellIs" dxfId="4131" priority="40" operator="equal">
      <formula>"No Formal Approach"</formula>
    </cfRule>
  </conditionalFormatting>
  <conditionalFormatting sqref="I169">
    <cfRule type="cellIs" dxfId="4130" priority="31" operator="equal">
      <formula>"Improving"</formula>
    </cfRule>
    <cfRule type="cellIs" dxfId="4129" priority="32" operator="equal">
      <formula>"Optimising"</formula>
    </cfRule>
    <cfRule type="cellIs" dxfId="4128" priority="33" operator="equal">
      <formula>"Proactive"</formula>
    </cfRule>
    <cfRule type="cellIs" dxfId="4127" priority="34" operator="equal">
      <formula>"Reactive"</formula>
    </cfRule>
    <cfRule type="cellIs" dxfId="4126" priority="35" operator="equal">
      <formula>"No Formal Approach"</formula>
    </cfRule>
  </conditionalFormatting>
  <conditionalFormatting sqref="I170">
    <cfRule type="cellIs" dxfId="4125" priority="26" operator="equal">
      <formula>"Improving"</formula>
    </cfRule>
    <cfRule type="cellIs" dxfId="4124" priority="27" operator="equal">
      <formula>"Optimising"</formula>
    </cfRule>
    <cfRule type="cellIs" dxfId="4123" priority="28" operator="equal">
      <formula>"Proactive"</formula>
    </cfRule>
    <cfRule type="cellIs" dxfId="4122" priority="29" operator="equal">
      <formula>"Reactive"</formula>
    </cfRule>
    <cfRule type="cellIs" dxfId="4121" priority="30" operator="equal">
      <formula>"No Formal Approach"</formula>
    </cfRule>
  </conditionalFormatting>
  <conditionalFormatting sqref="G167">
    <cfRule type="cellIs" dxfId="4120" priority="21" operator="between">
      <formula>13</formula>
      <formula>15.9999</formula>
    </cfRule>
    <cfRule type="cellIs" dxfId="4119" priority="22" operator="between">
      <formula>10</formula>
      <formula>12.9999</formula>
    </cfRule>
    <cfRule type="cellIs" dxfId="4118" priority="23" operator="between">
      <formula>7</formula>
      <formula>9.9999</formula>
    </cfRule>
    <cfRule type="cellIs" dxfId="4117" priority="24" operator="between">
      <formula>4</formula>
      <formula>6.9999</formula>
    </cfRule>
    <cfRule type="cellIs" dxfId="4116" priority="25" operator="between">
      <formula>0.1</formula>
      <formula>3.9999</formula>
    </cfRule>
  </conditionalFormatting>
  <conditionalFormatting sqref="I167">
    <cfRule type="cellIs" dxfId="4115" priority="16" operator="equal">
      <formula>"Improving"</formula>
    </cfRule>
    <cfRule type="cellIs" dxfId="4114" priority="17" operator="equal">
      <formula>"Optimising"</formula>
    </cfRule>
    <cfRule type="cellIs" dxfId="4113" priority="18" operator="equal">
      <formula>"Proactive"</formula>
    </cfRule>
    <cfRule type="cellIs" dxfId="4112" priority="19" operator="equal">
      <formula>"Reactive"</formula>
    </cfRule>
    <cfRule type="cellIs" dxfId="4111" priority="20" operator="equal">
      <formula>"No Formal Approach"</formula>
    </cfRule>
  </conditionalFormatting>
  <conditionalFormatting sqref="G168:G170">
    <cfRule type="cellIs" dxfId="4110" priority="11" operator="between">
      <formula>13</formula>
      <formula>15.9999</formula>
    </cfRule>
    <cfRule type="cellIs" dxfId="4109" priority="12" operator="between">
      <formula>10</formula>
      <formula>12.9999</formula>
    </cfRule>
    <cfRule type="cellIs" dxfId="4108" priority="13" operator="between">
      <formula>7</formula>
      <formula>9.9999</formula>
    </cfRule>
    <cfRule type="cellIs" dxfId="4107" priority="14" operator="between">
      <formula>4</formula>
      <formula>6.9999</formula>
    </cfRule>
    <cfRule type="cellIs" dxfId="4106" priority="15" operator="between">
      <formula>0.1</formula>
      <formula>3.9999</formula>
    </cfRule>
  </conditionalFormatting>
  <conditionalFormatting sqref="I183">
    <cfRule type="cellIs" dxfId="4105" priority="6" operator="equal">
      <formula>"Improving"</formula>
    </cfRule>
    <cfRule type="cellIs" dxfId="4104" priority="7" operator="equal">
      <formula>"Optimising"</formula>
    </cfRule>
    <cfRule type="cellIs" dxfId="4103" priority="8" operator="equal">
      <formula>"Proactive"</formula>
    </cfRule>
    <cfRule type="cellIs" dxfId="4102" priority="9" operator="equal">
      <formula>"Reactive"</formula>
    </cfRule>
    <cfRule type="cellIs" dxfId="4101" priority="10" operator="equal">
      <formula>"No Formal Approach"</formula>
    </cfRule>
  </conditionalFormatting>
  <conditionalFormatting sqref="G183">
    <cfRule type="cellIs" dxfId="4100" priority="1" operator="between">
      <formula>13</formula>
      <formula>15.9999</formula>
    </cfRule>
    <cfRule type="cellIs" dxfId="4099" priority="2" operator="between">
      <formula>10</formula>
      <formula>12.9999</formula>
    </cfRule>
    <cfRule type="cellIs" dxfId="4098" priority="3" operator="between">
      <formula>7</formula>
      <formula>9.9999</formula>
    </cfRule>
    <cfRule type="cellIs" dxfId="4097" priority="4" operator="between">
      <formula>4</formula>
      <formula>6.9999</formula>
    </cfRule>
    <cfRule type="cellIs" dxfId="4096" priority="5" operator="between">
      <formula>0.1</formula>
      <formula>3.9999</formula>
    </cfRule>
  </conditionalFormatting>
  <dataValidations count="2">
    <dataValidation type="list" allowBlank="1" showInputMessage="1" showErrorMessage="1" sqref="G135:G138 G85:G87 G25:G32 G34:G38 G40:G44 G46:G47 G49:G51 G53:G59 G61:G63 G65:G77 G22:G23 G89:G91 G93:G96 G98:G108 G110:G119 G121:G122 G124:G126 G128:G130 G132:G133 G6:G18 G20 G79:G83 G140:G154 G156:G161 G168:G170 G201:G206 G192:G195 G197:G199 G189:G190 G172:G177 G163:G166 G179:G187">
      <formula1>Scores</formula1>
    </dataValidation>
    <dataValidation type="list" allowBlank="1" showInputMessage="1" showErrorMessage="1" sqref="K85:K87 K25:K32 K34:K38 K40:K44 K46:K47 K49:K51 K53:K59 K61:K63 K65:K77 K22:K23 K89:K91 K93:K96 K98:K108 K110:K119 K121:K122 K124:K126 K128:K130 K132:K133 K135:K138 K6:K18 K20 K79:K83 K140:K154 K156:K161 K168:K170 K201:K206 K192:K195 K197:K199 K189:K190 K172:K177 K163:K166 K179:K187">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41"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N102"/>
  <sheetViews>
    <sheetView tabSelected="1" zoomScaleNormal="100" workbookViewId="0">
      <pane xSplit="4" ySplit="4" topLeftCell="G41" activePane="bottomRight" state="frozen"/>
      <selection pane="topRight" activeCell="F1" sqref="F1"/>
      <selection pane="bottomLeft" activeCell="A5" sqref="A5"/>
      <selection pane="bottomRight" activeCell="L43" sqref="L43"/>
    </sheetView>
  </sheetViews>
  <sheetFormatPr defaultColWidth="8.88671875" defaultRowHeight="14.4" x14ac:dyDescent="0.3"/>
  <cols>
    <col min="1" max="1" width="0.88671875" style="110"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110"/>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1'!H15</f>
        <v>Subject 1</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139"/>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t="s">
        <v>1275</v>
      </c>
      <c r="M5" s="120"/>
      <c r="N5" s="230"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t="s">
        <v>1275</v>
      </c>
      <c r="M6" s="120"/>
      <c r="N6" s="230"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30"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t="s">
        <v>1276</v>
      </c>
      <c r="M8" s="120"/>
      <c r="N8" s="230" t="str">
        <f>IF(OR($G8=1,$G8=2,$G8=3,$G8=4,$G8=5,$G8=6),'20k Cross Ref (DSSubject)'!$BU7,"")</f>
        <v/>
      </c>
    </row>
    <row r="9" spans="2:14" s="30" customFormat="1" ht="69"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t="s">
        <v>1277</v>
      </c>
      <c r="M9" s="120"/>
      <c r="N9" s="230" t="str">
        <f>IF(OR($G9=1,$G9=2,$G9=3,$G9=4,$G9=5,$G9=6),'20k Cross Ref (DSSubject)'!$BU8,"")</f>
        <v/>
      </c>
    </row>
    <row r="10" spans="2:14" s="30" customFormat="1" ht="27.6"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t="s">
        <v>1278</v>
      </c>
      <c r="M10" s="120"/>
      <c r="N10" s="230"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30"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30"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30"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30"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t="s">
        <v>1280</v>
      </c>
      <c r="M16" s="120"/>
      <c r="N16" s="230"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30"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t="s">
        <v>1279</v>
      </c>
      <c r="M18" s="120"/>
      <c r="N18" s="230"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30"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30"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30"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30"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t="s">
        <v>1282</v>
      </c>
      <c r="M23" s="120"/>
      <c r="N23" s="230"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30"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30"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30"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t="s">
        <v>1281</v>
      </c>
      <c r="M27" s="120"/>
      <c r="N27" s="230"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30"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30"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30"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30"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30"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30"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t="s">
        <v>1283</v>
      </c>
      <c r="M34" s="120"/>
      <c r="N34" s="230"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30"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30"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30"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30"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30"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30"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30"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30"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30"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30"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30"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30"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30"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30"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30"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30"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30"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30"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30"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30"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30"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30"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30"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30"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30"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30"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30"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30"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30"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30"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30"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30"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30"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30"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30"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30"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30"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30"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30"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30"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30"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30"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30"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30"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30"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30"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30"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30"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30"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30"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30"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30"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30"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30"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30"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30"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E3:F3"/>
    <mergeCell ref="G3:I3"/>
    <mergeCell ref="G2:N2"/>
  </mergeCells>
  <conditionalFormatting sqref="G5">
    <cfRule type="cellIs" dxfId="4095" priority="566" operator="between">
      <formula>13</formula>
      <formula>15.9999</formula>
    </cfRule>
    <cfRule type="cellIs" dxfId="4094" priority="567" operator="between">
      <formula>10</formula>
      <formula>12.9999</formula>
    </cfRule>
    <cfRule type="cellIs" dxfId="4093" priority="568" operator="between">
      <formula>7</formula>
      <formula>9.9999</formula>
    </cfRule>
    <cfRule type="cellIs" dxfId="4092" priority="569" operator="between">
      <formula>4</formula>
      <formula>6.9999</formula>
    </cfRule>
    <cfRule type="cellIs" dxfId="4091" priority="570" operator="between">
      <formula>0.1</formula>
      <formula>3.9999</formula>
    </cfRule>
  </conditionalFormatting>
  <conditionalFormatting sqref="I5">
    <cfRule type="cellIs" dxfId="4090" priority="241" operator="equal">
      <formula>"Improving"</formula>
    </cfRule>
    <cfRule type="cellIs" dxfId="4089" priority="242" operator="equal">
      <formula>"Optimising"</formula>
    </cfRule>
    <cfRule type="cellIs" dxfId="4088" priority="243" operator="equal">
      <formula>"Proactive"</formula>
    </cfRule>
    <cfRule type="cellIs" dxfId="4087" priority="244" operator="equal">
      <formula>"Reactive"</formula>
    </cfRule>
    <cfRule type="cellIs" dxfId="4086" priority="245" operator="equal">
      <formula>"No Formal Approach"</formula>
    </cfRule>
  </conditionalFormatting>
  <conditionalFormatting sqref="G6:G12">
    <cfRule type="cellIs" dxfId="4085" priority="236" operator="between">
      <formula>13</formula>
      <formula>15.9999</formula>
    </cfRule>
    <cfRule type="cellIs" dxfId="4084" priority="237" operator="between">
      <formula>10</formula>
      <formula>12.9999</formula>
    </cfRule>
    <cfRule type="cellIs" dxfId="4083" priority="238" operator="between">
      <formula>7</formula>
      <formula>9.9999</formula>
    </cfRule>
    <cfRule type="cellIs" dxfId="4082" priority="239" operator="between">
      <formula>4</formula>
      <formula>6.9999</formula>
    </cfRule>
    <cfRule type="cellIs" dxfId="4081" priority="240" operator="between">
      <formula>0.1</formula>
      <formula>3.9999</formula>
    </cfRule>
  </conditionalFormatting>
  <conditionalFormatting sqref="G14:G35">
    <cfRule type="cellIs" dxfId="4080" priority="231" operator="between">
      <formula>13</formula>
      <formula>15.9999</formula>
    </cfRule>
    <cfRule type="cellIs" dxfId="4079" priority="232" operator="between">
      <formula>10</formula>
      <formula>12.9999</formula>
    </cfRule>
    <cfRule type="cellIs" dxfId="4078" priority="233" operator="between">
      <formula>7</formula>
      <formula>9.9999</formula>
    </cfRule>
    <cfRule type="cellIs" dxfId="4077" priority="234" operator="between">
      <formula>4</formula>
      <formula>6.9999</formula>
    </cfRule>
    <cfRule type="cellIs" dxfId="4076" priority="235" operator="between">
      <formula>0.1</formula>
      <formula>3.9999</formula>
    </cfRule>
  </conditionalFormatting>
  <conditionalFormatting sqref="G37:G42">
    <cfRule type="cellIs" dxfId="4075" priority="226" operator="between">
      <formula>13</formula>
      <formula>15.9999</formula>
    </cfRule>
    <cfRule type="cellIs" dxfId="4074" priority="227" operator="between">
      <formula>10</formula>
      <formula>12.9999</formula>
    </cfRule>
    <cfRule type="cellIs" dxfId="4073" priority="228" operator="between">
      <formula>7</formula>
      <formula>9.9999</formula>
    </cfRule>
    <cfRule type="cellIs" dxfId="4072" priority="229" operator="between">
      <formula>4</formula>
      <formula>6.9999</formula>
    </cfRule>
    <cfRule type="cellIs" dxfId="4071" priority="230" operator="between">
      <formula>0.1</formula>
      <formula>3.9999</formula>
    </cfRule>
  </conditionalFormatting>
  <conditionalFormatting sqref="G44:G51">
    <cfRule type="cellIs" dxfId="4070" priority="221" operator="between">
      <formula>13</formula>
      <formula>15.9999</formula>
    </cfRule>
    <cfRule type="cellIs" dxfId="4069" priority="222" operator="between">
      <formula>10</formula>
      <formula>12.9999</formula>
    </cfRule>
    <cfRule type="cellIs" dxfId="4068" priority="223" operator="between">
      <formula>7</formula>
      <formula>9.9999</formula>
    </cfRule>
    <cfRule type="cellIs" dxfId="4067" priority="224" operator="between">
      <formula>4</formula>
      <formula>6.9999</formula>
    </cfRule>
    <cfRule type="cellIs" dxfId="4066" priority="225" operator="between">
      <formula>0.1</formula>
      <formula>3.9999</formula>
    </cfRule>
  </conditionalFormatting>
  <conditionalFormatting sqref="G53:G58">
    <cfRule type="cellIs" dxfId="4065" priority="216" operator="between">
      <formula>13</formula>
      <formula>15.9999</formula>
    </cfRule>
    <cfRule type="cellIs" dxfId="4064" priority="217" operator="between">
      <formula>10</formula>
      <formula>12.9999</formula>
    </cfRule>
    <cfRule type="cellIs" dxfId="4063" priority="218" operator="between">
      <formula>7</formula>
      <formula>9.9999</formula>
    </cfRule>
    <cfRule type="cellIs" dxfId="4062" priority="219" operator="between">
      <formula>4</formula>
      <formula>6.9999</formula>
    </cfRule>
    <cfRule type="cellIs" dxfId="4061" priority="220" operator="between">
      <formula>0.1</formula>
      <formula>3.9999</formula>
    </cfRule>
  </conditionalFormatting>
  <conditionalFormatting sqref="G60:G62">
    <cfRule type="cellIs" dxfId="4060" priority="211" operator="between">
      <formula>13</formula>
      <formula>15.9999</formula>
    </cfRule>
    <cfRule type="cellIs" dxfId="4059" priority="212" operator="between">
      <formula>10</formula>
      <formula>12.9999</formula>
    </cfRule>
    <cfRule type="cellIs" dxfId="4058" priority="213" operator="between">
      <formula>7</formula>
      <formula>9.9999</formula>
    </cfRule>
    <cfRule type="cellIs" dxfId="4057" priority="214" operator="between">
      <formula>4</formula>
      <formula>6.9999</formula>
    </cfRule>
    <cfRule type="cellIs" dxfId="4056" priority="215" operator="between">
      <formula>0.1</formula>
      <formula>3.9999</formula>
    </cfRule>
  </conditionalFormatting>
  <conditionalFormatting sqref="G64:G65">
    <cfRule type="cellIs" dxfId="4055" priority="206" operator="between">
      <formula>13</formula>
      <formula>15.9999</formula>
    </cfRule>
    <cfRule type="cellIs" dxfId="4054" priority="207" operator="between">
      <formula>10</formula>
      <formula>12.9999</formula>
    </cfRule>
    <cfRule type="cellIs" dxfId="4053" priority="208" operator="between">
      <formula>7</formula>
      <formula>9.9999</formula>
    </cfRule>
    <cfRule type="cellIs" dxfId="4052" priority="209" operator="between">
      <formula>4</formula>
      <formula>6.9999</formula>
    </cfRule>
    <cfRule type="cellIs" dxfId="4051" priority="210" operator="between">
      <formula>0.1</formula>
      <formula>3.9999</formula>
    </cfRule>
  </conditionalFormatting>
  <conditionalFormatting sqref="G67:G72">
    <cfRule type="cellIs" dxfId="4050" priority="201" operator="between">
      <formula>13</formula>
      <formula>15.9999</formula>
    </cfRule>
    <cfRule type="cellIs" dxfId="4049" priority="202" operator="between">
      <formula>10</formula>
      <formula>12.9999</formula>
    </cfRule>
    <cfRule type="cellIs" dxfId="4048" priority="203" operator="between">
      <formula>7</formula>
      <formula>9.9999</formula>
    </cfRule>
    <cfRule type="cellIs" dxfId="4047" priority="204" operator="between">
      <formula>4</formula>
      <formula>6.9999</formula>
    </cfRule>
    <cfRule type="cellIs" dxfId="4046" priority="205" operator="between">
      <formula>0.1</formula>
      <formula>3.9999</formula>
    </cfRule>
  </conditionalFormatting>
  <conditionalFormatting sqref="G74:G79">
    <cfRule type="cellIs" dxfId="4045" priority="196" operator="between">
      <formula>13</formula>
      <formula>15.9999</formula>
    </cfRule>
    <cfRule type="cellIs" dxfId="4044" priority="197" operator="between">
      <formula>10</formula>
      <formula>12.9999</formula>
    </cfRule>
    <cfRule type="cellIs" dxfId="4043" priority="198" operator="between">
      <formula>7</formula>
      <formula>9.9999</formula>
    </cfRule>
    <cfRule type="cellIs" dxfId="4042" priority="199" operator="between">
      <formula>4</formula>
      <formula>6.9999</formula>
    </cfRule>
    <cfRule type="cellIs" dxfId="4041" priority="200" operator="between">
      <formula>0.1</formula>
      <formula>3.9999</formula>
    </cfRule>
  </conditionalFormatting>
  <conditionalFormatting sqref="G81:G86">
    <cfRule type="cellIs" dxfId="4040" priority="191" operator="between">
      <formula>13</formula>
      <formula>15.9999</formula>
    </cfRule>
    <cfRule type="cellIs" dxfId="4039" priority="192" operator="between">
      <formula>10</formula>
      <formula>12.9999</formula>
    </cfRule>
    <cfRule type="cellIs" dxfId="4038" priority="193" operator="between">
      <formula>7</formula>
      <formula>9.9999</formula>
    </cfRule>
    <cfRule type="cellIs" dxfId="4037" priority="194" operator="between">
      <formula>4</formula>
      <formula>6.9999</formula>
    </cfRule>
    <cfRule type="cellIs" dxfId="4036" priority="195" operator="between">
      <formula>0.1</formula>
      <formula>3.9999</formula>
    </cfRule>
  </conditionalFormatting>
  <conditionalFormatting sqref="G88:G93">
    <cfRule type="cellIs" dxfId="4035" priority="186" operator="between">
      <formula>13</formula>
      <formula>15.9999</formula>
    </cfRule>
    <cfRule type="cellIs" dxfId="4034" priority="187" operator="between">
      <formula>10</formula>
      <formula>12.9999</formula>
    </cfRule>
    <cfRule type="cellIs" dxfId="4033" priority="188" operator="between">
      <formula>7</formula>
      <formula>9.9999</formula>
    </cfRule>
    <cfRule type="cellIs" dxfId="4032" priority="189" operator="between">
      <formula>4</formula>
      <formula>6.9999</formula>
    </cfRule>
    <cfRule type="cellIs" dxfId="4031" priority="190" operator="between">
      <formula>0.1</formula>
      <formula>3.9999</formula>
    </cfRule>
  </conditionalFormatting>
  <conditionalFormatting sqref="I6:I12">
    <cfRule type="cellIs" dxfId="4030" priority="181" operator="equal">
      <formula>"Improving"</formula>
    </cfRule>
    <cfRule type="cellIs" dxfId="4029" priority="182" operator="equal">
      <formula>"Optimising"</formula>
    </cfRule>
    <cfRule type="cellIs" dxfId="4028" priority="183" operator="equal">
      <formula>"Proactive"</formula>
    </cfRule>
    <cfRule type="cellIs" dxfId="4027" priority="184" operator="equal">
      <formula>"Reactive"</formula>
    </cfRule>
    <cfRule type="cellIs" dxfId="4026" priority="185" operator="equal">
      <formula>"No Formal Approach"</formula>
    </cfRule>
  </conditionalFormatting>
  <conditionalFormatting sqref="I14:I35">
    <cfRule type="cellIs" dxfId="4025" priority="176" operator="equal">
      <formula>"Improving"</formula>
    </cfRule>
    <cfRule type="cellIs" dxfId="4024" priority="177" operator="equal">
      <formula>"Optimising"</formula>
    </cfRule>
    <cfRule type="cellIs" dxfId="4023" priority="178" operator="equal">
      <formula>"Proactive"</formula>
    </cfRule>
    <cfRule type="cellIs" dxfId="4022" priority="179" operator="equal">
      <formula>"Reactive"</formula>
    </cfRule>
    <cfRule type="cellIs" dxfId="4021" priority="180" operator="equal">
      <formula>"No Formal Approach"</formula>
    </cfRule>
  </conditionalFormatting>
  <conditionalFormatting sqref="I37:I42">
    <cfRule type="cellIs" dxfId="4020" priority="171" operator="equal">
      <formula>"Improving"</formula>
    </cfRule>
    <cfRule type="cellIs" dxfId="4019" priority="172" operator="equal">
      <formula>"Optimising"</formula>
    </cfRule>
    <cfRule type="cellIs" dxfId="4018" priority="173" operator="equal">
      <formula>"Proactive"</formula>
    </cfRule>
    <cfRule type="cellIs" dxfId="4017" priority="174" operator="equal">
      <formula>"Reactive"</formula>
    </cfRule>
    <cfRule type="cellIs" dxfId="4016" priority="175" operator="equal">
      <formula>"No Formal Approach"</formula>
    </cfRule>
  </conditionalFormatting>
  <conditionalFormatting sqref="I44:I51">
    <cfRule type="cellIs" dxfId="4015" priority="166" operator="equal">
      <formula>"Improving"</formula>
    </cfRule>
    <cfRule type="cellIs" dxfId="4014" priority="167" operator="equal">
      <formula>"Optimising"</formula>
    </cfRule>
    <cfRule type="cellIs" dxfId="4013" priority="168" operator="equal">
      <formula>"Proactive"</formula>
    </cfRule>
    <cfRule type="cellIs" dxfId="4012" priority="169" operator="equal">
      <formula>"Reactive"</formula>
    </cfRule>
    <cfRule type="cellIs" dxfId="4011" priority="170" operator="equal">
      <formula>"No Formal Approach"</formula>
    </cfRule>
  </conditionalFormatting>
  <conditionalFormatting sqref="I53:I58">
    <cfRule type="cellIs" dxfId="4010" priority="161" operator="equal">
      <formula>"Improving"</formula>
    </cfRule>
    <cfRule type="cellIs" dxfId="4009" priority="162" operator="equal">
      <formula>"Optimising"</formula>
    </cfRule>
    <cfRule type="cellIs" dxfId="4008" priority="163" operator="equal">
      <formula>"Proactive"</formula>
    </cfRule>
    <cfRule type="cellIs" dxfId="4007" priority="164" operator="equal">
      <formula>"Reactive"</formula>
    </cfRule>
    <cfRule type="cellIs" dxfId="4006" priority="165" operator="equal">
      <formula>"No Formal Approach"</formula>
    </cfRule>
  </conditionalFormatting>
  <conditionalFormatting sqref="I60:I62">
    <cfRule type="cellIs" dxfId="4005" priority="156" operator="equal">
      <formula>"Improving"</formula>
    </cfRule>
    <cfRule type="cellIs" dxfId="4004" priority="157" operator="equal">
      <formula>"Optimising"</formula>
    </cfRule>
    <cfRule type="cellIs" dxfId="4003" priority="158" operator="equal">
      <formula>"Proactive"</formula>
    </cfRule>
    <cfRule type="cellIs" dxfId="4002" priority="159" operator="equal">
      <formula>"Reactive"</formula>
    </cfRule>
    <cfRule type="cellIs" dxfId="4001" priority="160" operator="equal">
      <formula>"No Formal Approach"</formula>
    </cfRule>
  </conditionalFormatting>
  <conditionalFormatting sqref="I64:I65">
    <cfRule type="cellIs" dxfId="4000" priority="151" operator="equal">
      <formula>"Improving"</formula>
    </cfRule>
    <cfRule type="cellIs" dxfId="3999" priority="152" operator="equal">
      <formula>"Optimising"</formula>
    </cfRule>
    <cfRule type="cellIs" dxfId="3998" priority="153" operator="equal">
      <formula>"Proactive"</formula>
    </cfRule>
    <cfRule type="cellIs" dxfId="3997" priority="154" operator="equal">
      <formula>"Reactive"</formula>
    </cfRule>
    <cfRule type="cellIs" dxfId="3996" priority="155" operator="equal">
      <formula>"No Formal Approach"</formula>
    </cfRule>
  </conditionalFormatting>
  <conditionalFormatting sqref="I67:I72">
    <cfRule type="cellIs" dxfId="3995" priority="146" operator="equal">
      <formula>"Improving"</formula>
    </cfRule>
    <cfRule type="cellIs" dxfId="3994" priority="147" operator="equal">
      <formula>"Optimising"</formula>
    </cfRule>
    <cfRule type="cellIs" dxfId="3993" priority="148" operator="equal">
      <formula>"Proactive"</formula>
    </cfRule>
    <cfRule type="cellIs" dxfId="3992" priority="149" operator="equal">
      <formula>"Reactive"</formula>
    </cfRule>
    <cfRule type="cellIs" dxfId="3991" priority="150" operator="equal">
      <formula>"No Formal Approach"</formula>
    </cfRule>
  </conditionalFormatting>
  <conditionalFormatting sqref="I74:I79">
    <cfRule type="cellIs" dxfId="3990" priority="141" operator="equal">
      <formula>"Improving"</formula>
    </cfRule>
    <cfRule type="cellIs" dxfId="3989" priority="142" operator="equal">
      <formula>"Optimising"</formula>
    </cfRule>
    <cfRule type="cellIs" dxfId="3988" priority="143" operator="equal">
      <formula>"Proactive"</formula>
    </cfRule>
    <cfRule type="cellIs" dxfId="3987" priority="144" operator="equal">
      <formula>"Reactive"</formula>
    </cfRule>
    <cfRule type="cellIs" dxfId="3986" priority="145" operator="equal">
      <formula>"No Formal Approach"</formula>
    </cfRule>
  </conditionalFormatting>
  <conditionalFormatting sqref="I81:I86">
    <cfRule type="cellIs" dxfId="3985" priority="136" operator="equal">
      <formula>"Improving"</formula>
    </cfRule>
    <cfRule type="cellIs" dxfId="3984" priority="137" operator="equal">
      <formula>"Optimising"</formula>
    </cfRule>
    <cfRule type="cellIs" dxfId="3983" priority="138" operator="equal">
      <formula>"Proactive"</formula>
    </cfRule>
    <cfRule type="cellIs" dxfId="3982" priority="139" operator="equal">
      <formula>"Reactive"</formula>
    </cfRule>
    <cfRule type="cellIs" dxfId="3981" priority="140" operator="equal">
      <formula>"No Formal Approach"</formula>
    </cfRule>
  </conditionalFormatting>
  <conditionalFormatting sqref="I88:I93">
    <cfRule type="cellIs" dxfId="3980" priority="131" operator="equal">
      <formula>"Improving"</formula>
    </cfRule>
    <cfRule type="cellIs" dxfId="3979" priority="132" operator="equal">
      <formula>"Optimising"</formula>
    </cfRule>
    <cfRule type="cellIs" dxfId="3978" priority="133" operator="equal">
      <formula>"Proactive"</formula>
    </cfRule>
    <cfRule type="cellIs" dxfId="3977" priority="134" operator="equal">
      <formula>"Reactive"</formula>
    </cfRule>
    <cfRule type="cellIs" dxfId="3976" priority="135" operator="equal">
      <formula>"No Formal Approach"</formula>
    </cfRule>
  </conditionalFormatting>
  <conditionalFormatting sqref="G13">
    <cfRule type="cellIs" dxfId="3975" priority="126" operator="between">
      <formula>13</formula>
      <formula>15.9999</formula>
    </cfRule>
    <cfRule type="cellIs" dxfId="3974" priority="127" operator="between">
      <formula>10</formula>
      <formula>12.9999</formula>
    </cfRule>
    <cfRule type="cellIs" dxfId="3973" priority="128" operator="between">
      <formula>7</formula>
      <formula>9.9999</formula>
    </cfRule>
    <cfRule type="cellIs" dxfId="3972" priority="129" operator="between">
      <formula>4</formula>
      <formula>6.9999</formula>
    </cfRule>
    <cfRule type="cellIs" dxfId="3971" priority="130" operator="between">
      <formula>0.1</formula>
      <formula>3.9999</formula>
    </cfRule>
  </conditionalFormatting>
  <conditionalFormatting sqref="I13">
    <cfRule type="cellIs" dxfId="3970" priority="121" operator="equal">
      <formula>"Improving"</formula>
    </cfRule>
    <cfRule type="cellIs" dxfId="3969" priority="122" operator="equal">
      <formula>"Optimising"</formula>
    </cfRule>
    <cfRule type="cellIs" dxfId="3968" priority="123" operator="equal">
      <formula>"Proactive"</formula>
    </cfRule>
    <cfRule type="cellIs" dxfId="3967" priority="124" operator="equal">
      <formula>"Reactive"</formula>
    </cfRule>
    <cfRule type="cellIs" dxfId="3966" priority="125" operator="equal">
      <formula>"No Formal Approach"</formula>
    </cfRule>
  </conditionalFormatting>
  <conditionalFormatting sqref="G36">
    <cfRule type="cellIs" dxfId="3965" priority="116" operator="between">
      <formula>13</formula>
      <formula>15.9999</formula>
    </cfRule>
    <cfRule type="cellIs" dxfId="3964" priority="117" operator="between">
      <formula>10</formula>
      <formula>12.9999</formula>
    </cfRule>
    <cfRule type="cellIs" dxfId="3963" priority="118" operator="between">
      <formula>7</formula>
      <formula>9.9999</formula>
    </cfRule>
    <cfRule type="cellIs" dxfId="3962" priority="119" operator="between">
      <formula>4</formula>
      <formula>6.9999</formula>
    </cfRule>
    <cfRule type="cellIs" dxfId="3961" priority="120" operator="between">
      <formula>0.1</formula>
      <formula>3.9999</formula>
    </cfRule>
  </conditionalFormatting>
  <conditionalFormatting sqref="I36">
    <cfRule type="cellIs" dxfId="3960" priority="111" operator="equal">
      <formula>"Improving"</formula>
    </cfRule>
    <cfRule type="cellIs" dxfId="3959" priority="112" operator="equal">
      <formula>"Optimising"</formula>
    </cfRule>
    <cfRule type="cellIs" dxfId="3958" priority="113" operator="equal">
      <formula>"Proactive"</formula>
    </cfRule>
    <cfRule type="cellIs" dxfId="3957" priority="114" operator="equal">
      <formula>"Reactive"</formula>
    </cfRule>
    <cfRule type="cellIs" dxfId="3956" priority="115" operator="equal">
      <formula>"No Formal Approach"</formula>
    </cfRule>
  </conditionalFormatting>
  <conditionalFormatting sqref="G43">
    <cfRule type="cellIs" dxfId="3955" priority="106" operator="between">
      <formula>13</formula>
      <formula>15.9999</formula>
    </cfRule>
    <cfRule type="cellIs" dxfId="3954" priority="107" operator="between">
      <formula>10</formula>
      <formula>12.9999</formula>
    </cfRule>
    <cfRule type="cellIs" dxfId="3953" priority="108" operator="between">
      <formula>7</formula>
      <formula>9.9999</formula>
    </cfRule>
    <cfRule type="cellIs" dxfId="3952" priority="109" operator="between">
      <formula>4</formula>
      <formula>6.9999</formula>
    </cfRule>
    <cfRule type="cellIs" dxfId="3951" priority="110" operator="between">
      <formula>0.1</formula>
      <formula>3.9999</formula>
    </cfRule>
  </conditionalFormatting>
  <conditionalFormatting sqref="I43">
    <cfRule type="cellIs" dxfId="3950" priority="101" operator="equal">
      <formula>"Improving"</formula>
    </cfRule>
    <cfRule type="cellIs" dxfId="3949" priority="102" operator="equal">
      <formula>"Optimising"</formula>
    </cfRule>
    <cfRule type="cellIs" dxfId="3948" priority="103" operator="equal">
      <formula>"Proactive"</formula>
    </cfRule>
    <cfRule type="cellIs" dxfId="3947" priority="104" operator="equal">
      <formula>"Reactive"</formula>
    </cfRule>
    <cfRule type="cellIs" dxfId="3946" priority="105" operator="equal">
      <formula>"No Formal Approach"</formula>
    </cfRule>
  </conditionalFormatting>
  <conditionalFormatting sqref="G52">
    <cfRule type="cellIs" dxfId="3945" priority="96" operator="between">
      <formula>13</formula>
      <formula>15.9999</formula>
    </cfRule>
    <cfRule type="cellIs" dxfId="3944" priority="97" operator="between">
      <formula>10</formula>
      <formula>12.9999</formula>
    </cfRule>
    <cfRule type="cellIs" dxfId="3943" priority="98" operator="between">
      <formula>7</formula>
      <formula>9.9999</formula>
    </cfRule>
    <cfRule type="cellIs" dxfId="3942" priority="99" operator="between">
      <formula>4</formula>
      <formula>6.9999</formula>
    </cfRule>
    <cfRule type="cellIs" dxfId="3941" priority="100" operator="between">
      <formula>0.1</formula>
      <formula>3.9999</formula>
    </cfRule>
  </conditionalFormatting>
  <conditionalFormatting sqref="I52">
    <cfRule type="cellIs" dxfId="3940" priority="91" operator="equal">
      <formula>"Improving"</formula>
    </cfRule>
    <cfRule type="cellIs" dxfId="3939" priority="92" operator="equal">
      <formula>"Optimising"</formula>
    </cfRule>
    <cfRule type="cellIs" dxfId="3938" priority="93" operator="equal">
      <formula>"Proactive"</formula>
    </cfRule>
    <cfRule type="cellIs" dxfId="3937" priority="94" operator="equal">
      <formula>"Reactive"</formula>
    </cfRule>
    <cfRule type="cellIs" dxfId="3936" priority="95" operator="equal">
      <formula>"No Formal Approach"</formula>
    </cfRule>
  </conditionalFormatting>
  <conditionalFormatting sqref="G59">
    <cfRule type="cellIs" dxfId="3935" priority="86" operator="between">
      <formula>13</formula>
      <formula>15.9999</formula>
    </cfRule>
    <cfRule type="cellIs" dxfId="3934" priority="87" operator="between">
      <formula>10</formula>
      <formula>12.9999</formula>
    </cfRule>
    <cfRule type="cellIs" dxfId="3933" priority="88" operator="between">
      <formula>7</formula>
      <formula>9.9999</formula>
    </cfRule>
    <cfRule type="cellIs" dxfId="3932" priority="89" operator="between">
      <formula>4</formula>
      <formula>6.9999</formula>
    </cfRule>
    <cfRule type="cellIs" dxfId="3931" priority="90" operator="between">
      <formula>0.1</formula>
      <formula>3.9999</formula>
    </cfRule>
  </conditionalFormatting>
  <conditionalFormatting sqref="I59">
    <cfRule type="cellIs" dxfId="3930" priority="81" operator="equal">
      <formula>"Improving"</formula>
    </cfRule>
    <cfRule type="cellIs" dxfId="3929" priority="82" operator="equal">
      <formula>"Optimising"</formula>
    </cfRule>
    <cfRule type="cellIs" dxfId="3928" priority="83" operator="equal">
      <formula>"Proactive"</formula>
    </cfRule>
    <cfRule type="cellIs" dxfId="3927" priority="84" operator="equal">
      <formula>"Reactive"</formula>
    </cfRule>
    <cfRule type="cellIs" dxfId="3926" priority="85" operator="equal">
      <formula>"No Formal Approach"</formula>
    </cfRule>
  </conditionalFormatting>
  <conditionalFormatting sqref="G63">
    <cfRule type="cellIs" dxfId="3925" priority="76" operator="between">
      <formula>13</formula>
      <formula>15.9999</formula>
    </cfRule>
    <cfRule type="cellIs" dxfId="3924" priority="77" operator="between">
      <formula>10</formula>
      <formula>12.9999</formula>
    </cfRule>
    <cfRule type="cellIs" dxfId="3923" priority="78" operator="between">
      <formula>7</formula>
      <formula>9.9999</formula>
    </cfRule>
    <cfRule type="cellIs" dxfId="3922" priority="79" operator="between">
      <formula>4</formula>
      <formula>6.9999</formula>
    </cfRule>
    <cfRule type="cellIs" dxfId="3921" priority="80" operator="between">
      <formula>0.1</formula>
      <formula>3.9999</formula>
    </cfRule>
  </conditionalFormatting>
  <conditionalFormatting sqref="I63">
    <cfRule type="cellIs" dxfId="3920" priority="71" operator="equal">
      <formula>"Improving"</formula>
    </cfRule>
    <cfRule type="cellIs" dxfId="3919" priority="72" operator="equal">
      <formula>"Optimising"</formula>
    </cfRule>
    <cfRule type="cellIs" dxfId="3918" priority="73" operator="equal">
      <formula>"Proactive"</formula>
    </cfRule>
    <cfRule type="cellIs" dxfId="3917" priority="74" operator="equal">
      <formula>"Reactive"</formula>
    </cfRule>
    <cfRule type="cellIs" dxfId="3916" priority="75" operator="equal">
      <formula>"No Formal Approach"</formula>
    </cfRule>
  </conditionalFormatting>
  <conditionalFormatting sqref="G66">
    <cfRule type="cellIs" dxfId="3915" priority="66" operator="between">
      <formula>13</formula>
      <formula>15.9999</formula>
    </cfRule>
    <cfRule type="cellIs" dxfId="3914" priority="67" operator="between">
      <formula>10</formula>
      <formula>12.9999</formula>
    </cfRule>
    <cfRule type="cellIs" dxfId="3913" priority="68" operator="between">
      <formula>7</formula>
      <formula>9.9999</formula>
    </cfRule>
    <cfRule type="cellIs" dxfId="3912" priority="69" operator="between">
      <formula>4</formula>
      <formula>6.9999</formula>
    </cfRule>
    <cfRule type="cellIs" dxfId="3911" priority="70" operator="between">
      <formula>0.1</formula>
      <formula>3.9999</formula>
    </cfRule>
  </conditionalFormatting>
  <conditionalFormatting sqref="I66">
    <cfRule type="cellIs" dxfId="3910" priority="61" operator="equal">
      <formula>"Improving"</formula>
    </cfRule>
    <cfRule type="cellIs" dxfId="3909" priority="62" operator="equal">
      <formula>"Optimising"</formula>
    </cfRule>
    <cfRule type="cellIs" dxfId="3908" priority="63" operator="equal">
      <formula>"Proactive"</formula>
    </cfRule>
    <cfRule type="cellIs" dxfId="3907" priority="64" operator="equal">
      <formula>"Reactive"</formula>
    </cfRule>
    <cfRule type="cellIs" dxfId="3906" priority="65" operator="equal">
      <formula>"No Formal Approach"</formula>
    </cfRule>
  </conditionalFormatting>
  <conditionalFormatting sqref="G73">
    <cfRule type="cellIs" dxfId="3905" priority="56" operator="between">
      <formula>13</formula>
      <formula>15.9999</formula>
    </cfRule>
    <cfRule type="cellIs" dxfId="3904" priority="57" operator="between">
      <formula>10</formula>
      <formula>12.9999</formula>
    </cfRule>
    <cfRule type="cellIs" dxfId="3903" priority="58" operator="between">
      <formula>7</formula>
      <formula>9.9999</formula>
    </cfRule>
    <cfRule type="cellIs" dxfId="3902" priority="59" operator="between">
      <formula>4</formula>
      <formula>6.9999</formula>
    </cfRule>
    <cfRule type="cellIs" dxfId="3901" priority="60" operator="between">
      <formula>0.1</formula>
      <formula>3.9999</formula>
    </cfRule>
  </conditionalFormatting>
  <conditionalFormatting sqref="I73">
    <cfRule type="cellIs" dxfId="3900" priority="51" operator="equal">
      <formula>"Improving"</formula>
    </cfRule>
    <cfRule type="cellIs" dxfId="3899" priority="52" operator="equal">
      <formula>"Optimising"</formula>
    </cfRule>
    <cfRule type="cellIs" dxfId="3898" priority="53" operator="equal">
      <formula>"Proactive"</formula>
    </cfRule>
    <cfRule type="cellIs" dxfId="3897" priority="54" operator="equal">
      <formula>"Reactive"</formula>
    </cfRule>
    <cfRule type="cellIs" dxfId="3896" priority="55" operator="equal">
      <formula>"No Formal Approach"</formula>
    </cfRule>
  </conditionalFormatting>
  <conditionalFormatting sqref="G80">
    <cfRule type="cellIs" dxfId="3895" priority="46" operator="between">
      <formula>13</formula>
      <formula>15.9999</formula>
    </cfRule>
    <cfRule type="cellIs" dxfId="3894" priority="47" operator="between">
      <formula>10</formula>
      <formula>12.9999</formula>
    </cfRule>
    <cfRule type="cellIs" dxfId="3893" priority="48" operator="between">
      <formula>7</formula>
      <formula>9.9999</formula>
    </cfRule>
    <cfRule type="cellIs" dxfId="3892" priority="49" operator="between">
      <formula>4</formula>
      <formula>6.9999</formula>
    </cfRule>
    <cfRule type="cellIs" dxfId="3891" priority="50" operator="between">
      <formula>0.1</formula>
      <formula>3.9999</formula>
    </cfRule>
  </conditionalFormatting>
  <conditionalFormatting sqref="I80">
    <cfRule type="cellIs" dxfId="3890" priority="41" operator="equal">
      <formula>"Improving"</formula>
    </cfRule>
    <cfRule type="cellIs" dxfId="3889" priority="42" operator="equal">
      <formula>"Optimising"</formula>
    </cfRule>
    <cfRule type="cellIs" dxfId="3888" priority="43" operator="equal">
      <formula>"Proactive"</formula>
    </cfRule>
    <cfRule type="cellIs" dxfId="3887" priority="44" operator="equal">
      <formula>"Reactive"</formula>
    </cfRule>
    <cfRule type="cellIs" dxfId="3886" priority="45" operator="equal">
      <formula>"No Formal Approach"</formula>
    </cfRule>
  </conditionalFormatting>
  <conditionalFormatting sqref="G87">
    <cfRule type="cellIs" dxfId="3885" priority="36" operator="between">
      <formula>13</formula>
      <formula>15.9999</formula>
    </cfRule>
    <cfRule type="cellIs" dxfId="3884" priority="37" operator="between">
      <formula>10</formula>
      <formula>12.9999</formula>
    </cfRule>
    <cfRule type="cellIs" dxfId="3883" priority="38" operator="between">
      <formula>7</formula>
      <formula>9.9999</formula>
    </cfRule>
    <cfRule type="cellIs" dxfId="3882" priority="39" operator="between">
      <formula>4</formula>
      <formula>6.9999</formula>
    </cfRule>
    <cfRule type="cellIs" dxfId="3881" priority="40" operator="between">
      <formula>0.1</formula>
      <formula>3.9999</formula>
    </cfRule>
  </conditionalFormatting>
  <conditionalFormatting sqref="I87">
    <cfRule type="cellIs" dxfId="3880" priority="31" operator="equal">
      <formula>"Improving"</formula>
    </cfRule>
    <cfRule type="cellIs" dxfId="3879" priority="32" operator="equal">
      <formula>"Optimising"</formula>
    </cfRule>
    <cfRule type="cellIs" dxfId="3878" priority="33" operator="equal">
      <formula>"Proactive"</formula>
    </cfRule>
    <cfRule type="cellIs" dxfId="3877" priority="34" operator="equal">
      <formula>"Reactive"</formula>
    </cfRule>
    <cfRule type="cellIs" dxfId="3876" priority="35" operator="equal">
      <formula>"No Formal Approach"</formula>
    </cfRule>
  </conditionalFormatting>
  <conditionalFormatting sqref="G94">
    <cfRule type="cellIs" dxfId="3875" priority="16" operator="between">
      <formula>13</formula>
      <formula>15.9999</formula>
    </cfRule>
    <cfRule type="cellIs" dxfId="3874" priority="17" operator="between">
      <formula>10</formula>
      <formula>12.9999</formula>
    </cfRule>
    <cfRule type="cellIs" dxfId="3873" priority="18" operator="between">
      <formula>7</formula>
      <formula>9.9999</formula>
    </cfRule>
    <cfRule type="cellIs" dxfId="3872" priority="19" operator="between">
      <formula>4</formula>
      <formula>6.9999</formula>
    </cfRule>
    <cfRule type="cellIs" dxfId="3871" priority="20" operator="between">
      <formula>0.1</formula>
      <formula>3.9999</formula>
    </cfRule>
  </conditionalFormatting>
  <conditionalFormatting sqref="I94">
    <cfRule type="cellIs" dxfId="3870" priority="11" operator="equal">
      <formula>"Improving"</formula>
    </cfRule>
    <cfRule type="cellIs" dxfId="3869" priority="12" operator="equal">
      <formula>"Optimising"</formula>
    </cfRule>
    <cfRule type="cellIs" dxfId="3868" priority="13" operator="equal">
      <formula>"Proactive"</formula>
    </cfRule>
    <cfRule type="cellIs" dxfId="3867" priority="14" operator="equal">
      <formula>"Reactive"</formula>
    </cfRule>
    <cfRule type="cellIs" dxfId="3866" priority="15" operator="equal">
      <formula>"No Formal Approach"</formula>
    </cfRule>
  </conditionalFormatting>
  <conditionalFormatting sqref="G95:G100">
    <cfRule type="cellIs" dxfId="3865" priority="6" operator="between">
      <formula>13</formula>
      <formula>15.9999</formula>
    </cfRule>
    <cfRule type="cellIs" dxfId="3864" priority="7" operator="between">
      <formula>10</formula>
      <formula>12.9999</formula>
    </cfRule>
    <cfRule type="cellIs" dxfId="3863" priority="8" operator="between">
      <formula>7</formula>
      <formula>9.9999</formula>
    </cfRule>
    <cfRule type="cellIs" dxfId="3862" priority="9" operator="between">
      <formula>4</formula>
      <formula>6.9999</formula>
    </cfRule>
    <cfRule type="cellIs" dxfId="3861" priority="10" operator="between">
      <formula>0.1</formula>
      <formula>3.9999</formula>
    </cfRule>
  </conditionalFormatting>
  <conditionalFormatting sqref="I95:I100">
    <cfRule type="cellIs" dxfId="3860" priority="1" operator="equal">
      <formula>"Improving"</formula>
    </cfRule>
    <cfRule type="cellIs" dxfId="3859" priority="2" operator="equal">
      <formula>"Optimising"</formula>
    </cfRule>
    <cfRule type="cellIs" dxfId="3858" priority="3" operator="equal">
      <formula>"Proactive"</formula>
    </cfRule>
    <cfRule type="cellIs" dxfId="3857" priority="4" operator="equal">
      <formula>"Reactive"</formula>
    </cfRule>
    <cfRule type="cellIs" dxfId="385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1'!I15</f>
        <v>Subject 2</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3855" priority="236" operator="between">
      <formula>13</formula>
      <formula>15.9999</formula>
    </cfRule>
    <cfRule type="cellIs" dxfId="3854" priority="237" operator="between">
      <formula>10</formula>
      <formula>12.9999</formula>
    </cfRule>
    <cfRule type="cellIs" dxfId="3853" priority="238" operator="between">
      <formula>7</formula>
      <formula>9.9999</formula>
    </cfRule>
    <cfRule type="cellIs" dxfId="3852" priority="239" operator="between">
      <formula>4</formula>
      <formula>6.9999</formula>
    </cfRule>
    <cfRule type="cellIs" dxfId="3851" priority="240" operator="between">
      <formula>0.1</formula>
      <formula>3.9999</formula>
    </cfRule>
  </conditionalFormatting>
  <conditionalFormatting sqref="I5">
    <cfRule type="cellIs" dxfId="3850" priority="231" operator="equal">
      <formula>"Improving"</formula>
    </cfRule>
    <cfRule type="cellIs" dxfId="3849" priority="232" operator="equal">
      <formula>"Optimising"</formula>
    </cfRule>
    <cfRule type="cellIs" dxfId="3848" priority="233" operator="equal">
      <formula>"Proactive"</formula>
    </cfRule>
    <cfRule type="cellIs" dxfId="3847" priority="234" operator="equal">
      <formula>"Reactive"</formula>
    </cfRule>
    <cfRule type="cellIs" dxfId="3846" priority="235" operator="equal">
      <formula>"No Formal Approach"</formula>
    </cfRule>
  </conditionalFormatting>
  <conditionalFormatting sqref="G6:G12">
    <cfRule type="cellIs" dxfId="3845" priority="226" operator="between">
      <formula>13</formula>
      <formula>15.9999</formula>
    </cfRule>
    <cfRule type="cellIs" dxfId="3844" priority="227" operator="between">
      <formula>10</formula>
      <formula>12.9999</formula>
    </cfRule>
    <cfRule type="cellIs" dxfId="3843" priority="228" operator="between">
      <formula>7</formula>
      <formula>9.9999</formula>
    </cfRule>
    <cfRule type="cellIs" dxfId="3842" priority="229" operator="between">
      <formula>4</formula>
      <formula>6.9999</formula>
    </cfRule>
    <cfRule type="cellIs" dxfId="3841" priority="230" operator="between">
      <formula>0.1</formula>
      <formula>3.9999</formula>
    </cfRule>
  </conditionalFormatting>
  <conditionalFormatting sqref="G14:G35">
    <cfRule type="cellIs" dxfId="3840" priority="221" operator="between">
      <formula>13</formula>
      <formula>15.9999</formula>
    </cfRule>
    <cfRule type="cellIs" dxfId="3839" priority="222" operator="between">
      <formula>10</formula>
      <formula>12.9999</formula>
    </cfRule>
    <cfRule type="cellIs" dxfId="3838" priority="223" operator="between">
      <formula>7</formula>
      <formula>9.9999</formula>
    </cfRule>
    <cfRule type="cellIs" dxfId="3837" priority="224" operator="between">
      <formula>4</formula>
      <formula>6.9999</formula>
    </cfRule>
    <cfRule type="cellIs" dxfId="3836" priority="225" operator="between">
      <formula>0.1</formula>
      <formula>3.9999</formula>
    </cfRule>
  </conditionalFormatting>
  <conditionalFormatting sqref="G37:G42">
    <cfRule type="cellIs" dxfId="3835" priority="216" operator="between">
      <formula>13</formula>
      <formula>15.9999</formula>
    </cfRule>
    <cfRule type="cellIs" dxfId="3834" priority="217" operator="between">
      <formula>10</formula>
      <formula>12.9999</formula>
    </cfRule>
    <cfRule type="cellIs" dxfId="3833" priority="218" operator="between">
      <formula>7</formula>
      <formula>9.9999</formula>
    </cfRule>
    <cfRule type="cellIs" dxfId="3832" priority="219" operator="between">
      <formula>4</formula>
      <formula>6.9999</formula>
    </cfRule>
    <cfRule type="cellIs" dxfId="3831" priority="220" operator="between">
      <formula>0.1</formula>
      <formula>3.9999</formula>
    </cfRule>
  </conditionalFormatting>
  <conditionalFormatting sqref="G44:G51">
    <cfRule type="cellIs" dxfId="3830" priority="211" operator="between">
      <formula>13</formula>
      <formula>15.9999</formula>
    </cfRule>
    <cfRule type="cellIs" dxfId="3829" priority="212" operator="between">
      <formula>10</formula>
      <formula>12.9999</formula>
    </cfRule>
    <cfRule type="cellIs" dxfId="3828" priority="213" operator="between">
      <formula>7</formula>
      <formula>9.9999</formula>
    </cfRule>
    <cfRule type="cellIs" dxfId="3827" priority="214" operator="between">
      <formula>4</formula>
      <formula>6.9999</formula>
    </cfRule>
    <cfRule type="cellIs" dxfId="3826" priority="215" operator="between">
      <formula>0.1</formula>
      <formula>3.9999</formula>
    </cfRule>
  </conditionalFormatting>
  <conditionalFormatting sqref="G53:G58">
    <cfRule type="cellIs" dxfId="3825" priority="206" operator="between">
      <formula>13</formula>
      <formula>15.9999</formula>
    </cfRule>
    <cfRule type="cellIs" dxfId="3824" priority="207" operator="between">
      <formula>10</formula>
      <formula>12.9999</formula>
    </cfRule>
    <cfRule type="cellIs" dxfId="3823" priority="208" operator="between">
      <formula>7</formula>
      <formula>9.9999</formula>
    </cfRule>
    <cfRule type="cellIs" dxfId="3822" priority="209" operator="between">
      <formula>4</formula>
      <formula>6.9999</formula>
    </cfRule>
    <cfRule type="cellIs" dxfId="3821" priority="210" operator="between">
      <formula>0.1</formula>
      <formula>3.9999</formula>
    </cfRule>
  </conditionalFormatting>
  <conditionalFormatting sqref="G60:G62">
    <cfRule type="cellIs" dxfId="3820" priority="201" operator="between">
      <formula>13</formula>
      <formula>15.9999</formula>
    </cfRule>
    <cfRule type="cellIs" dxfId="3819" priority="202" operator="between">
      <formula>10</formula>
      <formula>12.9999</formula>
    </cfRule>
    <cfRule type="cellIs" dxfId="3818" priority="203" operator="between">
      <formula>7</formula>
      <formula>9.9999</formula>
    </cfRule>
    <cfRule type="cellIs" dxfId="3817" priority="204" operator="between">
      <formula>4</formula>
      <formula>6.9999</formula>
    </cfRule>
    <cfRule type="cellIs" dxfId="3816" priority="205" operator="between">
      <formula>0.1</formula>
      <formula>3.9999</formula>
    </cfRule>
  </conditionalFormatting>
  <conditionalFormatting sqref="G64:G65">
    <cfRule type="cellIs" dxfId="3815" priority="196" operator="between">
      <formula>13</formula>
      <formula>15.9999</formula>
    </cfRule>
    <cfRule type="cellIs" dxfId="3814" priority="197" operator="between">
      <formula>10</formula>
      <formula>12.9999</formula>
    </cfRule>
    <cfRule type="cellIs" dxfId="3813" priority="198" operator="between">
      <formula>7</formula>
      <formula>9.9999</formula>
    </cfRule>
    <cfRule type="cellIs" dxfId="3812" priority="199" operator="between">
      <formula>4</formula>
      <formula>6.9999</formula>
    </cfRule>
    <cfRule type="cellIs" dxfId="3811" priority="200" operator="between">
      <formula>0.1</formula>
      <formula>3.9999</formula>
    </cfRule>
  </conditionalFormatting>
  <conditionalFormatting sqref="G67:G72">
    <cfRule type="cellIs" dxfId="3810" priority="191" operator="between">
      <formula>13</formula>
      <formula>15.9999</formula>
    </cfRule>
    <cfRule type="cellIs" dxfId="3809" priority="192" operator="between">
      <formula>10</formula>
      <formula>12.9999</formula>
    </cfRule>
    <cfRule type="cellIs" dxfId="3808" priority="193" operator="between">
      <formula>7</formula>
      <formula>9.9999</formula>
    </cfRule>
    <cfRule type="cellIs" dxfId="3807" priority="194" operator="between">
      <formula>4</formula>
      <formula>6.9999</formula>
    </cfRule>
    <cfRule type="cellIs" dxfId="3806" priority="195" operator="between">
      <formula>0.1</formula>
      <formula>3.9999</formula>
    </cfRule>
  </conditionalFormatting>
  <conditionalFormatting sqref="G74:G79">
    <cfRule type="cellIs" dxfId="3805" priority="186" operator="between">
      <formula>13</formula>
      <formula>15.9999</formula>
    </cfRule>
    <cfRule type="cellIs" dxfId="3804" priority="187" operator="between">
      <formula>10</formula>
      <formula>12.9999</formula>
    </cfRule>
    <cfRule type="cellIs" dxfId="3803" priority="188" operator="between">
      <formula>7</formula>
      <formula>9.9999</formula>
    </cfRule>
    <cfRule type="cellIs" dxfId="3802" priority="189" operator="between">
      <formula>4</formula>
      <formula>6.9999</formula>
    </cfRule>
    <cfRule type="cellIs" dxfId="3801" priority="190" operator="between">
      <formula>0.1</formula>
      <formula>3.9999</formula>
    </cfRule>
  </conditionalFormatting>
  <conditionalFormatting sqref="G81:G86">
    <cfRule type="cellIs" dxfId="3800" priority="181" operator="between">
      <formula>13</formula>
      <formula>15.9999</formula>
    </cfRule>
    <cfRule type="cellIs" dxfId="3799" priority="182" operator="between">
      <formula>10</formula>
      <formula>12.9999</formula>
    </cfRule>
    <cfRule type="cellIs" dxfId="3798" priority="183" operator="between">
      <formula>7</formula>
      <formula>9.9999</formula>
    </cfRule>
    <cfRule type="cellIs" dxfId="3797" priority="184" operator="between">
      <formula>4</formula>
      <formula>6.9999</formula>
    </cfRule>
    <cfRule type="cellIs" dxfId="3796" priority="185" operator="between">
      <formula>0.1</formula>
      <formula>3.9999</formula>
    </cfRule>
  </conditionalFormatting>
  <conditionalFormatting sqref="G88:G93">
    <cfRule type="cellIs" dxfId="3795" priority="176" operator="between">
      <formula>13</formula>
      <formula>15.9999</formula>
    </cfRule>
    <cfRule type="cellIs" dxfId="3794" priority="177" operator="between">
      <formula>10</formula>
      <formula>12.9999</formula>
    </cfRule>
    <cfRule type="cellIs" dxfId="3793" priority="178" operator="between">
      <formula>7</formula>
      <formula>9.9999</formula>
    </cfRule>
    <cfRule type="cellIs" dxfId="3792" priority="179" operator="between">
      <formula>4</formula>
      <formula>6.9999</formula>
    </cfRule>
    <cfRule type="cellIs" dxfId="3791" priority="180" operator="between">
      <formula>0.1</formula>
      <formula>3.9999</formula>
    </cfRule>
  </conditionalFormatting>
  <conditionalFormatting sqref="I6:I12">
    <cfRule type="cellIs" dxfId="3790" priority="171" operator="equal">
      <formula>"Improving"</formula>
    </cfRule>
    <cfRule type="cellIs" dxfId="3789" priority="172" operator="equal">
      <formula>"Optimising"</formula>
    </cfRule>
    <cfRule type="cellIs" dxfId="3788" priority="173" operator="equal">
      <formula>"Proactive"</formula>
    </cfRule>
    <cfRule type="cellIs" dxfId="3787" priority="174" operator="equal">
      <formula>"Reactive"</formula>
    </cfRule>
    <cfRule type="cellIs" dxfId="3786" priority="175" operator="equal">
      <formula>"No Formal Approach"</formula>
    </cfRule>
  </conditionalFormatting>
  <conditionalFormatting sqref="I14:I35">
    <cfRule type="cellIs" dxfId="3785" priority="166" operator="equal">
      <formula>"Improving"</formula>
    </cfRule>
    <cfRule type="cellIs" dxfId="3784" priority="167" operator="equal">
      <formula>"Optimising"</formula>
    </cfRule>
    <cfRule type="cellIs" dxfId="3783" priority="168" operator="equal">
      <formula>"Proactive"</formula>
    </cfRule>
    <cfRule type="cellIs" dxfId="3782" priority="169" operator="equal">
      <formula>"Reactive"</formula>
    </cfRule>
    <cfRule type="cellIs" dxfId="3781" priority="170" operator="equal">
      <formula>"No Formal Approach"</formula>
    </cfRule>
  </conditionalFormatting>
  <conditionalFormatting sqref="I37:I42">
    <cfRule type="cellIs" dxfId="3780" priority="161" operator="equal">
      <formula>"Improving"</formula>
    </cfRule>
    <cfRule type="cellIs" dxfId="3779" priority="162" operator="equal">
      <formula>"Optimising"</formula>
    </cfRule>
    <cfRule type="cellIs" dxfId="3778" priority="163" operator="equal">
      <formula>"Proactive"</formula>
    </cfRule>
    <cfRule type="cellIs" dxfId="3777" priority="164" operator="equal">
      <formula>"Reactive"</formula>
    </cfRule>
    <cfRule type="cellIs" dxfId="3776" priority="165" operator="equal">
      <formula>"No Formal Approach"</formula>
    </cfRule>
  </conditionalFormatting>
  <conditionalFormatting sqref="I44:I51">
    <cfRule type="cellIs" dxfId="3775" priority="156" operator="equal">
      <formula>"Improving"</formula>
    </cfRule>
    <cfRule type="cellIs" dxfId="3774" priority="157" operator="equal">
      <formula>"Optimising"</formula>
    </cfRule>
    <cfRule type="cellIs" dxfId="3773" priority="158" operator="equal">
      <formula>"Proactive"</formula>
    </cfRule>
    <cfRule type="cellIs" dxfId="3772" priority="159" operator="equal">
      <formula>"Reactive"</formula>
    </cfRule>
    <cfRule type="cellIs" dxfId="3771" priority="160" operator="equal">
      <formula>"No Formal Approach"</formula>
    </cfRule>
  </conditionalFormatting>
  <conditionalFormatting sqref="I53:I58">
    <cfRule type="cellIs" dxfId="3770" priority="151" operator="equal">
      <formula>"Improving"</formula>
    </cfRule>
    <cfRule type="cellIs" dxfId="3769" priority="152" operator="equal">
      <formula>"Optimising"</formula>
    </cfRule>
    <cfRule type="cellIs" dxfId="3768" priority="153" operator="equal">
      <formula>"Proactive"</formula>
    </cfRule>
    <cfRule type="cellIs" dxfId="3767" priority="154" operator="equal">
      <formula>"Reactive"</formula>
    </cfRule>
    <cfRule type="cellIs" dxfId="3766" priority="155" operator="equal">
      <formula>"No Formal Approach"</formula>
    </cfRule>
  </conditionalFormatting>
  <conditionalFormatting sqref="I60:I62">
    <cfRule type="cellIs" dxfId="3765" priority="146" operator="equal">
      <formula>"Improving"</formula>
    </cfRule>
    <cfRule type="cellIs" dxfId="3764" priority="147" operator="equal">
      <formula>"Optimising"</formula>
    </cfRule>
    <cfRule type="cellIs" dxfId="3763" priority="148" operator="equal">
      <formula>"Proactive"</formula>
    </cfRule>
    <cfRule type="cellIs" dxfId="3762" priority="149" operator="equal">
      <formula>"Reactive"</formula>
    </cfRule>
    <cfRule type="cellIs" dxfId="3761" priority="150" operator="equal">
      <formula>"No Formal Approach"</formula>
    </cfRule>
  </conditionalFormatting>
  <conditionalFormatting sqref="I64:I65">
    <cfRule type="cellIs" dxfId="3760" priority="141" operator="equal">
      <formula>"Improving"</formula>
    </cfRule>
    <cfRule type="cellIs" dxfId="3759" priority="142" operator="equal">
      <formula>"Optimising"</formula>
    </cfRule>
    <cfRule type="cellIs" dxfId="3758" priority="143" operator="equal">
      <formula>"Proactive"</formula>
    </cfRule>
    <cfRule type="cellIs" dxfId="3757" priority="144" operator="equal">
      <formula>"Reactive"</formula>
    </cfRule>
    <cfRule type="cellIs" dxfId="3756" priority="145" operator="equal">
      <formula>"No Formal Approach"</formula>
    </cfRule>
  </conditionalFormatting>
  <conditionalFormatting sqref="I67:I72">
    <cfRule type="cellIs" dxfId="3755" priority="136" operator="equal">
      <formula>"Improving"</formula>
    </cfRule>
    <cfRule type="cellIs" dxfId="3754" priority="137" operator="equal">
      <formula>"Optimising"</formula>
    </cfRule>
    <cfRule type="cellIs" dxfId="3753" priority="138" operator="equal">
      <formula>"Proactive"</formula>
    </cfRule>
    <cfRule type="cellIs" dxfId="3752" priority="139" operator="equal">
      <formula>"Reactive"</formula>
    </cfRule>
    <cfRule type="cellIs" dxfId="3751" priority="140" operator="equal">
      <formula>"No Formal Approach"</formula>
    </cfRule>
  </conditionalFormatting>
  <conditionalFormatting sqref="I74:I79">
    <cfRule type="cellIs" dxfId="3750" priority="131" operator="equal">
      <formula>"Improving"</formula>
    </cfRule>
    <cfRule type="cellIs" dxfId="3749" priority="132" operator="equal">
      <formula>"Optimising"</formula>
    </cfRule>
    <cfRule type="cellIs" dxfId="3748" priority="133" operator="equal">
      <formula>"Proactive"</formula>
    </cfRule>
    <cfRule type="cellIs" dxfId="3747" priority="134" operator="equal">
      <formula>"Reactive"</formula>
    </cfRule>
    <cfRule type="cellIs" dxfId="3746" priority="135" operator="equal">
      <formula>"No Formal Approach"</formula>
    </cfRule>
  </conditionalFormatting>
  <conditionalFormatting sqref="I81:I86">
    <cfRule type="cellIs" dxfId="3745" priority="126" operator="equal">
      <formula>"Improving"</formula>
    </cfRule>
    <cfRule type="cellIs" dxfId="3744" priority="127" operator="equal">
      <formula>"Optimising"</formula>
    </cfRule>
    <cfRule type="cellIs" dxfId="3743" priority="128" operator="equal">
      <formula>"Proactive"</formula>
    </cfRule>
    <cfRule type="cellIs" dxfId="3742" priority="129" operator="equal">
      <formula>"Reactive"</formula>
    </cfRule>
    <cfRule type="cellIs" dxfId="3741" priority="130" operator="equal">
      <formula>"No Formal Approach"</formula>
    </cfRule>
  </conditionalFormatting>
  <conditionalFormatting sqref="I88:I93">
    <cfRule type="cellIs" dxfId="3740" priority="121" operator="equal">
      <formula>"Improving"</formula>
    </cfRule>
    <cfRule type="cellIs" dxfId="3739" priority="122" operator="equal">
      <formula>"Optimising"</formula>
    </cfRule>
    <cfRule type="cellIs" dxfId="3738" priority="123" operator="equal">
      <formula>"Proactive"</formula>
    </cfRule>
    <cfRule type="cellIs" dxfId="3737" priority="124" operator="equal">
      <formula>"Reactive"</formula>
    </cfRule>
    <cfRule type="cellIs" dxfId="3736" priority="125" operator="equal">
      <formula>"No Formal Approach"</formula>
    </cfRule>
  </conditionalFormatting>
  <conditionalFormatting sqref="G13">
    <cfRule type="cellIs" dxfId="3735" priority="116" operator="between">
      <formula>13</formula>
      <formula>15.9999</formula>
    </cfRule>
    <cfRule type="cellIs" dxfId="3734" priority="117" operator="between">
      <formula>10</formula>
      <formula>12.9999</formula>
    </cfRule>
    <cfRule type="cellIs" dxfId="3733" priority="118" operator="between">
      <formula>7</formula>
      <formula>9.9999</formula>
    </cfRule>
    <cfRule type="cellIs" dxfId="3732" priority="119" operator="between">
      <formula>4</formula>
      <formula>6.9999</formula>
    </cfRule>
    <cfRule type="cellIs" dxfId="3731" priority="120" operator="between">
      <formula>0.1</formula>
      <formula>3.9999</formula>
    </cfRule>
  </conditionalFormatting>
  <conditionalFormatting sqref="I13">
    <cfRule type="cellIs" dxfId="3730" priority="111" operator="equal">
      <formula>"Improving"</formula>
    </cfRule>
    <cfRule type="cellIs" dxfId="3729" priority="112" operator="equal">
      <formula>"Optimising"</formula>
    </cfRule>
    <cfRule type="cellIs" dxfId="3728" priority="113" operator="equal">
      <formula>"Proactive"</formula>
    </cfRule>
    <cfRule type="cellIs" dxfId="3727" priority="114" operator="equal">
      <formula>"Reactive"</formula>
    </cfRule>
    <cfRule type="cellIs" dxfId="3726" priority="115" operator="equal">
      <formula>"No Formal Approach"</formula>
    </cfRule>
  </conditionalFormatting>
  <conditionalFormatting sqref="G36">
    <cfRule type="cellIs" dxfId="3725" priority="106" operator="between">
      <formula>13</formula>
      <formula>15.9999</formula>
    </cfRule>
    <cfRule type="cellIs" dxfId="3724" priority="107" operator="between">
      <formula>10</formula>
      <formula>12.9999</formula>
    </cfRule>
    <cfRule type="cellIs" dxfId="3723" priority="108" operator="between">
      <formula>7</formula>
      <formula>9.9999</formula>
    </cfRule>
    <cfRule type="cellIs" dxfId="3722" priority="109" operator="between">
      <formula>4</formula>
      <formula>6.9999</formula>
    </cfRule>
    <cfRule type="cellIs" dxfId="3721" priority="110" operator="between">
      <formula>0.1</formula>
      <formula>3.9999</formula>
    </cfRule>
  </conditionalFormatting>
  <conditionalFormatting sqref="I36">
    <cfRule type="cellIs" dxfId="3720" priority="101" operator="equal">
      <formula>"Improving"</formula>
    </cfRule>
    <cfRule type="cellIs" dxfId="3719" priority="102" operator="equal">
      <formula>"Optimising"</formula>
    </cfRule>
    <cfRule type="cellIs" dxfId="3718" priority="103" operator="equal">
      <formula>"Proactive"</formula>
    </cfRule>
    <cfRule type="cellIs" dxfId="3717" priority="104" operator="equal">
      <formula>"Reactive"</formula>
    </cfRule>
    <cfRule type="cellIs" dxfId="3716" priority="105" operator="equal">
      <formula>"No Formal Approach"</formula>
    </cfRule>
  </conditionalFormatting>
  <conditionalFormatting sqref="G43">
    <cfRule type="cellIs" dxfId="3715" priority="96" operator="between">
      <formula>13</formula>
      <formula>15.9999</formula>
    </cfRule>
    <cfRule type="cellIs" dxfId="3714" priority="97" operator="between">
      <formula>10</formula>
      <formula>12.9999</formula>
    </cfRule>
    <cfRule type="cellIs" dxfId="3713" priority="98" operator="between">
      <formula>7</formula>
      <formula>9.9999</formula>
    </cfRule>
    <cfRule type="cellIs" dxfId="3712" priority="99" operator="between">
      <formula>4</formula>
      <formula>6.9999</formula>
    </cfRule>
    <cfRule type="cellIs" dxfId="3711" priority="100" operator="between">
      <formula>0.1</formula>
      <formula>3.9999</formula>
    </cfRule>
  </conditionalFormatting>
  <conditionalFormatting sqref="I43">
    <cfRule type="cellIs" dxfId="3710" priority="91" operator="equal">
      <formula>"Improving"</formula>
    </cfRule>
    <cfRule type="cellIs" dxfId="3709" priority="92" operator="equal">
      <formula>"Optimising"</formula>
    </cfRule>
    <cfRule type="cellIs" dxfId="3708" priority="93" operator="equal">
      <formula>"Proactive"</formula>
    </cfRule>
    <cfRule type="cellIs" dxfId="3707" priority="94" operator="equal">
      <formula>"Reactive"</formula>
    </cfRule>
    <cfRule type="cellIs" dxfId="3706" priority="95" operator="equal">
      <formula>"No Formal Approach"</formula>
    </cfRule>
  </conditionalFormatting>
  <conditionalFormatting sqref="G52">
    <cfRule type="cellIs" dxfId="3705" priority="86" operator="between">
      <formula>13</formula>
      <formula>15.9999</formula>
    </cfRule>
    <cfRule type="cellIs" dxfId="3704" priority="87" operator="between">
      <formula>10</formula>
      <formula>12.9999</formula>
    </cfRule>
    <cfRule type="cellIs" dxfId="3703" priority="88" operator="between">
      <formula>7</formula>
      <formula>9.9999</formula>
    </cfRule>
    <cfRule type="cellIs" dxfId="3702" priority="89" operator="between">
      <formula>4</formula>
      <formula>6.9999</formula>
    </cfRule>
    <cfRule type="cellIs" dxfId="3701" priority="90" operator="between">
      <formula>0.1</formula>
      <formula>3.9999</formula>
    </cfRule>
  </conditionalFormatting>
  <conditionalFormatting sqref="I52">
    <cfRule type="cellIs" dxfId="3700" priority="81" operator="equal">
      <formula>"Improving"</formula>
    </cfRule>
    <cfRule type="cellIs" dxfId="3699" priority="82" operator="equal">
      <formula>"Optimising"</formula>
    </cfRule>
    <cfRule type="cellIs" dxfId="3698" priority="83" operator="equal">
      <formula>"Proactive"</formula>
    </cfRule>
    <cfRule type="cellIs" dxfId="3697" priority="84" operator="equal">
      <formula>"Reactive"</formula>
    </cfRule>
    <cfRule type="cellIs" dxfId="3696" priority="85" operator="equal">
      <formula>"No Formal Approach"</formula>
    </cfRule>
  </conditionalFormatting>
  <conditionalFormatting sqref="G59">
    <cfRule type="cellIs" dxfId="3695" priority="76" operator="between">
      <formula>13</formula>
      <formula>15.9999</formula>
    </cfRule>
    <cfRule type="cellIs" dxfId="3694" priority="77" operator="between">
      <formula>10</formula>
      <formula>12.9999</formula>
    </cfRule>
    <cfRule type="cellIs" dxfId="3693" priority="78" operator="between">
      <formula>7</formula>
      <formula>9.9999</formula>
    </cfRule>
    <cfRule type="cellIs" dxfId="3692" priority="79" operator="between">
      <formula>4</formula>
      <formula>6.9999</formula>
    </cfRule>
    <cfRule type="cellIs" dxfId="3691" priority="80" operator="between">
      <formula>0.1</formula>
      <formula>3.9999</formula>
    </cfRule>
  </conditionalFormatting>
  <conditionalFormatting sqref="I59">
    <cfRule type="cellIs" dxfId="3690" priority="71" operator="equal">
      <formula>"Improving"</formula>
    </cfRule>
    <cfRule type="cellIs" dxfId="3689" priority="72" operator="equal">
      <formula>"Optimising"</formula>
    </cfRule>
    <cfRule type="cellIs" dxfId="3688" priority="73" operator="equal">
      <formula>"Proactive"</formula>
    </cfRule>
    <cfRule type="cellIs" dxfId="3687" priority="74" operator="equal">
      <formula>"Reactive"</formula>
    </cfRule>
    <cfRule type="cellIs" dxfId="3686" priority="75" operator="equal">
      <formula>"No Formal Approach"</formula>
    </cfRule>
  </conditionalFormatting>
  <conditionalFormatting sqref="G63">
    <cfRule type="cellIs" dxfId="3685" priority="66" operator="between">
      <formula>13</formula>
      <formula>15.9999</formula>
    </cfRule>
    <cfRule type="cellIs" dxfId="3684" priority="67" operator="between">
      <formula>10</formula>
      <formula>12.9999</formula>
    </cfRule>
    <cfRule type="cellIs" dxfId="3683" priority="68" operator="between">
      <formula>7</formula>
      <formula>9.9999</formula>
    </cfRule>
    <cfRule type="cellIs" dxfId="3682" priority="69" operator="between">
      <formula>4</formula>
      <formula>6.9999</formula>
    </cfRule>
    <cfRule type="cellIs" dxfId="3681" priority="70" operator="between">
      <formula>0.1</formula>
      <formula>3.9999</formula>
    </cfRule>
  </conditionalFormatting>
  <conditionalFormatting sqref="I63">
    <cfRule type="cellIs" dxfId="3680" priority="61" operator="equal">
      <formula>"Improving"</formula>
    </cfRule>
    <cfRule type="cellIs" dxfId="3679" priority="62" operator="equal">
      <formula>"Optimising"</formula>
    </cfRule>
    <cfRule type="cellIs" dxfId="3678" priority="63" operator="equal">
      <formula>"Proactive"</formula>
    </cfRule>
    <cfRule type="cellIs" dxfId="3677" priority="64" operator="equal">
      <formula>"Reactive"</formula>
    </cfRule>
    <cfRule type="cellIs" dxfId="3676" priority="65" operator="equal">
      <formula>"No Formal Approach"</formula>
    </cfRule>
  </conditionalFormatting>
  <conditionalFormatting sqref="G66">
    <cfRule type="cellIs" dxfId="3675" priority="56" operator="between">
      <formula>13</formula>
      <formula>15.9999</formula>
    </cfRule>
    <cfRule type="cellIs" dxfId="3674" priority="57" operator="between">
      <formula>10</formula>
      <formula>12.9999</formula>
    </cfRule>
    <cfRule type="cellIs" dxfId="3673" priority="58" operator="between">
      <formula>7</formula>
      <formula>9.9999</formula>
    </cfRule>
    <cfRule type="cellIs" dxfId="3672" priority="59" operator="between">
      <formula>4</formula>
      <formula>6.9999</formula>
    </cfRule>
    <cfRule type="cellIs" dxfId="3671" priority="60" operator="between">
      <formula>0.1</formula>
      <formula>3.9999</formula>
    </cfRule>
  </conditionalFormatting>
  <conditionalFormatting sqref="I66">
    <cfRule type="cellIs" dxfId="3670" priority="51" operator="equal">
      <formula>"Improving"</formula>
    </cfRule>
    <cfRule type="cellIs" dxfId="3669" priority="52" operator="equal">
      <formula>"Optimising"</formula>
    </cfRule>
    <cfRule type="cellIs" dxfId="3668" priority="53" operator="equal">
      <formula>"Proactive"</formula>
    </cfRule>
    <cfRule type="cellIs" dxfId="3667" priority="54" operator="equal">
      <formula>"Reactive"</formula>
    </cfRule>
    <cfRule type="cellIs" dxfId="3666" priority="55" operator="equal">
      <formula>"No Formal Approach"</formula>
    </cfRule>
  </conditionalFormatting>
  <conditionalFormatting sqref="G73">
    <cfRule type="cellIs" dxfId="3665" priority="46" operator="between">
      <formula>13</formula>
      <formula>15.9999</formula>
    </cfRule>
    <cfRule type="cellIs" dxfId="3664" priority="47" operator="between">
      <formula>10</formula>
      <formula>12.9999</formula>
    </cfRule>
    <cfRule type="cellIs" dxfId="3663" priority="48" operator="between">
      <formula>7</formula>
      <formula>9.9999</formula>
    </cfRule>
    <cfRule type="cellIs" dxfId="3662" priority="49" operator="between">
      <formula>4</formula>
      <formula>6.9999</formula>
    </cfRule>
    <cfRule type="cellIs" dxfId="3661" priority="50" operator="between">
      <formula>0.1</formula>
      <formula>3.9999</formula>
    </cfRule>
  </conditionalFormatting>
  <conditionalFormatting sqref="I73">
    <cfRule type="cellIs" dxfId="3660" priority="41" operator="equal">
      <formula>"Improving"</formula>
    </cfRule>
    <cfRule type="cellIs" dxfId="3659" priority="42" operator="equal">
      <formula>"Optimising"</formula>
    </cfRule>
    <cfRule type="cellIs" dxfId="3658" priority="43" operator="equal">
      <formula>"Proactive"</formula>
    </cfRule>
    <cfRule type="cellIs" dxfId="3657" priority="44" operator="equal">
      <formula>"Reactive"</formula>
    </cfRule>
    <cfRule type="cellIs" dxfId="3656" priority="45" operator="equal">
      <formula>"No Formal Approach"</formula>
    </cfRule>
  </conditionalFormatting>
  <conditionalFormatting sqref="G80">
    <cfRule type="cellIs" dxfId="3655" priority="36" operator="between">
      <formula>13</formula>
      <formula>15.9999</formula>
    </cfRule>
    <cfRule type="cellIs" dxfId="3654" priority="37" operator="between">
      <formula>10</formula>
      <formula>12.9999</formula>
    </cfRule>
    <cfRule type="cellIs" dxfId="3653" priority="38" operator="between">
      <formula>7</formula>
      <formula>9.9999</formula>
    </cfRule>
    <cfRule type="cellIs" dxfId="3652" priority="39" operator="between">
      <formula>4</formula>
      <formula>6.9999</formula>
    </cfRule>
    <cfRule type="cellIs" dxfId="3651" priority="40" operator="between">
      <formula>0.1</formula>
      <formula>3.9999</formula>
    </cfRule>
  </conditionalFormatting>
  <conditionalFormatting sqref="I80">
    <cfRule type="cellIs" dxfId="3650" priority="31" operator="equal">
      <formula>"Improving"</formula>
    </cfRule>
    <cfRule type="cellIs" dxfId="3649" priority="32" operator="equal">
      <formula>"Optimising"</formula>
    </cfRule>
    <cfRule type="cellIs" dxfId="3648" priority="33" operator="equal">
      <formula>"Proactive"</formula>
    </cfRule>
    <cfRule type="cellIs" dxfId="3647" priority="34" operator="equal">
      <formula>"Reactive"</formula>
    </cfRule>
    <cfRule type="cellIs" dxfId="3646" priority="35" operator="equal">
      <formula>"No Formal Approach"</formula>
    </cfRule>
  </conditionalFormatting>
  <conditionalFormatting sqref="G87">
    <cfRule type="cellIs" dxfId="3645" priority="26" operator="between">
      <formula>13</formula>
      <formula>15.9999</formula>
    </cfRule>
    <cfRule type="cellIs" dxfId="3644" priority="27" operator="between">
      <formula>10</formula>
      <formula>12.9999</formula>
    </cfRule>
    <cfRule type="cellIs" dxfId="3643" priority="28" operator="between">
      <formula>7</formula>
      <formula>9.9999</formula>
    </cfRule>
    <cfRule type="cellIs" dxfId="3642" priority="29" operator="between">
      <formula>4</formula>
      <formula>6.9999</formula>
    </cfRule>
    <cfRule type="cellIs" dxfId="3641" priority="30" operator="between">
      <formula>0.1</formula>
      <formula>3.9999</formula>
    </cfRule>
  </conditionalFormatting>
  <conditionalFormatting sqref="I87">
    <cfRule type="cellIs" dxfId="3640" priority="21" operator="equal">
      <formula>"Improving"</formula>
    </cfRule>
    <cfRule type="cellIs" dxfId="3639" priority="22" operator="equal">
      <formula>"Optimising"</formula>
    </cfRule>
    <cfRule type="cellIs" dxfId="3638" priority="23" operator="equal">
      <formula>"Proactive"</formula>
    </cfRule>
    <cfRule type="cellIs" dxfId="3637" priority="24" operator="equal">
      <formula>"Reactive"</formula>
    </cfRule>
    <cfRule type="cellIs" dxfId="3636" priority="25" operator="equal">
      <formula>"No Formal Approach"</formula>
    </cfRule>
  </conditionalFormatting>
  <conditionalFormatting sqref="G94">
    <cfRule type="cellIs" dxfId="3635" priority="16" operator="between">
      <formula>13</formula>
      <formula>15.9999</formula>
    </cfRule>
    <cfRule type="cellIs" dxfId="3634" priority="17" operator="between">
      <formula>10</formula>
      <formula>12.9999</formula>
    </cfRule>
    <cfRule type="cellIs" dxfId="3633" priority="18" operator="between">
      <formula>7</formula>
      <formula>9.9999</formula>
    </cfRule>
    <cfRule type="cellIs" dxfId="3632" priority="19" operator="between">
      <formula>4</formula>
      <formula>6.9999</formula>
    </cfRule>
    <cfRule type="cellIs" dxfId="3631" priority="20" operator="between">
      <formula>0.1</formula>
      <formula>3.9999</formula>
    </cfRule>
  </conditionalFormatting>
  <conditionalFormatting sqref="I94">
    <cfRule type="cellIs" dxfId="3630" priority="11" operator="equal">
      <formula>"Improving"</formula>
    </cfRule>
    <cfRule type="cellIs" dxfId="3629" priority="12" operator="equal">
      <formula>"Optimising"</formula>
    </cfRule>
    <cfRule type="cellIs" dxfId="3628" priority="13" operator="equal">
      <formula>"Proactive"</formula>
    </cfRule>
    <cfRule type="cellIs" dxfId="3627" priority="14" operator="equal">
      <formula>"Reactive"</formula>
    </cfRule>
    <cfRule type="cellIs" dxfId="3626" priority="15" operator="equal">
      <formula>"No Formal Approach"</formula>
    </cfRule>
  </conditionalFormatting>
  <conditionalFormatting sqref="G95:G100">
    <cfRule type="cellIs" dxfId="3625" priority="6" operator="between">
      <formula>13</formula>
      <formula>15.9999</formula>
    </cfRule>
    <cfRule type="cellIs" dxfId="3624" priority="7" operator="between">
      <formula>10</formula>
      <formula>12.9999</formula>
    </cfRule>
    <cfRule type="cellIs" dxfId="3623" priority="8" operator="between">
      <formula>7</formula>
      <formula>9.9999</formula>
    </cfRule>
    <cfRule type="cellIs" dxfId="3622" priority="9" operator="between">
      <formula>4</formula>
      <formula>6.9999</formula>
    </cfRule>
    <cfRule type="cellIs" dxfId="3621" priority="10" operator="between">
      <formula>0.1</formula>
      <formula>3.9999</formula>
    </cfRule>
  </conditionalFormatting>
  <conditionalFormatting sqref="I95:I100">
    <cfRule type="cellIs" dxfId="3620" priority="1" operator="equal">
      <formula>"Improving"</formula>
    </cfRule>
    <cfRule type="cellIs" dxfId="3619" priority="2" operator="equal">
      <formula>"Optimising"</formula>
    </cfRule>
    <cfRule type="cellIs" dxfId="3618" priority="3" operator="equal">
      <formula>"Proactive"</formula>
    </cfRule>
    <cfRule type="cellIs" dxfId="3617" priority="4" operator="equal">
      <formula>"Reactive"</formula>
    </cfRule>
    <cfRule type="cellIs" dxfId="361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1'!J15</f>
        <v>Subject 3</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3615" priority="236" operator="between">
      <formula>13</formula>
      <formula>15.9999</formula>
    </cfRule>
    <cfRule type="cellIs" dxfId="3614" priority="237" operator="between">
      <formula>10</formula>
      <formula>12.9999</formula>
    </cfRule>
    <cfRule type="cellIs" dxfId="3613" priority="238" operator="between">
      <formula>7</formula>
      <formula>9.9999</formula>
    </cfRule>
    <cfRule type="cellIs" dxfId="3612" priority="239" operator="between">
      <formula>4</formula>
      <formula>6.9999</formula>
    </cfRule>
    <cfRule type="cellIs" dxfId="3611" priority="240" operator="between">
      <formula>0.1</formula>
      <formula>3.9999</formula>
    </cfRule>
  </conditionalFormatting>
  <conditionalFormatting sqref="I5">
    <cfRule type="cellIs" dxfId="3610" priority="231" operator="equal">
      <formula>"Improving"</formula>
    </cfRule>
    <cfRule type="cellIs" dxfId="3609" priority="232" operator="equal">
      <formula>"Optimising"</formula>
    </cfRule>
    <cfRule type="cellIs" dxfId="3608" priority="233" operator="equal">
      <formula>"Proactive"</formula>
    </cfRule>
    <cfRule type="cellIs" dxfId="3607" priority="234" operator="equal">
      <formula>"Reactive"</formula>
    </cfRule>
    <cfRule type="cellIs" dxfId="3606" priority="235" operator="equal">
      <formula>"No Formal Approach"</formula>
    </cfRule>
  </conditionalFormatting>
  <conditionalFormatting sqref="G6:G12">
    <cfRule type="cellIs" dxfId="3605" priority="226" operator="between">
      <formula>13</formula>
      <formula>15.9999</formula>
    </cfRule>
    <cfRule type="cellIs" dxfId="3604" priority="227" operator="between">
      <formula>10</formula>
      <formula>12.9999</formula>
    </cfRule>
    <cfRule type="cellIs" dxfId="3603" priority="228" operator="between">
      <formula>7</formula>
      <formula>9.9999</formula>
    </cfRule>
    <cfRule type="cellIs" dxfId="3602" priority="229" operator="between">
      <formula>4</formula>
      <formula>6.9999</formula>
    </cfRule>
    <cfRule type="cellIs" dxfId="3601" priority="230" operator="between">
      <formula>0.1</formula>
      <formula>3.9999</formula>
    </cfRule>
  </conditionalFormatting>
  <conditionalFormatting sqref="G14:G35">
    <cfRule type="cellIs" dxfId="3600" priority="221" operator="between">
      <formula>13</formula>
      <formula>15.9999</formula>
    </cfRule>
    <cfRule type="cellIs" dxfId="3599" priority="222" operator="between">
      <formula>10</formula>
      <formula>12.9999</formula>
    </cfRule>
    <cfRule type="cellIs" dxfId="3598" priority="223" operator="between">
      <formula>7</formula>
      <formula>9.9999</formula>
    </cfRule>
    <cfRule type="cellIs" dxfId="3597" priority="224" operator="between">
      <formula>4</formula>
      <formula>6.9999</formula>
    </cfRule>
    <cfRule type="cellIs" dxfId="3596" priority="225" operator="between">
      <formula>0.1</formula>
      <formula>3.9999</formula>
    </cfRule>
  </conditionalFormatting>
  <conditionalFormatting sqref="G37:G42">
    <cfRule type="cellIs" dxfId="3595" priority="216" operator="between">
      <formula>13</formula>
      <formula>15.9999</formula>
    </cfRule>
    <cfRule type="cellIs" dxfId="3594" priority="217" operator="between">
      <formula>10</formula>
      <formula>12.9999</formula>
    </cfRule>
    <cfRule type="cellIs" dxfId="3593" priority="218" operator="between">
      <formula>7</formula>
      <formula>9.9999</formula>
    </cfRule>
    <cfRule type="cellIs" dxfId="3592" priority="219" operator="between">
      <formula>4</formula>
      <formula>6.9999</formula>
    </cfRule>
    <cfRule type="cellIs" dxfId="3591" priority="220" operator="between">
      <formula>0.1</formula>
      <formula>3.9999</formula>
    </cfRule>
  </conditionalFormatting>
  <conditionalFormatting sqref="G44:G51">
    <cfRule type="cellIs" dxfId="3590" priority="211" operator="between">
      <formula>13</formula>
      <formula>15.9999</formula>
    </cfRule>
    <cfRule type="cellIs" dxfId="3589" priority="212" operator="between">
      <formula>10</formula>
      <formula>12.9999</formula>
    </cfRule>
    <cfRule type="cellIs" dxfId="3588" priority="213" operator="between">
      <formula>7</formula>
      <formula>9.9999</formula>
    </cfRule>
    <cfRule type="cellIs" dxfId="3587" priority="214" operator="between">
      <formula>4</formula>
      <formula>6.9999</formula>
    </cfRule>
    <cfRule type="cellIs" dxfId="3586" priority="215" operator="between">
      <formula>0.1</formula>
      <formula>3.9999</formula>
    </cfRule>
  </conditionalFormatting>
  <conditionalFormatting sqref="G53:G58">
    <cfRule type="cellIs" dxfId="3585" priority="206" operator="between">
      <formula>13</formula>
      <formula>15.9999</formula>
    </cfRule>
    <cfRule type="cellIs" dxfId="3584" priority="207" operator="between">
      <formula>10</formula>
      <formula>12.9999</formula>
    </cfRule>
    <cfRule type="cellIs" dxfId="3583" priority="208" operator="between">
      <formula>7</formula>
      <formula>9.9999</formula>
    </cfRule>
    <cfRule type="cellIs" dxfId="3582" priority="209" operator="between">
      <formula>4</formula>
      <formula>6.9999</formula>
    </cfRule>
    <cfRule type="cellIs" dxfId="3581" priority="210" operator="between">
      <formula>0.1</formula>
      <formula>3.9999</formula>
    </cfRule>
  </conditionalFormatting>
  <conditionalFormatting sqref="G60:G62">
    <cfRule type="cellIs" dxfId="3580" priority="201" operator="between">
      <formula>13</formula>
      <formula>15.9999</formula>
    </cfRule>
    <cfRule type="cellIs" dxfId="3579" priority="202" operator="between">
      <formula>10</formula>
      <formula>12.9999</formula>
    </cfRule>
    <cfRule type="cellIs" dxfId="3578" priority="203" operator="between">
      <formula>7</formula>
      <formula>9.9999</formula>
    </cfRule>
    <cfRule type="cellIs" dxfId="3577" priority="204" operator="between">
      <formula>4</formula>
      <formula>6.9999</formula>
    </cfRule>
    <cfRule type="cellIs" dxfId="3576" priority="205" operator="between">
      <formula>0.1</formula>
      <formula>3.9999</formula>
    </cfRule>
  </conditionalFormatting>
  <conditionalFormatting sqref="G64:G65">
    <cfRule type="cellIs" dxfId="3575" priority="196" operator="between">
      <formula>13</formula>
      <formula>15.9999</formula>
    </cfRule>
    <cfRule type="cellIs" dxfId="3574" priority="197" operator="between">
      <formula>10</formula>
      <formula>12.9999</formula>
    </cfRule>
    <cfRule type="cellIs" dxfId="3573" priority="198" operator="between">
      <formula>7</formula>
      <formula>9.9999</formula>
    </cfRule>
    <cfRule type="cellIs" dxfId="3572" priority="199" operator="between">
      <formula>4</formula>
      <formula>6.9999</formula>
    </cfRule>
    <cfRule type="cellIs" dxfId="3571" priority="200" operator="between">
      <formula>0.1</formula>
      <formula>3.9999</formula>
    </cfRule>
  </conditionalFormatting>
  <conditionalFormatting sqref="G67:G72">
    <cfRule type="cellIs" dxfId="3570" priority="191" operator="between">
      <formula>13</formula>
      <formula>15.9999</formula>
    </cfRule>
    <cfRule type="cellIs" dxfId="3569" priority="192" operator="between">
      <formula>10</formula>
      <formula>12.9999</formula>
    </cfRule>
    <cfRule type="cellIs" dxfId="3568" priority="193" operator="between">
      <formula>7</formula>
      <formula>9.9999</formula>
    </cfRule>
    <cfRule type="cellIs" dxfId="3567" priority="194" operator="between">
      <formula>4</formula>
      <formula>6.9999</formula>
    </cfRule>
    <cfRule type="cellIs" dxfId="3566" priority="195" operator="between">
      <formula>0.1</formula>
      <formula>3.9999</formula>
    </cfRule>
  </conditionalFormatting>
  <conditionalFormatting sqref="G74:G79">
    <cfRule type="cellIs" dxfId="3565" priority="186" operator="between">
      <formula>13</formula>
      <formula>15.9999</formula>
    </cfRule>
    <cfRule type="cellIs" dxfId="3564" priority="187" operator="between">
      <formula>10</formula>
      <formula>12.9999</formula>
    </cfRule>
    <cfRule type="cellIs" dxfId="3563" priority="188" operator="between">
      <formula>7</formula>
      <formula>9.9999</formula>
    </cfRule>
    <cfRule type="cellIs" dxfId="3562" priority="189" operator="between">
      <formula>4</formula>
      <formula>6.9999</formula>
    </cfRule>
    <cfRule type="cellIs" dxfId="3561" priority="190" operator="between">
      <formula>0.1</formula>
      <formula>3.9999</formula>
    </cfRule>
  </conditionalFormatting>
  <conditionalFormatting sqref="G81:G86">
    <cfRule type="cellIs" dxfId="3560" priority="181" operator="between">
      <formula>13</formula>
      <formula>15.9999</formula>
    </cfRule>
    <cfRule type="cellIs" dxfId="3559" priority="182" operator="between">
      <formula>10</formula>
      <formula>12.9999</formula>
    </cfRule>
    <cfRule type="cellIs" dxfId="3558" priority="183" operator="between">
      <formula>7</formula>
      <formula>9.9999</formula>
    </cfRule>
    <cfRule type="cellIs" dxfId="3557" priority="184" operator="between">
      <formula>4</formula>
      <formula>6.9999</formula>
    </cfRule>
    <cfRule type="cellIs" dxfId="3556" priority="185" operator="between">
      <formula>0.1</formula>
      <formula>3.9999</formula>
    </cfRule>
  </conditionalFormatting>
  <conditionalFormatting sqref="G88:G93">
    <cfRule type="cellIs" dxfId="3555" priority="176" operator="between">
      <formula>13</formula>
      <formula>15.9999</formula>
    </cfRule>
    <cfRule type="cellIs" dxfId="3554" priority="177" operator="between">
      <formula>10</formula>
      <formula>12.9999</formula>
    </cfRule>
    <cfRule type="cellIs" dxfId="3553" priority="178" operator="between">
      <formula>7</formula>
      <formula>9.9999</formula>
    </cfRule>
    <cfRule type="cellIs" dxfId="3552" priority="179" operator="between">
      <formula>4</formula>
      <formula>6.9999</formula>
    </cfRule>
    <cfRule type="cellIs" dxfId="3551" priority="180" operator="between">
      <formula>0.1</formula>
      <formula>3.9999</formula>
    </cfRule>
  </conditionalFormatting>
  <conditionalFormatting sqref="I6:I12">
    <cfRule type="cellIs" dxfId="3550" priority="171" operator="equal">
      <formula>"Improving"</formula>
    </cfRule>
    <cfRule type="cellIs" dxfId="3549" priority="172" operator="equal">
      <formula>"Optimising"</formula>
    </cfRule>
    <cfRule type="cellIs" dxfId="3548" priority="173" operator="equal">
      <formula>"Proactive"</formula>
    </cfRule>
    <cfRule type="cellIs" dxfId="3547" priority="174" operator="equal">
      <formula>"Reactive"</formula>
    </cfRule>
    <cfRule type="cellIs" dxfId="3546" priority="175" operator="equal">
      <formula>"No Formal Approach"</formula>
    </cfRule>
  </conditionalFormatting>
  <conditionalFormatting sqref="I14:I35">
    <cfRule type="cellIs" dxfId="3545" priority="166" operator="equal">
      <formula>"Improving"</formula>
    </cfRule>
    <cfRule type="cellIs" dxfId="3544" priority="167" operator="equal">
      <formula>"Optimising"</formula>
    </cfRule>
    <cfRule type="cellIs" dxfId="3543" priority="168" operator="equal">
      <formula>"Proactive"</formula>
    </cfRule>
    <cfRule type="cellIs" dxfId="3542" priority="169" operator="equal">
      <formula>"Reactive"</formula>
    </cfRule>
    <cfRule type="cellIs" dxfId="3541" priority="170" operator="equal">
      <formula>"No Formal Approach"</formula>
    </cfRule>
  </conditionalFormatting>
  <conditionalFormatting sqref="I37:I42">
    <cfRule type="cellIs" dxfId="3540" priority="161" operator="equal">
      <formula>"Improving"</formula>
    </cfRule>
    <cfRule type="cellIs" dxfId="3539" priority="162" operator="equal">
      <formula>"Optimising"</formula>
    </cfRule>
    <cfRule type="cellIs" dxfId="3538" priority="163" operator="equal">
      <formula>"Proactive"</formula>
    </cfRule>
    <cfRule type="cellIs" dxfId="3537" priority="164" operator="equal">
      <formula>"Reactive"</formula>
    </cfRule>
    <cfRule type="cellIs" dxfId="3536" priority="165" operator="equal">
      <formula>"No Formal Approach"</formula>
    </cfRule>
  </conditionalFormatting>
  <conditionalFormatting sqref="I44:I51">
    <cfRule type="cellIs" dxfId="3535" priority="156" operator="equal">
      <formula>"Improving"</formula>
    </cfRule>
    <cfRule type="cellIs" dxfId="3534" priority="157" operator="equal">
      <formula>"Optimising"</formula>
    </cfRule>
    <cfRule type="cellIs" dxfId="3533" priority="158" operator="equal">
      <formula>"Proactive"</formula>
    </cfRule>
    <cfRule type="cellIs" dxfId="3532" priority="159" operator="equal">
      <formula>"Reactive"</formula>
    </cfRule>
    <cfRule type="cellIs" dxfId="3531" priority="160" operator="equal">
      <formula>"No Formal Approach"</formula>
    </cfRule>
  </conditionalFormatting>
  <conditionalFormatting sqref="I53:I58">
    <cfRule type="cellIs" dxfId="3530" priority="151" operator="equal">
      <formula>"Improving"</formula>
    </cfRule>
    <cfRule type="cellIs" dxfId="3529" priority="152" operator="equal">
      <formula>"Optimising"</formula>
    </cfRule>
    <cfRule type="cellIs" dxfId="3528" priority="153" operator="equal">
      <formula>"Proactive"</formula>
    </cfRule>
    <cfRule type="cellIs" dxfId="3527" priority="154" operator="equal">
      <formula>"Reactive"</formula>
    </cfRule>
    <cfRule type="cellIs" dxfId="3526" priority="155" operator="equal">
      <formula>"No Formal Approach"</formula>
    </cfRule>
  </conditionalFormatting>
  <conditionalFormatting sqref="I60:I62">
    <cfRule type="cellIs" dxfId="3525" priority="146" operator="equal">
      <formula>"Improving"</formula>
    </cfRule>
    <cfRule type="cellIs" dxfId="3524" priority="147" operator="equal">
      <formula>"Optimising"</formula>
    </cfRule>
    <cfRule type="cellIs" dxfId="3523" priority="148" operator="equal">
      <formula>"Proactive"</formula>
    </cfRule>
    <cfRule type="cellIs" dxfId="3522" priority="149" operator="equal">
      <formula>"Reactive"</formula>
    </cfRule>
    <cfRule type="cellIs" dxfId="3521" priority="150" operator="equal">
      <formula>"No Formal Approach"</formula>
    </cfRule>
  </conditionalFormatting>
  <conditionalFormatting sqref="I64:I65">
    <cfRule type="cellIs" dxfId="3520" priority="141" operator="equal">
      <formula>"Improving"</formula>
    </cfRule>
    <cfRule type="cellIs" dxfId="3519" priority="142" operator="equal">
      <formula>"Optimising"</formula>
    </cfRule>
    <cfRule type="cellIs" dxfId="3518" priority="143" operator="equal">
      <formula>"Proactive"</formula>
    </cfRule>
    <cfRule type="cellIs" dxfId="3517" priority="144" operator="equal">
      <formula>"Reactive"</formula>
    </cfRule>
    <cfRule type="cellIs" dxfId="3516" priority="145" operator="equal">
      <formula>"No Formal Approach"</formula>
    </cfRule>
  </conditionalFormatting>
  <conditionalFormatting sqref="I67:I72">
    <cfRule type="cellIs" dxfId="3515" priority="136" operator="equal">
      <formula>"Improving"</formula>
    </cfRule>
    <cfRule type="cellIs" dxfId="3514" priority="137" operator="equal">
      <formula>"Optimising"</formula>
    </cfRule>
    <cfRule type="cellIs" dxfId="3513" priority="138" operator="equal">
      <formula>"Proactive"</formula>
    </cfRule>
    <cfRule type="cellIs" dxfId="3512" priority="139" operator="equal">
      <formula>"Reactive"</formula>
    </cfRule>
    <cfRule type="cellIs" dxfId="3511" priority="140" operator="equal">
      <formula>"No Formal Approach"</formula>
    </cfRule>
  </conditionalFormatting>
  <conditionalFormatting sqref="I74:I79">
    <cfRule type="cellIs" dxfId="3510" priority="131" operator="equal">
      <formula>"Improving"</formula>
    </cfRule>
    <cfRule type="cellIs" dxfId="3509" priority="132" operator="equal">
      <formula>"Optimising"</formula>
    </cfRule>
    <cfRule type="cellIs" dxfId="3508" priority="133" operator="equal">
      <formula>"Proactive"</formula>
    </cfRule>
    <cfRule type="cellIs" dxfId="3507" priority="134" operator="equal">
      <formula>"Reactive"</formula>
    </cfRule>
    <cfRule type="cellIs" dxfId="3506" priority="135" operator="equal">
      <formula>"No Formal Approach"</formula>
    </cfRule>
  </conditionalFormatting>
  <conditionalFormatting sqref="I81:I86">
    <cfRule type="cellIs" dxfId="3505" priority="126" operator="equal">
      <formula>"Improving"</formula>
    </cfRule>
    <cfRule type="cellIs" dxfId="3504" priority="127" operator="equal">
      <formula>"Optimising"</formula>
    </cfRule>
    <cfRule type="cellIs" dxfId="3503" priority="128" operator="equal">
      <formula>"Proactive"</formula>
    </cfRule>
    <cfRule type="cellIs" dxfId="3502" priority="129" operator="equal">
      <formula>"Reactive"</formula>
    </cfRule>
    <cfRule type="cellIs" dxfId="3501" priority="130" operator="equal">
      <formula>"No Formal Approach"</formula>
    </cfRule>
  </conditionalFormatting>
  <conditionalFormatting sqref="I88:I93">
    <cfRule type="cellIs" dxfId="3500" priority="121" operator="equal">
      <formula>"Improving"</formula>
    </cfRule>
    <cfRule type="cellIs" dxfId="3499" priority="122" operator="equal">
      <formula>"Optimising"</formula>
    </cfRule>
    <cfRule type="cellIs" dxfId="3498" priority="123" operator="equal">
      <formula>"Proactive"</formula>
    </cfRule>
    <cfRule type="cellIs" dxfId="3497" priority="124" operator="equal">
      <formula>"Reactive"</formula>
    </cfRule>
    <cfRule type="cellIs" dxfId="3496" priority="125" operator="equal">
      <formula>"No Formal Approach"</formula>
    </cfRule>
  </conditionalFormatting>
  <conditionalFormatting sqref="G13">
    <cfRule type="cellIs" dxfId="3495" priority="116" operator="between">
      <formula>13</formula>
      <formula>15.9999</formula>
    </cfRule>
    <cfRule type="cellIs" dxfId="3494" priority="117" operator="between">
      <formula>10</formula>
      <formula>12.9999</formula>
    </cfRule>
    <cfRule type="cellIs" dxfId="3493" priority="118" operator="between">
      <formula>7</formula>
      <formula>9.9999</formula>
    </cfRule>
    <cfRule type="cellIs" dxfId="3492" priority="119" operator="between">
      <formula>4</formula>
      <formula>6.9999</formula>
    </cfRule>
    <cfRule type="cellIs" dxfId="3491" priority="120" operator="between">
      <formula>0.1</formula>
      <formula>3.9999</formula>
    </cfRule>
  </conditionalFormatting>
  <conditionalFormatting sqref="I13">
    <cfRule type="cellIs" dxfId="3490" priority="111" operator="equal">
      <formula>"Improving"</formula>
    </cfRule>
    <cfRule type="cellIs" dxfId="3489" priority="112" operator="equal">
      <formula>"Optimising"</formula>
    </cfRule>
    <cfRule type="cellIs" dxfId="3488" priority="113" operator="equal">
      <formula>"Proactive"</formula>
    </cfRule>
    <cfRule type="cellIs" dxfId="3487" priority="114" operator="equal">
      <formula>"Reactive"</formula>
    </cfRule>
    <cfRule type="cellIs" dxfId="3486" priority="115" operator="equal">
      <formula>"No Formal Approach"</formula>
    </cfRule>
  </conditionalFormatting>
  <conditionalFormatting sqref="G36">
    <cfRule type="cellIs" dxfId="3485" priority="106" operator="between">
      <formula>13</formula>
      <formula>15.9999</formula>
    </cfRule>
    <cfRule type="cellIs" dxfId="3484" priority="107" operator="between">
      <formula>10</formula>
      <formula>12.9999</formula>
    </cfRule>
    <cfRule type="cellIs" dxfId="3483" priority="108" operator="between">
      <formula>7</formula>
      <formula>9.9999</formula>
    </cfRule>
    <cfRule type="cellIs" dxfId="3482" priority="109" operator="between">
      <formula>4</formula>
      <formula>6.9999</formula>
    </cfRule>
    <cfRule type="cellIs" dxfId="3481" priority="110" operator="between">
      <formula>0.1</formula>
      <formula>3.9999</formula>
    </cfRule>
  </conditionalFormatting>
  <conditionalFormatting sqref="I36">
    <cfRule type="cellIs" dxfId="3480" priority="101" operator="equal">
      <formula>"Improving"</formula>
    </cfRule>
    <cfRule type="cellIs" dxfId="3479" priority="102" operator="equal">
      <formula>"Optimising"</formula>
    </cfRule>
    <cfRule type="cellIs" dxfId="3478" priority="103" operator="equal">
      <formula>"Proactive"</formula>
    </cfRule>
    <cfRule type="cellIs" dxfId="3477" priority="104" operator="equal">
      <formula>"Reactive"</formula>
    </cfRule>
    <cfRule type="cellIs" dxfId="3476" priority="105" operator="equal">
      <formula>"No Formal Approach"</formula>
    </cfRule>
  </conditionalFormatting>
  <conditionalFormatting sqref="G43">
    <cfRule type="cellIs" dxfId="3475" priority="96" operator="between">
      <formula>13</formula>
      <formula>15.9999</formula>
    </cfRule>
    <cfRule type="cellIs" dxfId="3474" priority="97" operator="between">
      <formula>10</formula>
      <formula>12.9999</formula>
    </cfRule>
    <cfRule type="cellIs" dxfId="3473" priority="98" operator="between">
      <formula>7</formula>
      <formula>9.9999</formula>
    </cfRule>
    <cfRule type="cellIs" dxfId="3472" priority="99" operator="between">
      <formula>4</formula>
      <formula>6.9999</formula>
    </cfRule>
    <cfRule type="cellIs" dxfId="3471" priority="100" operator="between">
      <formula>0.1</formula>
      <formula>3.9999</formula>
    </cfRule>
  </conditionalFormatting>
  <conditionalFormatting sqref="I43">
    <cfRule type="cellIs" dxfId="3470" priority="91" operator="equal">
      <formula>"Improving"</formula>
    </cfRule>
    <cfRule type="cellIs" dxfId="3469" priority="92" operator="equal">
      <formula>"Optimising"</formula>
    </cfRule>
    <cfRule type="cellIs" dxfId="3468" priority="93" operator="equal">
      <formula>"Proactive"</formula>
    </cfRule>
    <cfRule type="cellIs" dxfId="3467" priority="94" operator="equal">
      <formula>"Reactive"</formula>
    </cfRule>
    <cfRule type="cellIs" dxfId="3466" priority="95" operator="equal">
      <formula>"No Formal Approach"</formula>
    </cfRule>
  </conditionalFormatting>
  <conditionalFormatting sqref="G52">
    <cfRule type="cellIs" dxfId="3465" priority="86" operator="between">
      <formula>13</formula>
      <formula>15.9999</formula>
    </cfRule>
    <cfRule type="cellIs" dxfId="3464" priority="87" operator="between">
      <formula>10</formula>
      <formula>12.9999</formula>
    </cfRule>
    <cfRule type="cellIs" dxfId="3463" priority="88" operator="between">
      <formula>7</formula>
      <formula>9.9999</formula>
    </cfRule>
    <cfRule type="cellIs" dxfId="3462" priority="89" operator="between">
      <formula>4</formula>
      <formula>6.9999</formula>
    </cfRule>
    <cfRule type="cellIs" dxfId="3461" priority="90" operator="between">
      <formula>0.1</formula>
      <formula>3.9999</formula>
    </cfRule>
  </conditionalFormatting>
  <conditionalFormatting sqref="I52">
    <cfRule type="cellIs" dxfId="3460" priority="81" operator="equal">
      <formula>"Improving"</formula>
    </cfRule>
    <cfRule type="cellIs" dxfId="3459" priority="82" operator="equal">
      <formula>"Optimising"</formula>
    </cfRule>
    <cfRule type="cellIs" dxfId="3458" priority="83" operator="equal">
      <formula>"Proactive"</formula>
    </cfRule>
    <cfRule type="cellIs" dxfId="3457" priority="84" operator="equal">
      <formula>"Reactive"</formula>
    </cfRule>
    <cfRule type="cellIs" dxfId="3456" priority="85" operator="equal">
      <formula>"No Formal Approach"</formula>
    </cfRule>
  </conditionalFormatting>
  <conditionalFormatting sqref="G59">
    <cfRule type="cellIs" dxfId="3455" priority="76" operator="between">
      <formula>13</formula>
      <formula>15.9999</formula>
    </cfRule>
    <cfRule type="cellIs" dxfId="3454" priority="77" operator="between">
      <formula>10</formula>
      <formula>12.9999</formula>
    </cfRule>
    <cfRule type="cellIs" dxfId="3453" priority="78" operator="between">
      <formula>7</formula>
      <formula>9.9999</formula>
    </cfRule>
    <cfRule type="cellIs" dxfId="3452" priority="79" operator="between">
      <formula>4</formula>
      <formula>6.9999</formula>
    </cfRule>
    <cfRule type="cellIs" dxfId="3451" priority="80" operator="between">
      <formula>0.1</formula>
      <formula>3.9999</formula>
    </cfRule>
  </conditionalFormatting>
  <conditionalFormatting sqref="I59">
    <cfRule type="cellIs" dxfId="3450" priority="71" operator="equal">
      <formula>"Improving"</formula>
    </cfRule>
    <cfRule type="cellIs" dxfId="3449" priority="72" operator="equal">
      <formula>"Optimising"</formula>
    </cfRule>
    <cfRule type="cellIs" dxfId="3448" priority="73" operator="equal">
      <formula>"Proactive"</formula>
    </cfRule>
    <cfRule type="cellIs" dxfId="3447" priority="74" operator="equal">
      <formula>"Reactive"</formula>
    </cfRule>
    <cfRule type="cellIs" dxfId="3446" priority="75" operator="equal">
      <formula>"No Formal Approach"</formula>
    </cfRule>
  </conditionalFormatting>
  <conditionalFormatting sqref="G63">
    <cfRule type="cellIs" dxfId="3445" priority="66" operator="between">
      <formula>13</formula>
      <formula>15.9999</formula>
    </cfRule>
    <cfRule type="cellIs" dxfId="3444" priority="67" operator="between">
      <formula>10</formula>
      <formula>12.9999</formula>
    </cfRule>
    <cfRule type="cellIs" dxfId="3443" priority="68" operator="between">
      <formula>7</formula>
      <formula>9.9999</formula>
    </cfRule>
    <cfRule type="cellIs" dxfId="3442" priority="69" operator="between">
      <formula>4</formula>
      <formula>6.9999</formula>
    </cfRule>
    <cfRule type="cellIs" dxfId="3441" priority="70" operator="between">
      <formula>0.1</formula>
      <formula>3.9999</formula>
    </cfRule>
  </conditionalFormatting>
  <conditionalFormatting sqref="I63">
    <cfRule type="cellIs" dxfId="3440" priority="61" operator="equal">
      <formula>"Improving"</formula>
    </cfRule>
    <cfRule type="cellIs" dxfId="3439" priority="62" operator="equal">
      <formula>"Optimising"</formula>
    </cfRule>
    <cfRule type="cellIs" dxfId="3438" priority="63" operator="equal">
      <formula>"Proactive"</formula>
    </cfRule>
    <cfRule type="cellIs" dxfId="3437" priority="64" operator="equal">
      <formula>"Reactive"</formula>
    </cfRule>
    <cfRule type="cellIs" dxfId="3436" priority="65" operator="equal">
      <formula>"No Formal Approach"</formula>
    </cfRule>
  </conditionalFormatting>
  <conditionalFormatting sqref="G66">
    <cfRule type="cellIs" dxfId="3435" priority="56" operator="between">
      <formula>13</formula>
      <formula>15.9999</formula>
    </cfRule>
    <cfRule type="cellIs" dxfId="3434" priority="57" operator="between">
      <formula>10</formula>
      <formula>12.9999</formula>
    </cfRule>
    <cfRule type="cellIs" dxfId="3433" priority="58" operator="between">
      <formula>7</formula>
      <formula>9.9999</formula>
    </cfRule>
    <cfRule type="cellIs" dxfId="3432" priority="59" operator="between">
      <formula>4</formula>
      <formula>6.9999</formula>
    </cfRule>
    <cfRule type="cellIs" dxfId="3431" priority="60" operator="between">
      <formula>0.1</formula>
      <formula>3.9999</formula>
    </cfRule>
  </conditionalFormatting>
  <conditionalFormatting sqref="I66">
    <cfRule type="cellIs" dxfId="3430" priority="51" operator="equal">
      <formula>"Improving"</formula>
    </cfRule>
    <cfRule type="cellIs" dxfId="3429" priority="52" operator="equal">
      <formula>"Optimising"</formula>
    </cfRule>
    <cfRule type="cellIs" dxfId="3428" priority="53" operator="equal">
      <formula>"Proactive"</formula>
    </cfRule>
    <cfRule type="cellIs" dxfId="3427" priority="54" operator="equal">
      <formula>"Reactive"</formula>
    </cfRule>
    <cfRule type="cellIs" dxfId="3426" priority="55" operator="equal">
      <formula>"No Formal Approach"</formula>
    </cfRule>
  </conditionalFormatting>
  <conditionalFormatting sqref="G73">
    <cfRule type="cellIs" dxfId="3425" priority="46" operator="between">
      <formula>13</formula>
      <formula>15.9999</formula>
    </cfRule>
    <cfRule type="cellIs" dxfId="3424" priority="47" operator="between">
      <formula>10</formula>
      <formula>12.9999</formula>
    </cfRule>
    <cfRule type="cellIs" dxfId="3423" priority="48" operator="between">
      <formula>7</formula>
      <formula>9.9999</formula>
    </cfRule>
    <cfRule type="cellIs" dxfId="3422" priority="49" operator="between">
      <formula>4</formula>
      <formula>6.9999</formula>
    </cfRule>
    <cfRule type="cellIs" dxfId="3421" priority="50" operator="between">
      <formula>0.1</formula>
      <formula>3.9999</formula>
    </cfRule>
  </conditionalFormatting>
  <conditionalFormatting sqref="I73">
    <cfRule type="cellIs" dxfId="3420" priority="41" operator="equal">
      <formula>"Improving"</formula>
    </cfRule>
    <cfRule type="cellIs" dxfId="3419" priority="42" operator="equal">
      <formula>"Optimising"</formula>
    </cfRule>
    <cfRule type="cellIs" dxfId="3418" priority="43" operator="equal">
      <formula>"Proactive"</formula>
    </cfRule>
    <cfRule type="cellIs" dxfId="3417" priority="44" operator="equal">
      <formula>"Reactive"</formula>
    </cfRule>
    <cfRule type="cellIs" dxfId="3416" priority="45" operator="equal">
      <formula>"No Formal Approach"</formula>
    </cfRule>
  </conditionalFormatting>
  <conditionalFormatting sqref="G80">
    <cfRule type="cellIs" dxfId="3415" priority="36" operator="between">
      <formula>13</formula>
      <formula>15.9999</formula>
    </cfRule>
    <cfRule type="cellIs" dxfId="3414" priority="37" operator="between">
      <formula>10</formula>
      <formula>12.9999</formula>
    </cfRule>
    <cfRule type="cellIs" dxfId="3413" priority="38" operator="between">
      <formula>7</formula>
      <formula>9.9999</formula>
    </cfRule>
    <cfRule type="cellIs" dxfId="3412" priority="39" operator="between">
      <formula>4</formula>
      <formula>6.9999</formula>
    </cfRule>
    <cfRule type="cellIs" dxfId="3411" priority="40" operator="between">
      <formula>0.1</formula>
      <formula>3.9999</formula>
    </cfRule>
  </conditionalFormatting>
  <conditionalFormatting sqref="I80">
    <cfRule type="cellIs" dxfId="3410" priority="31" operator="equal">
      <formula>"Improving"</formula>
    </cfRule>
    <cfRule type="cellIs" dxfId="3409" priority="32" operator="equal">
      <formula>"Optimising"</formula>
    </cfRule>
    <cfRule type="cellIs" dxfId="3408" priority="33" operator="equal">
      <formula>"Proactive"</formula>
    </cfRule>
    <cfRule type="cellIs" dxfId="3407" priority="34" operator="equal">
      <formula>"Reactive"</formula>
    </cfRule>
    <cfRule type="cellIs" dxfId="3406" priority="35" operator="equal">
      <formula>"No Formal Approach"</formula>
    </cfRule>
  </conditionalFormatting>
  <conditionalFormatting sqref="G87">
    <cfRule type="cellIs" dxfId="3405" priority="26" operator="between">
      <formula>13</formula>
      <formula>15.9999</formula>
    </cfRule>
    <cfRule type="cellIs" dxfId="3404" priority="27" operator="between">
      <formula>10</formula>
      <formula>12.9999</formula>
    </cfRule>
    <cfRule type="cellIs" dxfId="3403" priority="28" operator="between">
      <formula>7</formula>
      <formula>9.9999</formula>
    </cfRule>
    <cfRule type="cellIs" dxfId="3402" priority="29" operator="between">
      <formula>4</formula>
      <formula>6.9999</formula>
    </cfRule>
    <cfRule type="cellIs" dxfId="3401" priority="30" operator="between">
      <formula>0.1</formula>
      <formula>3.9999</formula>
    </cfRule>
  </conditionalFormatting>
  <conditionalFormatting sqref="I87">
    <cfRule type="cellIs" dxfId="3400" priority="21" operator="equal">
      <formula>"Improving"</formula>
    </cfRule>
    <cfRule type="cellIs" dxfId="3399" priority="22" operator="equal">
      <formula>"Optimising"</formula>
    </cfRule>
    <cfRule type="cellIs" dxfId="3398" priority="23" operator="equal">
      <formula>"Proactive"</formula>
    </cfRule>
    <cfRule type="cellIs" dxfId="3397" priority="24" operator="equal">
      <formula>"Reactive"</formula>
    </cfRule>
    <cfRule type="cellIs" dxfId="3396" priority="25" operator="equal">
      <formula>"No Formal Approach"</formula>
    </cfRule>
  </conditionalFormatting>
  <conditionalFormatting sqref="G94">
    <cfRule type="cellIs" dxfId="3395" priority="16" operator="between">
      <formula>13</formula>
      <formula>15.9999</formula>
    </cfRule>
    <cfRule type="cellIs" dxfId="3394" priority="17" operator="between">
      <formula>10</formula>
      <formula>12.9999</formula>
    </cfRule>
    <cfRule type="cellIs" dxfId="3393" priority="18" operator="between">
      <formula>7</formula>
      <formula>9.9999</formula>
    </cfRule>
    <cfRule type="cellIs" dxfId="3392" priority="19" operator="between">
      <formula>4</formula>
      <formula>6.9999</formula>
    </cfRule>
    <cfRule type="cellIs" dxfId="3391" priority="20" operator="between">
      <formula>0.1</formula>
      <formula>3.9999</formula>
    </cfRule>
  </conditionalFormatting>
  <conditionalFormatting sqref="I94">
    <cfRule type="cellIs" dxfId="3390" priority="11" operator="equal">
      <formula>"Improving"</formula>
    </cfRule>
    <cfRule type="cellIs" dxfId="3389" priority="12" operator="equal">
      <formula>"Optimising"</formula>
    </cfRule>
    <cfRule type="cellIs" dxfId="3388" priority="13" operator="equal">
      <formula>"Proactive"</formula>
    </cfRule>
    <cfRule type="cellIs" dxfId="3387" priority="14" operator="equal">
      <formula>"Reactive"</formula>
    </cfRule>
    <cfRule type="cellIs" dxfId="3386" priority="15" operator="equal">
      <formula>"No Formal Approach"</formula>
    </cfRule>
  </conditionalFormatting>
  <conditionalFormatting sqref="G95:G100">
    <cfRule type="cellIs" dxfId="3385" priority="6" operator="between">
      <formula>13</formula>
      <formula>15.9999</formula>
    </cfRule>
    <cfRule type="cellIs" dxfId="3384" priority="7" operator="between">
      <formula>10</formula>
      <formula>12.9999</formula>
    </cfRule>
    <cfRule type="cellIs" dxfId="3383" priority="8" operator="between">
      <formula>7</formula>
      <formula>9.9999</formula>
    </cfRule>
    <cfRule type="cellIs" dxfId="3382" priority="9" operator="between">
      <formula>4</formula>
      <formula>6.9999</formula>
    </cfRule>
    <cfRule type="cellIs" dxfId="3381" priority="10" operator="between">
      <formula>0.1</formula>
      <formula>3.9999</formula>
    </cfRule>
  </conditionalFormatting>
  <conditionalFormatting sqref="I95:I100">
    <cfRule type="cellIs" dxfId="3380" priority="1" operator="equal">
      <formula>"Improving"</formula>
    </cfRule>
    <cfRule type="cellIs" dxfId="3379" priority="2" operator="equal">
      <formula>"Optimising"</formula>
    </cfRule>
    <cfRule type="cellIs" dxfId="3378" priority="3" operator="equal">
      <formula>"Proactive"</formula>
    </cfRule>
    <cfRule type="cellIs" dxfId="3377" priority="4" operator="equal">
      <formula>"Reactive"</formula>
    </cfRule>
    <cfRule type="cellIs" dxfId="337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10" width="10.44140625" style="42"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1'!K15</f>
        <v>Subject 4</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3375" priority="236" operator="between">
      <formula>13</formula>
      <formula>15.9999</formula>
    </cfRule>
    <cfRule type="cellIs" dxfId="3374" priority="237" operator="between">
      <formula>10</formula>
      <formula>12.9999</formula>
    </cfRule>
    <cfRule type="cellIs" dxfId="3373" priority="238" operator="between">
      <formula>7</formula>
      <formula>9.9999</formula>
    </cfRule>
    <cfRule type="cellIs" dxfId="3372" priority="239" operator="between">
      <formula>4</formula>
      <formula>6.9999</formula>
    </cfRule>
    <cfRule type="cellIs" dxfId="3371" priority="240" operator="between">
      <formula>0.1</formula>
      <formula>3.9999</formula>
    </cfRule>
  </conditionalFormatting>
  <conditionalFormatting sqref="I5">
    <cfRule type="cellIs" dxfId="3370" priority="231" operator="equal">
      <formula>"Improving"</formula>
    </cfRule>
    <cfRule type="cellIs" dxfId="3369" priority="232" operator="equal">
      <formula>"Optimising"</formula>
    </cfRule>
    <cfRule type="cellIs" dxfId="3368" priority="233" operator="equal">
      <formula>"Proactive"</formula>
    </cfRule>
    <cfRule type="cellIs" dxfId="3367" priority="234" operator="equal">
      <formula>"Reactive"</formula>
    </cfRule>
    <cfRule type="cellIs" dxfId="3366" priority="235" operator="equal">
      <formula>"No Formal Approach"</formula>
    </cfRule>
  </conditionalFormatting>
  <conditionalFormatting sqref="G6:G12">
    <cfRule type="cellIs" dxfId="3365" priority="226" operator="between">
      <formula>13</formula>
      <formula>15.9999</formula>
    </cfRule>
    <cfRule type="cellIs" dxfId="3364" priority="227" operator="between">
      <formula>10</formula>
      <formula>12.9999</formula>
    </cfRule>
    <cfRule type="cellIs" dxfId="3363" priority="228" operator="between">
      <formula>7</formula>
      <formula>9.9999</formula>
    </cfRule>
    <cfRule type="cellIs" dxfId="3362" priority="229" operator="between">
      <formula>4</formula>
      <formula>6.9999</formula>
    </cfRule>
    <cfRule type="cellIs" dxfId="3361" priority="230" operator="between">
      <formula>0.1</formula>
      <formula>3.9999</formula>
    </cfRule>
  </conditionalFormatting>
  <conditionalFormatting sqref="G14:G35">
    <cfRule type="cellIs" dxfId="3360" priority="221" operator="between">
      <formula>13</formula>
      <formula>15.9999</formula>
    </cfRule>
    <cfRule type="cellIs" dxfId="3359" priority="222" operator="between">
      <formula>10</formula>
      <formula>12.9999</formula>
    </cfRule>
    <cfRule type="cellIs" dxfId="3358" priority="223" operator="between">
      <formula>7</formula>
      <formula>9.9999</formula>
    </cfRule>
    <cfRule type="cellIs" dxfId="3357" priority="224" operator="between">
      <formula>4</formula>
      <formula>6.9999</formula>
    </cfRule>
    <cfRule type="cellIs" dxfId="3356" priority="225" operator="between">
      <formula>0.1</formula>
      <formula>3.9999</formula>
    </cfRule>
  </conditionalFormatting>
  <conditionalFormatting sqref="G37:G42">
    <cfRule type="cellIs" dxfId="3355" priority="216" operator="between">
      <formula>13</formula>
      <formula>15.9999</formula>
    </cfRule>
    <cfRule type="cellIs" dxfId="3354" priority="217" operator="between">
      <formula>10</formula>
      <formula>12.9999</formula>
    </cfRule>
    <cfRule type="cellIs" dxfId="3353" priority="218" operator="between">
      <formula>7</formula>
      <formula>9.9999</formula>
    </cfRule>
    <cfRule type="cellIs" dxfId="3352" priority="219" operator="between">
      <formula>4</formula>
      <formula>6.9999</formula>
    </cfRule>
    <cfRule type="cellIs" dxfId="3351" priority="220" operator="between">
      <formula>0.1</formula>
      <formula>3.9999</formula>
    </cfRule>
  </conditionalFormatting>
  <conditionalFormatting sqref="G44:G51">
    <cfRule type="cellIs" dxfId="3350" priority="211" operator="between">
      <formula>13</formula>
      <formula>15.9999</formula>
    </cfRule>
    <cfRule type="cellIs" dxfId="3349" priority="212" operator="between">
      <formula>10</formula>
      <formula>12.9999</formula>
    </cfRule>
    <cfRule type="cellIs" dxfId="3348" priority="213" operator="between">
      <formula>7</formula>
      <formula>9.9999</formula>
    </cfRule>
    <cfRule type="cellIs" dxfId="3347" priority="214" operator="between">
      <formula>4</formula>
      <formula>6.9999</formula>
    </cfRule>
    <cfRule type="cellIs" dxfId="3346" priority="215" operator="between">
      <formula>0.1</formula>
      <formula>3.9999</formula>
    </cfRule>
  </conditionalFormatting>
  <conditionalFormatting sqref="G53:G58">
    <cfRule type="cellIs" dxfId="3345" priority="206" operator="between">
      <formula>13</formula>
      <formula>15.9999</formula>
    </cfRule>
    <cfRule type="cellIs" dxfId="3344" priority="207" operator="between">
      <formula>10</formula>
      <formula>12.9999</formula>
    </cfRule>
    <cfRule type="cellIs" dxfId="3343" priority="208" operator="between">
      <formula>7</formula>
      <formula>9.9999</formula>
    </cfRule>
    <cfRule type="cellIs" dxfId="3342" priority="209" operator="between">
      <formula>4</formula>
      <formula>6.9999</formula>
    </cfRule>
    <cfRule type="cellIs" dxfId="3341" priority="210" operator="between">
      <formula>0.1</formula>
      <formula>3.9999</formula>
    </cfRule>
  </conditionalFormatting>
  <conditionalFormatting sqref="G60:G62">
    <cfRule type="cellIs" dxfId="3340" priority="201" operator="between">
      <formula>13</formula>
      <formula>15.9999</formula>
    </cfRule>
    <cfRule type="cellIs" dxfId="3339" priority="202" operator="between">
      <formula>10</formula>
      <formula>12.9999</formula>
    </cfRule>
    <cfRule type="cellIs" dxfId="3338" priority="203" operator="between">
      <formula>7</formula>
      <formula>9.9999</formula>
    </cfRule>
    <cfRule type="cellIs" dxfId="3337" priority="204" operator="between">
      <formula>4</formula>
      <formula>6.9999</formula>
    </cfRule>
    <cfRule type="cellIs" dxfId="3336" priority="205" operator="between">
      <formula>0.1</formula>
      <formula>3.9999</formula>
    </cfRule>
  </conditionalFormatting>
  <conditionalFormatting sqref="G64:G65">
    <cfRule type="cellIs" dxfId="3335" priority="196" operator="between">
      <formula>13</formula>
      <formula>15.9999</formula>
    </cfRule>
    <cfRule type="cellIs" dxfId="3334" priority="197" operator="between">
      <formula>10</formula>
      <formula>12.9999</formula>
    </cfRule>
    <cfRule type="cellIs" dxfId="3333" priority="198" operator="between">
      <formula>7</formula>
      <formula>9.9999</formula>
    </cfRule>
    <cfRule type="cellIs" dxfId="3332" priority="199" operator="between">
      <formula>4</formula>
      <formula>6.9999</formula>
    </cfRule>
    <cfRule type="cellIs" dxfId="3331" priority="200" operator="between">
      <formula>0.1</formula>
      <formula>3.9999</formula>
    </cfRule>
  </conditionalFormatting>
  <conditionalFormatting sqref="G67:G72">
    <cfRule type="cellIs" dxfId="3330" priority="191" operator="between">
      <formula>13</formula>
      <formula>15.9999</formula>
    </cfRule>
    <cfRule type="cellIs" dxfId="3329" priority="192" operator="between">
      <formula>10</formula>
      <formula>12.9999</formula>
    </cfRule>
    <cfRule type="cellIs" dxfId="3328" priority="193" operator="between">
      <formula>7</formula>
      <formula>9.9999</formula>
    </cfRule>
    <cfRule type="cellIs" dxfId="3327" priority="194" operator="between">
      <formula>4</formula>
      <formula>6.9999</formula>
    </cfRule>
    <cfRule type="cellIs" dxfId="3326" priority="195" operator="between">
      <formula>0.1</formula>
      <formula>3.9999</formula>
    </cfRule>
  </conditionalFormatting>
  <conditionalFormatting sqref="G74:G79">
    <cfRule type="cellIs" dxfId="3325" priority="186" operator="between">
      <formula>13</formula>
      <formula>15.9999</formula>
    </cfRule>
    <cfRule type="cellIs" dxfId="3324" priority="187" operator="between">
      <formula>10</formula>
      <formula>12.9999</formula>
    </cfRule>
    <cfRule type="cellIs" dxfId="3323" priority="188" operator="between">
      <formula>7</formula>
      <formula>9.9999</formula>
    </cfRule>
    <cfRule type="cellIs" dxfId="3322" priority="189" operator="between">
      <formula>4</formula>
      <formula>6.9999</formula>
    </cfRule>
    <cfRule type="cellIs" dxfId="3321" priority="190" operator="between">
      <formula>0.1</formula>
      <formula>3.9999</formula>
    </cfRule>
  </conditionalFormatting>
  <conditionalFormatting sqref="G81:G86">
    <cfRule type="cellIs" dxfId="3320" priority="181" operator="between">
      <formula>13</formula>
      <formula>15.9999</formula>
    </cfRule>
    <cfRule type="cellIs" dxfId="3319" priority="182" operator="between">
      <formula>10</formula>
      <formula>12.9999</formula>
    </cfRule>
    <cfRule type="cellIs" dxfId="3318" priority="183" operator="between">
      <formula>7</formula>
      <formula>9.9999</formula>
    </cfRule>
    <cfRule type="cellIs" dxfId="3317" priority="184" operator="between">
      <formula>4</formula>
      <formula>6.9999</formula>
    </cfRule>
    <cfRule type="cellIs" dxfId="3316" priority="185" operator="between">
      <formula>0.1</formula>
      <formula>3.9999</formula>
    </cfRule>
  </conditionalFormatting>
  <conditionalFormatting sqref="G88:G93">
    <cfRule type="cellIs" dxfId="3315" priority="176" operator="between">
      <formula>13</formula>
      <formula>15.9999</formula>
    </cfRule>
    <cfRule type="cellIs" dxfId="3314" priority="177" operator="between">
      <formula>10</formula>
      <formula>12.9999</formula>
    </cfRule>
    <cfRule type="cellIs" dxfId="3313" priority="178" operator="between">
      <formula>7</formula>
      <formula>9.9999</formula>
    </cfRule>
    <cfRule type="cellIs" dxfId="3312" priority="179" operator="between">
      <formula>4</formula>
      <formula>6.9999</formula>
    </cfRule>
    <cfRule type="cellIs" dxfId="3311" priority="180" operator="between">
      <formula>0.1</formula>
      <formula>3.9999</formula>
    </cfRule>
  </conditionalFormatting>
  <conditionalFormatting sqref="I6:I12">
    <cfRule type="cellIs" dxfId="3310" priority="171" operator="equal">
      <formula>"Improving"</formula>
    </cfRule>
    <cfRule type="cellIs" dxfId="3309" priority="172" operator="equal">
      <formula>"Optimising"</formula>
    </cfRule>
    <cfRule type="cellIs" dxfId="3308" priority="173" operator="equal">
      <formula>"Proactive"</formula>
    </cfRule>
    <cfRule type="cellIs" dxfId="3307" priority="174" operator="equal">
      <formula>"Reactive"</formula>
    </cfRule>
    <cfRule type="cellIs" dxfId="3306" priority="175" operator="equal">
      <formula>"No Formal Approach"</formula>
    </cfRule>
  </conditionalFormatting>
  <conditionalFormatting sqref="I14:I35">
    <cfRule type="cellIs" dxfId="3305" priority="166" operator="equal">
      <formula>"Improving"</formula>
    </cfRule>
    <cfRule type="cellIs" dxfId="3304" priority="167" operator="equal">
      <formula>"Optimising"</formula>
    </cfRule>
    <cfRule type="cellIs" dxfId="3303" priority="168" operator="equal">
      <formula>"Proactive"</formula>
    </cfRule>
    <cfRule type="cellIs" dxfId="3302" priority="169" operator="equal">
      <formula>"Reactive"</formula>
    </cfRule>
    <cfRule type="cellIs" dxfId="3301" priority="170" operator="equal">
      <formula>"No Formal Approach"</formula>
    </cfRule>
  </conditionalFormatting>
  <conditionalFormatting sqref="I37:I42">
    <cfRule type="cellIs" dxfId="3300" priority="161" operator="equal">
      <formula>"Improving"</formula>
    </cfRule>
    <cfRule type="cellIs" dxfId="3299" priority="162" operator="equal">
      <formula>"Optimising"</formula>
    </cfRule>
    <cfRule type="cellIs" dxfId="3298" priority="163" operator="equal">
      <formula>"Proactive"</formula>
    </cfRule>
    <cfRule type="cellIs" dxfId="3297" priority="164" operator="equal">
      <formula>"Reactive"</formula>
    </cfRule>
    <cfRule type="cellIs" dxfId="3296" priority="165" operator="equal">
      <formula>"No Formal Approach"</formula>
    </cfRule>
  </conditionalFormatting>
  <conditionalFormatting sqref="I44:I51">
    <cfRule type="cellIs" dxfId="3295" priority="156" operator="equal">
      <formula>"Improving"</formula>
    </cfRule>
    <cfRule type="cellIs" dxfId="3294" priority="157" operator="equal">
      <formula>"Optimising"</formula>
    </cfRule>
    <cfRule type="cellIs" dxfId="3293" priority="158" operator="equal">
      <formula>"Proactive"</formula>
    </cfRule>
    <cfRule type="cellIs" dxfId="3292" priority="159" operator="equal">
      <formula>"Reactive"</formula>
    </cfRule>
    <cfRule type="cellIs" dxfId="3291" priority="160" operator="equal">
      <formula>"No Formal Approach"</formula>
    </cfRule>
  </conditionalFormatting>
  <conditionalFormatting sqref="I53:I58">
    <cfRule type="cellIs" dxfId="3290" priority="151" operator="equal">
      <formula>"Improving"</formula>
    </cfRule>
    <cfRule type="cellIs" dxfId="3289" priority="152" operator="equal">
      <formula>"Optimising"</formula>
    </cfRule>
    <cfRule type="cellIs" dxfId="3288" priority="153" operator="equal">
      <formula>"Proactive"</formula>
    </cfRule>
    <cfRule type="cellIs" dxfId="3287" priority="154" operator="equal">
      <formula>"Reactive"</formula>
    </cfRule>
    <cfRule type="cellIs" dxfId="3286" priority="155" operator="equal">
      <formula>"No Formal Approach"</formula>
    </cfRule>
  </conditionalFormatting>
  <conditionalFormatting sqref="I60:I62">
    <cfRule type="cellIs" dxfId="3285" priority="146" operator="equal">
      <formula>"Improving"</formula>
    </cfRule>
    <cfRule type="cellIs" dxfId="3284" priority="147" operator="equal">
      <formula>"Optimising"</formula>
    </cfRule>
    <cfRule type="cellIs" dxfId="3283" priority="148" operator="equal">
      <formula>"Proactive"</formula>
    </cfRule>
    <cfRule type="cellIs" dxfId="3282" priority="149" operator="equal">
      <formula>"Reactive"</formula>
    </cfRule>
    <cfRule type="cellIs" dxfId="3281" priority="150" operator="equal">
      <formula>"No Formal Approach"</formula>
    </cfRule>
  </conditionalFormatting>
  <conditionalFormatting sqref="I64:I65">
    <cfRule type="cellIs" dxfId="3280" priority="141" operator="equal">
      <formula>"Improving"</formula>
    </cfRule>
    <cfRule type="cellIs" dxfId="3279" priority="142" operator="equal">
      <formula>"Optimising"</formula>
    </cfRule>
    <cfRule type="cellIs" dxfId="3278" priority="143" operator="equal">
      <formula>"Proactive"</formula>
    </cfRule>
    <cfRule type="cellIs" dxfId="3277" priority="144" operator="equal">
      <formula>"Reactive"</formula>
    </cfRule>
    <cfRule type="cellIs" dxfId="3276" priority="145" operator="equal">
      <formula>"No Formal Approach"</formula>
    </cfRule>
  </conditionalFormatting>
  <conditionalFormatting sqref="I67:I72">
    <cfRule type="cellIs" dxfId="3275" priority="136" operator="equal">
      <formula>"Improving"</formula>
    </cfRule>
    <cfRule type="cellIs" dxfId="3274" priority="137" operator="equal">
      <formula>"Optimising"</formula>
    </cfRule>
    <cfRule type="cellIs" dxfId="3273" priority="138" operator="equal">
      <formula>"Proactive"</formula>
    </cfRule>
    <cfRule type="cellIs" dxfId="3272" priority="139" operator="equal">
      <formula>"Reactive"</formula>
    </cfRule>
    <cfRule type="cellIs" dxfId="3271" priority="140" operator="equal">
      <formula>"No Formal Approach"</formula>
    </cfRule>
  </conditionalFormatting>
  <conditionalFormatting sqref="I74:I79">
    <cfRule type="cellIs" dxfId="3270" priority="131" operator="equal">
      <formula>"Improving"</formula>
    </cfRule>
    <cfRule type="cellIs" dxfId="3269" priority="132" operator="equal">
      <formula>"Optimising"</formula>
    </cfRule>
    <cfRule type="cellIs" dxfId="3268" priority="133" operator="equal">
      <formula>"Proactive"</formula>
    </cfRule>
    <cfRule type="cellIs" dxfId="3267" priority="134" operator="equal">
      <formula>"Reactive"</formula>
    </cfRule>
    <cfRule type="cellIs" dxfId="3266" priority="135" operator="equal">
      <formula>"No Formal Approach"</formula>
    </cfRule>
  </conditionalFormatting>
  <conditionalFormatting sqref="I81:I86">
    <cfRule type="cellIs" dxfId="3265" priority="126" operator="equal">
      <formula>"Improving"</formula>
    </cfRule>
    <cfRule type="cellIs" dxfId="3264" priority="127" operator="equal">
      <formula>"Optimising"</formula>
    </cfRule>
    <cfRule type="cellIs" dxfId="3263" priority="128" operator="equal">
      <formula>"Proactive"</formula>
    </cfRule>
    <cfRule type="cellIs" dxfId="3262" priority="129" operator="equal">
      <formula>"Reactive"</formula>
    </cfRule>
    <cfRule type="cellIs" dxfId="3261" priority="130" operator="equal">
      <formula>"No Formal Approach"</formula>
    </cfRule>
  </conditionalFormatting>
  <conditionalFormatting sqref="I88:I93">
    <cfRule type="cellIs" dxfId="3260" priority="121" operator="equal">
      <formula>"Improving"</formula>
    </cfRule>
    <cfRule type="cellIs" dxfId="3259" priority="122" operator="equal">
      <formula>"Optimising"</formula>
    </cfRule>
    <cfRule type="cellIs" dxfId="3258" priority="123" operator="equal">
      <formula>"Proactive"</formula>
    </cfRule>
    <cfRule type="cellIs" dxfId="3257" priority="124" operator="equal">
      <formula>"Reactive"</formula>
    </cfRule>
    <cfRule type="cellIs" dxfId="3256" priority="125" operator="equal">
      <formula>"No Formal Approach"</formula>
    </cfRule>
  </conditionalFormatting>
  <conditionalFormatting sqref="G13">
    <cfRule type="cellIs" dxfId="3255" priority="116" operator="between">
      <formula>13</formula>
      <formula>15.9999</formula>
    </cfRule>
    <cfRule type="cellIs" dxfId="3254" priority="117" operator="between">
      <formula>10</formula>
      <formula>12.9999</formula>
    </cfRule>
    <cfRule type="cellIs" dxfId="3253" priority="118" operator="between">
      <formula>7</formula>
      <formula>9.9999</formula>
    </cfRule>
    <cfRule type="cellIs" dxfId="3252" priority="119" operator="between">
      <formula>4</formula>
      <formula>6.9999</formula>
    </cfRule>
    <cfRule type="cellIs" dxfId="3251" priority="120" operator="between">
      <formula>0.1</formula>
      <formula>3.9999</formula>
    </cfRule>
  </conditionalFormatting>
  <conditionalFormatting sqref="I13">
    <cfRule type="cellIs" dxfId="3250" priority="111" operator="equal">
      <formula>"Improving"</formula>
    </cfRule>
    <cfRule type="cellIs" dxfId="3249" priority="112" operator="equal">
      <formula>"Optimising"</formula>
    </cfRule>
    <cfRule type="cellIs" dxfId="3248" priority="113" operator="equal">
      <formula>"Proactive"</formula>
    </cfRule>
    <cfRule type="cellIs" dxfId="3247" priority="114" operator="equal">
      <formula>"Reactive"</formula>
    </cfRule>
    <cfRule type="cellIs" dxfId="3246" priority="115" operator="equal">
      <formula>"No Formal Approach"</formula>
    </cfRule>
  </conditionalFormatting>
  <conditionalFormatting sqref="G36">
    <cfRule type="cellIs" dxfId="3245" priority="106" operator="between">
      <formula>13</formula>
      <formula>15.9999</formula>
    </cfRule>
    <cfRule type="cellIs" dxfId="3244" priority="107" operator="between">
      <formula>10</formula>
      <formula>12.9999</formula>
    </cfRule>
    <cfRule type="cellIs" dxfId="3243" priority="108" operator="between">
      <formula>7</formula>
      <formula>9.9999</formula>
    </cfRule>
    <cfRule type="cellIs" dxfId="3242" priority="109" operator="between">
      <formula>4</formula>
      <formula>6.9999</formula>
    </cfRule>
    <cfRule type="cellIs" dxfId="3241" priority="110" operator="between">
      <formula>0.1</formula>
      <formula>3.9999</formula>
    </cfRule>
  </conditionalFormatting>
  <conditionalFormatting sqref="I36">
    <cfRule type="cellIs" dxfId="3240" priority="101" operator="equal">
      <formula>"Improving"</formula>
    </cfRule>
    <cfRule type="cellIs" dxfId="3239" priority="102" operator="equal">
      <formula>"Optimising"</formula>
    </cfRule>
    <cfRule type="cellIs" dxfId="3238" priority="103" operator="equal">
      <formula>"Proactive"</formula>
    </cfRule>
    <cfRule type="cellIs" dxfId="3237" priority="104" operator="equal">
      <formula>"Reactive"</formula>
    </cfRule>
    <cfRule type="cellIs" dxfId="3236" priority="105" operator="equal">
      <formula>"No Formal Approach"</formula>
    </cfRule>
  </conditionalFormatting>
  <conditionalFormatting sqref="G43">
    <cfRule type="cellIs" dxfId="3235" priority="96" operator="between">
      <formula>13</formula>
      <formula>15.9999</formula>
    </cfRule>
    <cfRule type="cellIs" dxfId="3234" priority="97" operator="between">
      <formula>10</formula>
      <formula>12.9999</formula>
    </cfRule>
    <cfRule type="cellIs" dxfId="3233" priority="98" operator="between">
      <formula>7</formula>
      <formula>9.9999</formula>
    </cfRule>
    <cfRule type="cellIs" dxfId="3232" priority="99" operator="between">
      <formula>4</formula>
      <formula>6.9999</formula>
    </cfRule>
    <cfRule type="cellIs" dxfId="3231" priority="100" operator="between">
      <formula>0.1</formula>
      <formula>3.9999</formula>
    </cfRule>
  </conditionalFormatting>
  <conditionalFormatting sqref="I43">
    <cfRule type="cellIs" dxfId="3230" priority="91" operator="equal">
      <formula>"Improving"</formula>
    </cfRule>
    <cfRule type="cellIs" dxfId="3229" priority="92" operator="equal">
      <formula>"Optimising"</formula>
    </cfRule>
    <cfRule type="cellIs" dxfId="3228" priority="93" operator="equal">
      <formula>"Proactive"</formula>
    </cfRule>
    <cfRule type="cellIs" dxfId="3227" priority="94" operator="equal">
      <formula>"Reactive"</formula>
    </cfRule>
    <cfRule type="cellIs" dxfId="3226" priority="95" operator="equal">
      <formula>"No Formal Approach"</formula>
    </cfRule>
  </conditionalFormatting>
  <conditionalFormatting sqref="G52">
    <cfRule type="cellIs" dxfId="3225" priority="86" operator="between">
      <formula>13</formula>
      <formula>15.9999</formula>
    </cfRule>
    <cfRule type="cellIs" dxfId="3224" priority="87" operator="between">
      <formula>10</formula>
      <formula>12.9999</formula>
    </cfRule>
    <cfRule type="cellIs" dxfId="3223" priority="88" operator="between">
      <formula>7</formula>
      <formula>9.9999</formula>
    </cfRule>
    <cfRule type="cellIs" dxfId="3222" priority="89" operator="between">
      <formula>4</formula>
      <formula>6.9999</formula>
    </cfRule>
    <cfRule type="cellIs" dxfId="3221" priority="90" operator="between">
      <formula>0.1</formula>
      <formula>3.9999</formula>
    </cfRule>
  </conditionalFormatting>
  <conditionalFormatting sqref="I52">
    <cfRule type="cellIs" dxfId="3220" priority="81" operator="equal">
      <formula>"Improving"</formula>
    </cfRule>
    <cfRule type="cellIs" dxfId="3219" priority="82" operator="equal">
      <formula>"Optimising"</formula>
    </cfRule>
    <cfRule type="cellIs" dxfId="3218" priority="83" operator="equal">
      <formula>"Proactive"</formula>
    </cfRule>
    <cfRule type="cellIs" dxfId="3217" priority="84" operator="equal">
      <formula>"Reactive"</formula>
    </cfRule>
    <cfRule type="cellIs" dxfId="3216" priority="85" operator="equal">
      <formula>"No Formal Approach"</formula>
    </cfRule>
  </conditionalFormatting>
  <conditionalFormatting sqref="G59">
    <cfRule type="cellIs" dxfId="3215" priority="76" operator="between">
      <formula>13</formula>
      <formula>15.9999</formula>
    </cfRule>
    <cfRule type="cellIs" dxfId="3214" priority="77" operator="between">
      <formula>10</formula>
      <formula>12.9999</formula>
    </cfRule>
    <cfRule type="cellIs" dxfId="3213" priority="78" operator="between">
      <formula>7</formula>
      <formula>9.9999</formula>
    </cfRule>
    <cfRule type="cellIs" dxfId="3212" priority="79" operator="between">
      <formula>4</formula>
      <formula>6.9999</formula>
    </cfRule>
    <cfRule type="cellIs" dxfId="3211" priority="80" operator="between">
      <formula>0.1</formula>
      <formula>3.9999</formula>
    </cfRule>
  </conditionalFormatting>
  <conditionalFormatting sqref="I59">
    <cfRule type="cellIs" dxfId="3210" priority="71" operator="equal">
      <formula>"Improving"</formula>
    </cfRule>
    <cfRule type="cellIs" dxfId="3209" priority="72" operator="equal">
      <formula>"Optimising"</formula>
    </cfRule>
    <cfRule type="cellIs" dxfId="3208" priority="73" operator="equal">
      <formula>"Proactive"</formula>
    </cfRule>
    <cfRule type="cellIs" dxfId="3207" priority="74" operator="equal">
      <formula>"Reactive"</formula>
    </cfRule>
    <cfRule type="cellIs" dxfId="3206" priority="75" operator="equal">
      <formula>"No Formal Approach"</formula>
    </cfRule>
  </conditionalFormatting>
  <conditionalFormatting sqref="G63">
    <cfRule type="cellIs" dxfId="3205" priority="66" operator="between">
      <formula>13</formula>
      <formula>15.9999</formula>
    </cfRule>
    <cfRule type="cellIs" dxfId="3204" priority="67" operator="between">
      <formula>10</formula>
      <formula>12.9999</formula>
    </cfRule>
    <cfRule type="cellIs" dxfId="3203" priority="68" operator="between">
      <formula>7</formula>
      <formula>9.9999</formula>
    </cfRule>
    <cfRule type="cellIs" dxfId="3202" priority="69" operator="between">
      <formula>4</formula>
      <formula>6.9999</formula>
    </cfRule>
    <cfRule type="cellIs" dxfId="3201" priority="70" operator="between">
      <formula>0.1</formula>
      <formula>3.9999</formula>
    </cfRule>
  </conditionalFormatting>
  <conditionalFormatting sqref="I63">
    <cfRule type="cellIs" dxfId="3200" priority="61" operator="equal">
      <formula>"Improving"</formula>
    </cfRule>
    <cfRule type="cellIs" dxfId="3199" priority="62" operator="equal">
      <formula>"Optimising"</formula>
    </cfRule>
    <cfRule type="cellIs" dxfId="3198" priority="63" operator="equal">
      <formula>"Proactive"</formula>
    </cfRule>
    <cfRule type="cellIs" dxfId="3197" priority="64" operator="equal">
      <formula>"Reactive"</formula>
    </cfRule>
    <cfRule type="cellIs" dxfId="3196" priority="65" operator="equal">
      <formula>"No Formal Approach"</formula>
    </cfRule>
  </conditionalFormatting>
  <conditionalFormatting sqref="G66">
    <cfRule type="cellIs" dxfId="3195" priority="56" operator="between">
      <formula>13</formula>
      <formula>15.9999</formula>
    </cfRule>
    <cfRule type="cellIs" dxfId="3194" priority="57" operator="between">
      <formula>10</formula>
      <formula>12.9999</formula>
    </cfRule>
    <cfRule type="cellIs" dxfId="3193" priority="58" operator="between">
      <formula>7</formula>
      <formula>9.9999</formula>
    </cfRule>
    <cfRule type="cellIs" dxfId="3192" priority="59" operator="between">
      <formula>4</formula>
      <formula>6.9999</formula>
    </cfRule>
    <cfRule type="cellIs" dxfId="3191" priority="60" operator="between">
      <formula>0.1</formula>
      <formula>3.9999</formula>
    </cfRule>
  </conditionalFormatting>
  <conditionalFormatting sqref="I66">
    <cfRule type="cellIs" dxfId="3190" priority="51" operator="equal">
      <formula>"Improving"</formula>
    </cfRule>
    <cfRule type="cellIs" dxfId="3189" priority="52" operator="equal">
      <formula>"Optimising"</formula>
    </cfRule>
    <cfRule type="cellIs" dxfId="3188" priority="53" operator="equal">
      <formula>"Proactive"</formula>
    </cfRule>
    <cfRule type="cellIs" dxfId="3187" priority="54" operator="equal">
      <formula>"Reactive"</formula>
    </cfRule>
    <cfRule type="cellIs" dxfId="3186" priority="55" operator="equal">
      <formula>"No Formal Approach"</formula>
    </cfRule>
  </conditionalFormatting>
  <conditionalFormatting sqref="G73">
    <cfRule type="cellIs" dxfId="3185" priority="46" operator="between">
      <formula>13</formula>
      <formula>15.9999</formula>
    </cfRule>
    <cfRule type="cellIs" dxfId="3184" priority="47" operator="between">
      <formula>10</formula>
      <formula>12.9999</formula>
    </cfRule>
    <cfRule type="cellIs" dxfId="3183" priority="48" operator="between">
      <formula>7</formula>
      <formula>9.9999</formula>
    </cfRule>
    <cfRule type="cellIs" dxfId="3182" priority="49" operator="between">
      <formula>4</formula>
      <formula>6.9999</formula>
    </cfRule>
    <cfRule type="cellIs" dxfId="3181" priority="50" operator="between">
      <formula>0.1</formula>
      <formula>3.9999</formula>
    </cfRule>
  </conditionalFormatting>
  <conditionalFormatting sqref="I73">
    <cfRule type="cellIs" dxfId="3180" priority="41" operator="equal">
      <formula>"Improving"</formula>
    </cfRule>
    <cfRule type="cellIs" dxfId="3179" priority="42" operator="equal">
      <formula>"Optimising"</formula>
    </cfRule>
    <cfRule type="cellIs" dxfId="3178" priority="43" operator="equal">
      <formula>"Proactive"</formula>
    </cfRule>
    <cfRule type="cellIs" dxfId="3177" priority="44" operator="equal">
      <formula>"Reactive"</formula>
    </cfRule>
    <cfRule type="cellIs" dxfId="3176" priority="45" operator="equal">
      <formula>"No Formal Approach"</formula>
    </cfRule>
  </conditionalFormatting>
  <conditionalFormatting sqref="G80">
    <cfRule type="cellIs" dxfId="3175" priority="36" operator="between">
      <formula>13</formula>
      <formula>15.9999</formula>
    </cfRule>
    <cfRule type="cellIs" dxfId="3174" priority="37" operator="between">
      <formula>10</formula>
      <formula>12.9999</formula>
    </cfRule>
    <cfRule type="cellIs" dxfId="3173" priority="38" operator="between">
      <formula>7</formula>
      <formula>9.9999</formula>
    </cfRule>
    <cfRule type="cellIs" dxfId="3172" priority="39" operator="between">
      <formula>4</formula>
      <formula>6.9999</formula>
    </cfRule>
    <cfRule type="cellIs" dxfId="3171" priority="40" operator="between">
      <formula>0.1</formula>
      <formula>3.9999</formula>
    </cfRule>
  </conditionalFormatting>
  <conditionalFormatting sqref="I80">
    <cfRule type="cellIs" dxfId="3170" priority="31" operator="equal">
      <formula>"Improving"</formula>
    </cfRule>
    <cfRule type="cellIs" dxfId="3169" priority="32" operator="equal">
      <formula>"Optimising"</formula>
    </cfRule>
    <cfRule type="cellIs" dxfId="3168" priority="33" operator="equal">
      <formula>"Proactive"</formula>
    </cfRule>
    <cfRule type="cellIs" dxfId="3167" priority="34" operator="equal">
      <formula>"Reactive"</formula>
    </cfRule>
    <cfRule type="cellIs" dxfId="3166" priority="35" operator="equal">
      <formula>"No Formal Approach"</formula>
    </cfRule>
  </conditionalFormatting>
  <conditionalFormatting sqref="G87">
    <cfRule type="cellIs" dxfId="3165" priority="26" operator="between">
      <formula>13</formula>
      <formula>15.9999</formula>
    </cfRule>
    <cfRule type="cellIs" dxfId="3164" priority="27" operator="between">
      <formula>10</formula>
      <formula>12.9999</formula>
    </cfRule>
    <cfRule type="cellIs" dxfId="3163" priority="28" operator="between">
      <formula>7</formula>
      <formula>9.9999</formula>
    </cfRule>
    <cfRule type="cellIs" dxfId="3162" priority="29" operator="between">
      <formula>4</formula>
      <formula>6.9999</formula>
    </cfRule>
    <cfRule type="cellIs" dxfId="3161" priority="30" operator="between">
      <formula>0.1</formula>
      <formula>3.9999</formula>
    </cfRule>
  </conditionalFormatting>
  <conditionalFormatting sqref="I87">
    <cfRule type="cellIs" dxfId="3160" priority="21" operator="equal">
      <formula>"Improving"</formula>
    </cfRule>
    <cfRule type="cellIs" dxfId="3159" priority="22" operator="equal">
      <formula>"Optimising"</formula>
    </cfRule>
    <cfRule type="cellIs" dxfId="3158" priority="23" operator="equal">
      <formula>"Proactive"</formula>
    </cfRule>
    <cfRule type="cellIs" dxfId="3157" priority="24" operator="equal">
      <formula>"Reactive"</formula>
    </cfRule>
    <cfRule type="cellIs" dxfId="3156" priority="25" operator="equal">
      <formula>"No Formal Approach"</formula>
    </cfRule>
  </conditionalFormatting>
  <conditionalFormatting sqref="G94">
    <cfRule type="cellIs" dxfId="3155" priority="16" operator="between">
      <formula>13</formula>
      <formula>15.9999</formula>
    </cfRule>
    <cfRule type="cellIs" dxfId="3154" priority="17" operator="between">
      <formula>10</formula>
      <formula>12.9999</formula>
    </cfRule>
    <cfRule type="cellIs" dxfId="3153" priority="18" operator="between">
      <formula>7</formula>
      <formula>9.9999</formula>
    </cfRule>
    <cfRule type="cellIs" dxfId="3152" priority="19" operator="between">
      <formula>4</formula>
      <formula>6.9999</formula>
    </cfRule>
    <cfRule type="cellIs" dxfId="3151" priority="20" operator="between">
      <formula>0.1</formula>
      <formula>3.9999</formula>
    </cfRule>
  </conditionalFormatting>
  <conditionalFormatting sqref="I94">
    <cfRule type="cellIs" dxfId="3150" priority="11" operator="equal">
      <formula>"Improving"</formula>
    </cfRule>
    <cfRule type="cellIs" dxfId="3149" priority="12" operator="equal">
      <formula>"Optimising"</formula>
    </cfRule>
    <cfRule type="cellIs" dxfId="3148" priority="13" operator="equal">
      <formula>"Proactive"</formula>
    </cfRule>
    <cfRule type="cellIs" dxfId="3147" priority="14" operator="equal">
      <formula>"Reactive"</formula>
    </cfRule>
    <cfRule type="cellIs" dxfId="3146" priority="15" operator="equal">
      <formula>"No Formal Approach"</formula>
    </cfRule>
  </conditionalFormatting>
  <conditionalFormatting sqref="G95:G100">
    <cfRule type="cellIs" dxfId="3145" priority="6" operator="between">
      <formula>13</formula>
      <formula>15.9999</formula>
    </cfRule>
    <cfRule type="cellIs" dxfId="3144" priority="7" operator="between">
      <formula>10</formula>
      <formula>12.9999</formula>
    </cfRule>
    <cfRule type="cellIs" dxfId="3143" priority="8" operator="between">
      <formula>7</formula>
      <formula>9.9999</formula>
    </cfRule>
    <cfRule type="cellIs" dxfId="3142" priority="9" operator="between">
      <formula>4</formula>
      <formula>6.9999</formula>
    </cfRule>
    <cfRule type="cellIs" dxfId="3141" priority="10" operator="between">
      <formula>0.1</formula>
      <formula>3.9999</formula>
    </cfRule>
  </conditionalFormatting>
  <conditionalFormatting sqref="I95:I100">
    <cfRule type="cellIs" dxfId="3140" priority="1" operator="equal">
      <formula>"Improving"</formula>
    </cfRule>
    <cfRule type="cellIs" dxfId="3139" priority="2" operator="equal">
      <formula>"Optimising"</formula>
    </cfRule>
    <cfRule type="cellIs" dxfId="3138" priority="3" operator="equal">
      <formula>"Proactive"</formula>
    </cfRule>
    <cfRule type="cellIs" dxfId="3137" priority="4" operator="equal">
      <formula>"Reactive"</formula>
    </cfRule>
    <cfRule type="cellIs" dxfId="313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1'!L15</f>
        <v>Subject 5</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3135" priority="236" operator="between">
      <formula>13</formula>
      <formula>15.9999</formula>
    </cfRule>
    <cfRule type="cellIs" dxfId="3134" priority="237" operator="between">
      <formula>10</formula>
      <formula>12.9999</formula>
    </cfRule>
    <cfRule type="cellIs" dxfId="3133" priority="238" operator="between">
      <formula>7</formula>
      <formula>9.9999</formula>
    </cfRule>
    <cfRule type="cellIs" dxfId="3132" priority="239" operator="between">
      <formula>4</formula>
      <formula>6.9999</formula>
    </cfRule>
    <cfRule type="cellIs" dxfId="3131" priority="240" operator="between">
      <formula>0.1</formula>
      <formula>3.9999</formula>
    </cfRule>
  </conditionalFormatting>
  <conditionalFormatting sqref="I5">
    <cfRule type="cellIs" dxfId="3130" priority="231" operator="equal">
      <formula>"Improving"</formula>
    </cfRule>
    <cfRule type="cellIs" dxfId="3129" priority="232" operator="equal">
      <formula>"Optimising"</formula>
    </cfRule>
    <cfRule type="cellIs" dxfId="3128" priority="233" operator="equal">
      <formula>"Proactive"</formula>
    </cfRule>
    <cfRule type="cellIs" dxfId="3127" priority="234" operator="equal">
      <formula>"Reactive"</formula>
    </cfRule>
    <cfRule type="cellIs" dxfId="3126" priority="235" operator="equal">
      <formula>"No Formal Approach"</formula>
    </cfRule>
  </conditionalFormatting>
  <conditionalFormatting sqref="G6:G12">
    <cfRule type="cellIs" dxfId="3125" priority="226" operator="between">
      <formula>13</formula>
      <formula>15.9999</formula>
    </cfRule>
    <cfRule type="cellIs" dxfId="3124" priority="227" operator="between">
      <formula>10</formula>
      <formula>12.9999</formula>
    </cfRule>
    <cfRule type="cellIs" dxfId="3123" priority="228" operator="between">
      <formula>7</formula>
      <formula>9.9999</formula>
    </cfRule>
    <cfRule type="cellIs" dxfId="3122" priority="229" operator="between">
      <formula>4</formula>
      <formula>6.9999</formula>
    </cfRule>
    <cfRule type="cellIs" dxfId="3121" priority="230" operator="between">
      <formula>0.1</formula>
      <formula>3.9999</formula>
    </cfRule>
  </conditionalFormatting>
  <conditionalFormatting sqref="G14:G35">
    <cfRule type="cellIs" dxfId="3120" priority="221" operator="between">
      <formula>13</formula>
      <formula>15.9999</formula>
    </cfRule>
    <cfRule type="cellIs" dxfId="3119" priority="222" operator="between">
      <formula>10</formula>
      <formula>12.9999</formula>
    </cfRule>
    <cfRule type="cellIs" dxfId="3118" priority="223" operator="between">
      <formula>7</formula>
      <formula>9.9999</formula>
    </cfRule>
    <cfRule type="cellIs" dxfId="3117" priority="224" operator="between">
      <formula>4</formula>
      <formula>6.9999</formula>
    </cfRule>
    <cfRule type="cellIs" dxfId="3116" priority="225" operator="between">
      <formula>0.1</formula>
      <formula>3.9999</formula>
    </cfRule>
  </conditionalFormatting>
  <conditionalFormatting sqref="G37:G42">
    <cfRule type="cellIs" dxfId="3115" priority="216" operator="between">
      <formula>13</formula>
      <formula>15.9999</formula>
    </cfRule>
    <cfRule type="cellIs" dxfId="3114" priority="217" operator="between">
      <formula>10</formula>
      <formula>12.9999</formula>
    </cfRule>
    <cfRule type="cellIs" dxfId="3113" priority="218" operator="between">
      <formula>7</formula>
      <formula>9.9999</formula>
    </cfRule>
    <cfRule type="cellIs" dxfId="3112" priority="219" operator="between">
      <formula>4</formula>
      <formula>6.9999</formula>
    </cfRule>
    <cfRule type="cellIs" dxfId="3111" priority="220" operator="between">
      <formula>0.1</formula>
      <formula>3.9999</formula>
    </cfRule>
  </conditionalFormatting>
  <conditionalFormatting sqref="G44:G51">
    <cfRule type="cellIs" dxfId="3110" priority="211" operator="between">
      <formula>13</formula>
      <formula>15.9999</formula>
    </cfRule>
    <cfRule type="cellIs" dxfId="3109" priority="212" operator="between">
      <formula>10</formula>
      <formula>12.9999</formula>
    </cfRule>
    <cfRule type="cellIs" dxfId="3108" priority="213" operator="between">
      <formula>7</formula>
      <formula>9.9999</formula>
    </cfRule>
    <cfRule type="cellIs" dxfId="3107" priority="214" operator="between">
      <formula>4</formula>
      <formula>6.9999</formula>
    </cfRule>
    <cfRule type="cellIs" dxfId="3106" priority="215" operator="between">
      <formula>0.1</formula>
      <formula>3.9999</formula>
    </cfRule>
  </conditionalFormatting>
  <conditionalFormatting sqref="G53:G58">
    <cfRule type="cellIs" dxfId="3105" priority="206" operator="between">
      <formula>13</formula>
      <formula>15.9999</formula>
    </cfRule>
    <cfRule type="cellIs" dxfId="3104" priority="207" operator="between">
      <formula>10</formula>
      <formula>12.9999</formula>
    </cfRule>
    <cfRule type="cellIs" dxfId="3103" priority="208" operator="between">
      <formula>7</formula>
      <formula>9.9999</formula>
    </cfRule>
    <cfRule type="cellIs" dxfId="3102" priority="209" operator="between">
      <formula>4</formula>
      <formula>6.9999</formula>
    </cfRule>
    <cfRule type="cellIs" dxfId="3101" priority="210" operator="between">
      <formula>0.1</formula>
      <formula>3.9999</formula>
    </cfRule>
  </conditionalFormatting>
  <conditionalFormatting sqref="G60:G62">
    <cfRule type="cellIs" dxfId="3100" priority="201" operator="between">
      <formula>13</formula>
      <formula>15.9999</formula>
    </cfRule>
    <cfRule type="cellIs" dxfId="3099" priority="202" operator="between">
      <formula>10</formula>
      <formula>12.9999</formula>
    </cfRule>
    <cfRule type="cellIs" dxfId="3098" priority="203" operator="between">
      <formula>7</formula>
      <formula>9.9999</formula>
    </cfRule>
    <cfRule type="cellIs" dxfId="3097" priority="204" operator="between">
      <formula>4</formula>
      <formula>6.9999</formula>
    </cfRule>
    <cfRule type="cellIs" dxfId="3096" priority="205" operator="between">
      <formula>0.1</formula>
      <formula>3.9999</formula>
    </cfRule>
  </conditionalFormatting>
  <conditionalFormatting sqref="G64:G65">
    <cfRule type="cellIs" dxfId="3095" priority="196" operator="between">
      <formula>13</formula>
      <formula>15.9999</formula>
    </cfRule>
    <cfRule type="cellIs" dxfId="3094" priority="197" operator="between">
      <formula>10</formula>
      <formula>12.9999</formula>
    </cfRule>
    <cfRule type="cellIs" dxfId="3093" priority="198" operator="between">
      <formula>7</formula>
      <formula>9.9999</formula>
    </cfRule>
    <cfRule type="cellIs" dxfId="3092" priority="199" operator="between">
      <formula>4</formula>
      <formula>6.9999</formula>
    </cfRule>
    <cfRule type="cellIs" dxfId="3091" priority="200" operator="between">
      <formula>0.1</formula>
      <formula>3.9999</formula>
    </cfRule>
  </conditionalFormatting>
  <conditionalFormatting sqref="G67:G72">
    <cfRule type="cellIs" dxfId="3090" priority="191" operator="between">
      <formula>13</formula>
      <formula>15.9999</formula>
    </cfRule>
    <cfRule type="cellIs" dxfId="3089" priority="192" operator="between">
      <formula>10</formula>
      <formula>12.9999</formula>
    </cfRule>
    <cfRule type="cellIs" dxfId="3088" priority="193" operator="between">
      <formula>7</formula>
      <formula>9.9999</formula>
    </cfRule>
    <cfRule type="cellIs" dxfId="3087" priority="194" operator="between">
      <formula>4</formula>
      <formula>6.9999</formula>
    </cfRule>
    <cfRule type="cellIs" dxfId="3086" priority="195" operator="between">
      <formula>0.1</formula>
      <formula>3.9999</formula>
    </cfRule>
  </conditionalFormatting>
  <conditionalFormatting sqref="G74:G79">
    <cfRule type="cellIs" dxfId="3085" priority="186" operator="between">
      <formula>13</formula>
      <formula>15.9999</formula>
    </cfRule>
    <cfRule type="cellIs" dxfId="3084" priority="187" operator="between">
      <formula>10</formula>
      <formula>12.9999</formula>
    </cfRule>
    <cfRule type="cellIs" dxfId="3083" priority="188" operator="between">
      <formula>7</formula>
      <formula>9.9999</formula>
    </cfRule>
    <cfRule type="cellIs" dxfId="3082" priority="189" operator="between">
      <formula>4</formula>
      <formula>6.9999</formula>
    </cfRule>
    <cfRule type="cellIs" dxfId="3081" priority="190" operator="between">
      <formula>0.1</formula>
      <formula>3.9999</formula>
    </cfRule>
  </conditionalFormatting>
  <conditionalFormatting sqref="G81:G86">
    <cfRule type="cellIs" dxfId="3080" priority="181" operator="between">
      <formula>13</formula>
      <formula>15.9999</formula>
    </cfRule>
    <cfRule type="cellIs" dxfId="3079" priority="182" operator="between">
      <formula>10</formula>
      <formula>12.9999</formula>
    </cfRule>
    <cfRule type="cellIs" dxfId="3078" priority="183" operator="between">
      <formula>7</formula>
      <formula>9.9999</formula>
    </cfRule>
    <cfRule type="cellIs" dxfId="3077" priority="184" operator="between">
      <formula>4</formula>
      <formula>6.9999</formula>
    </cfRule>
    <cfRule type="cellIs" dxfId="3076" priority="185" operator="between">
      <formula>0.1</formula>
      <formula>3.9999</formula>
    </cfRule>
  </conditionalFormatting>
  <conditionalFormatting sqref="G88:G93">
    <cfRule type="cellIs" dxfId="3075" priority="176" operator="between">
      <formula>13</formula>
      <formula>15.9999</formula>
    </cfRule>
    <cfRule type="cellIs" dxfId="3074" priority="177" operator="between">
      <formula>10</formula>
      <formula>12.9999</formula>
    </cfRule>
    <cfRule type="cellIs" dxfId="3073" priority="178" operator="between">
      <formula>7</formula>
      <formula>9.9999</formula>
    </cfRule>
    <cfRule type="cellIs" dxfId="3072" priority="179" operator="between">
      <formula>4</formula>
      <formula>6.9999</formula>
    </cfRule>
    <cfRule type="cellIs" dxfId="3071" priority="180" operator="between">
      <formula>0.1</formula>
      <formula>3.9999</formula>
    </cfRule>
  </conditionalFormatting>
  <conditionalFormatting sqref="I6:I12">
    <cfRule type="cellIs" dxfId="3070" priority="171" operator="equal">
      <formula>"Improving"</formula>
    </cfRule>
    <cfRule type="cellIs" dxfId="3069" priority="172" operator="equal">
      <formula>"Optimising"</formula>
    </cfRule>
    <cfRule type="cellIs" dxfId="3068" priority="173" operator="equal">
      <formula>"Proactive"</formula>
    </cfRule>
    <cfRule type="cellIs" dxfId="3067" priority="174" operator="equal">
      <formula>"Reactive"</formula>
    </cfRule>
    <cfRule type="cellIs" dxfId="3066" priority="175" operator="equal">
      <formula>"No Formal Approach"</formula>
    </cfRule>
  </conditionalFormatting>
  <conditionalFormatting sqref="I14:I35">
    <cfRule type="cellIs" dxfId="3065" priority="166" operator="equal">
      <formula>"Improving"</formula>
    </cfRule>
    <cfRule type="cellIs" dxfId="3064" priority="167" operator="equal">
      <formula>"Optimising"</formula>
    </cfRule>
    <cfRule type="cellIs" dxfId="3063" priority="168" operator="equal">
      <formula>"Proactive"</formula>
    </cfRule>
    <cfRule type="cellIs" dxfId="3062" priority="169" operator="equal">
      <formula>"Reactive"</formula>
    </cfRule>
    <cfRule type="cellIs" dxfId="3061" priority="170" operator="equal">
      <formula>"No Formal Approach"</formula>
    </cfRule>
  </conditionalFormatting>
  <conditionalFormatting sqref="I37:I42">
    <cfRule type="cellIs" dxfId="3060" priority="161" operator="equal">
      <formula>"Improving"</formula>
    </cfRule>
    <cfRule type="cellIs" dxfId="3059" priority="162" operator="equal">
      <formula>"Optimising"</formula>
    </cfRule>
    <cfRule type="cellIs" dxfId="3058" priority="163" operator="equal">
      <formula>"Proactive"</formula>
    </cfRule>
    <cfRule type="cellIs" dxfId="3057" priority="164" operator="equal">
      <formula>"Reactive"</formula>
    </cfRule>
    <cfRule type="cellIs" dxfId="3056" priority="165" operator="equal">
      <formula>"No Formal Approach"</formula>
    </cfRule>
  </conditionalFormatting>
  <conditionalFormatting sqref="I44:I51">
    <cfRule type="cellIs" dxfId="3055" priority="156" operator="equal">
      <formula>"Improving"</formula>
    </cfRule>
    <cfRule type="cellIs" dxfId="3054" priority="157" operator="equal">
      <formula>"Optimising"</formula>
    </cfRule>
    <cfRule type="cellIs" dxfId="3053" priority="158" operator="equal">
      <formula>"Proactive"</formula>
    </cfRule>
    <cfRule type="cellIs" dxfId="3052" priority="159" operator="equal">
      <formula>"Reactive"</formula>
    </cfRule>
    <cfRule type="cellIs" dxfId="3051" priority="160" operator="equal">
      <formula>"No Formal Approach"</formula>
    </cfRule>
  </conditionalFormatting>
  <conditionalFormatting sqref="I53:I58">
    <cfRule type="cellIs" dxfId="3050" priority="151" operator="equal">
      <formula>"Improving"</formula>
    </cfRule>
    <cfRule type="cellIs" dxfId="3049" priority="152" operator="equal">
      <formula>"Optimising"</formula>
    </cfRule>
    <cfRule type="cellIs" dxfId="3048" priority="153" operator="equal">
      <formula>"Proactive"</formula>
    </cfRule>
    <cfRule type="cellIs" dxfId="3047" priority="154" operator="equal">
      <formula>"Reactive"</formula>
    </cfRule>
    <cfRule type="cellIs" dxfId="3046" priority="155" operator="equal">
      <formula>"No Formal Approach"</formula>
    </cfRule>
  </conditionalFormatting>
  <conditionalFormatting sqref="I60:I62">
    <cfRule type="cellIs" dxfId="3045" priority="146" operator="equal">
      <formula>"Improving"</formula>
    </cfRule>
    <cfRule type="cellIs" dxfId="3044" priority="147" operator="equal">
      <formula>"Optimising"</formula>
    </cfRule>
    <cfRule type="cellIs" dxfId="3043" priority="148" operator="equal">
      <formula>"Proactive"</formula>
    </cfRule>
    <cfRule type="cellIs" dxfId="3042" priority="149" operator="equal">
      <formula>"Reactive"</formula>
    </cfRule>
    <cfRule type="cellIs" dxfId="3041" priority="150" operator="equal">
      <formula>"No Formal Approach"</formula>
    </cfRule>
  </conditionalFormatting>
  <conditionalFormatting sqref="I64:I65">
    <cfRule type="cellIs" dxfId="3040" priority="141" operator="equal">
      <formula>"Improving"</formula>
    </cfRule>
    <cfRule type="cellIs" dxfId="3039" priority="142" operator="equal">
      <formula>"Optimising"</formula>
    </cfRule>
    <cfRule type="cellIs" dxfId="3038" priority="143" operator="equal">
      <formula>"Proactive"</formula>
    </cfRule>
    <cfRule type="cellIs" dxfId="3037" priority="144" operator="equal">
      <formula>"Reactive"</formula>
    </cfRule>
    <cfRule type="cellIs" dxfId="3036" priority="145" operator="equal">
      <formula>"No Formal Approach"</formula>
    </cfRule>
  </conditionalFormatting>
  <conditionalFormatting sqref="I67:I72">
    <cfRule type="cellIs" dxfId="3035" priority="136" operator="equal">
      <formula>"Improving"</formula>
    </cfRule>
    <cfRule type="cellIs" dxfId="3034" priority="137" operator="equal">
      <formula>"Optimising"</formula>
    </cfRule>
    <cfRule type="cellIs" dxfId="3033" priority="138" operator="equal">
      <formula>"Proactive"</formula>
    </cfRule>
    <cfRule type="cellIs" dxfId="3032" priority="139" operator="equal">
      <formula>"Reactive"</formula>
    </cfRule>
    <cfRule type="cellIs" dxfId="3031" priority="140" operator="equal">
      <formula>"No Formal Approach"</formula>
    </cfRule>
  </conditionalFormatting>
  <conditionalFormatting sqref="I74:I79">
    <cfRule type="cellIs" dxfId="3030" priority="131" operator="equal">
      <formula>"Improving"</formula>
    </cfRule>
    <cfRule type="cellIs" dxfId="3029" priority="132" operator="equal">
      <formula>"Optimising"</formula>
    </cfRule>
    <cfRule type="cellIs" dxfId="3028" priority="133" operator="equal">
      <formula>"Proactive"</formula>
    </cfRule>
    <cfRule type="cellIs" dxfId="3027" priority="134" operator="equal">
      <formula>"Reactive"</formula>
    </cfRule>
    <cfRule type="cellIs" dxfId="3026" priority="135" operator="equal">
      <formula>"No Formal Approach"</formula>
    </cfRule>
  </conditionalFormatting>
  <conditionalFormatting sqref="I81:I86">
    <cfRule type="cellIs" dxfId="3025" priority="126" operator="equal">
      <formula>"Improving"</formula>
    </cfRule>
    <cfRule type="cellIs" dxfId="3024" priority="127" operator="equal">
      <formula>"Optimising"</formula>
    </cfRule>
    <cfRule type="cellIs" dxfId="3023" priority="128" operator="equal">
      <formula>"Proactive"</formula>
    </cfRule>
    <cfRule type="cellIs" dxfId="3022" priority="129" operator="equal">
      <formula>"Reactive"</formula>
    </cfRule>
    <cfRule type="cellIs" dxfId="3021" priority="130" operator="equal">
      <formula>"No Formal Approach"</formula>
    </cfRule>
  </conditionalFormatting>
  <conditionalFormatting sqref="I88:I93">
    <cfRule type="cellIs" dxfId="3020" priority="121" operator="equal">
      <formula>"Improving"</formula>
    </cfRule>
    <cfRule type="cellIs" dxfId="3019" priority="122" operator="equal">
      <formula>"Optimising"</formula>
    </cfRule>
    <cfRule type="cellIs" dxfId="3018" priority="123" operator="equal">
      <formula>"Proactive"</formula>
    </cfRule>
    <cfRule type="cellIs" dxfId="3017" priority="124" operator="equal">
      <formula>"Reactive"</formula>
    </cfRule>
    <cfRule type="cellIs" dxfId="3016" priority="125" operator="equal">
      <formula>"No Formal Approach"</formula>
    </cfRule>
  </conditionalFormatting>
  <conditionalFormatting sqref="G13">
    <cfRule type="cellIs" dxfId="3015" priority="116" operator="between">
      <formula>13</formula>
      <formula>15.9999</formula>
    </cfRule>
    <cfRule type="cellIs" dxfId="3014" priority="117" operator="between">
      <formula>10</formula>
      <formula>12.9999</formula>
    </cfRule>
    <cfRule type="cellIs" dxfId="3013" priority="118" operator="between">
      <formula>7</formula>
      <formula>9.9999</formula>
    </cfRule>
    <cfRule type="cellIs" dxfId="3012" priority="119" operator="between">
      <formula>4</formula>
      <formula>6.9999</formula>
    </cfRule>
    <cfRule type="cellIs" dxfId="3011" priority="120" operator="between">
      <formula>0.1</formula>
      <formula>3.9999</formula>
    </cfRule>
  </conditionalFormatting>
  <conditionalFormatting sqref="I13">
    <cfRule type="cellIs" dxfId="3010" priority="111" operator="equal">
      <formula>"Improving"</formula>
    </cfRule>
    <cfRule type="cellIs" dxfId="3009" priority="112" operator="equal">
      <formula>"Optimising"</formula>
    </cfRule>
    <cfRule type="cellIs" dxfId="3008" priority="113" operator="equal">
      <formula>"Proactive"</formula>
    </cfRule>
    <cfRule type="cellIs" dxfId="3007" priority="114" operator="equal">
      <formula>"Reactive"</formula>
    </cfRule>
    <cfRule type="cellIs" dxfId="3006" priority="115" operator="equal">
      <formula>"No Formal Approach"</formula>
    </cfRule>
  </conditionalFormatting>
  <conditionalFormatting sqref="G36">
    <cfRule type="cellIs" dxfId="3005" priority="106" operator="between">
      <formula>13</formula>
      <formula>15.9999</formula>
    </cfRule>
    <cfRule type="cellIs" dxfId="3004" priority="107" operator="between">
      <formula>10</formula>
      <formula>12.9999</formula>
    </cfRule>
    <cfRule type="cellIs" dxfId="3003" priority="108" operator="between">
      <formula>7</formula>
      <formula>9.9999</formula>
    </cfRule>
    <cfRule type="cellIs" dxfId="3002" priority="109" operator="between">
      <formula>4</formula>
      <formula>6.9999</formula>
    </cfRule>
    <cfRule type="cellIs" dxfId="3001" priority="110" operator="between">
      <formula>0.1</formula>
      <formula>3.9999</formula>
    </cfRule>
  </conditionalFormatting>
  <conditionalFormatting sqref="I36">
    <cfRule type="cellIs" dxfId="3000" priority="101" operator="equal">
      <formula>"Improving"</formula>
    </cfRule>
    <cfRule type="cellIs" dxfId="2999" priority="102" operator="equal">
      <formula>"Optimising"</formula>
    </cfRule>
    <cfRule type="cellIs" dxfId="2998" priority="103" operator="equal">
      <formula>"Proactive"</formula>
    </cfRule>
    <cfRule type="cellIs" dxfId="2997" priority="104" operator="equal">
      <formula>"Reactive"</formula>
    </cfRule>
    <cfRule type="cellIs" dxfId="2996" priority="105" operator="equal">
      <formula>"No Formal Approach"</formula>
    </cfRule>
  </conditionalFormatting>
  <conditionalFormatting sqref="G43">
    <cfRule type="cellIs" dxfId="2995" priority="96" operator="between">
      <formula>13</formula>
      <formula>15.9999</formula>
    </cfRule>
    <cfRule type="cellIs" dxfId="2994" priority="97" operator="between">
      <formula>10</formula>
      <formula>12.9999</formula>
    </cfRule>
    <cfRule type="cellIs" dxfId="2993" priority="98" operator="between">
      <formula>7</formula>
      <formula>9.9999</formula>
    </cfRule>
    <cfRule type="cellIs" dxfId="2992" priority="99" operator="between">
      <formula>4</formula>
      <formula>6.9999</formula>
    </cfRule>
    <cfRule type="cellIs" dxfId="2991" priority="100" operator="between">
      <formula>0.1</formula>
      <formula>3.9999</formula>
    </cfRule>
  </conditionalFormatting>
  <conditionalFormatting sqref="I43">
    <cfRule type="cellIs" dxfId="2990" priority="91" operator="equal">
      <formula>"Improving"</formula>
    </cfRule>
    <cfRule type="cellIs" dxfId="2989" priority="92" operator="equal">
      <formula>"Optimising"</formula>
    </cfRule>
    <cfRule type="cellIs" dxfId="2988" priority="93" operator="equal">
      <formula>"Proactive"</formula>
    </cfRule>
    <cfRule type="cellIs" dxfId="2987" priority="94" operator="equal">
      <formula>"Reactive"</formula>
    </cfRule>
    <cfRule type="cellIs" dxfId="2986" priority="95" operator="equal">
      <formula>"No Formal Approach"</formula>
    </cfRule>
  </conditionalFormatting>
  <conditionalFormatting sqref="G52">
    <cfRule type="cellIs" dxfId="2985" priority="86" operator="between">
      <formula>13</formula>
      <formula>15.9999</formula>
    </cfRule>
    <cfRule type="cellIs" dxfId="2984" priority="87" operator="between">
      <formula>10</formula>
      <formula>12.9999</formula>
    </cfRule>
    <cfRule type="cellIs" dxfId="2983" priority="88" operator="between">
      <formula>7</formula>
      <formula>9.9999</formula>
    </cfRule>
    <cfRule type="cellIs" dxfId="2982" priority="89" operator="between">
      <formula>4</formula>
      <formula>6.9999</formula>
    </cfRule>
    <cfRule type="cellIs" dxfId="2981" priority="90" operator="between">
      <formula>0.1</formula>
      <formula>3.9999</formula>
    </cfRule>
  </conditionalFormatting>
  <conditionalFormatting sqref="I52">
    <cfRule type="cellIs" dxfId="2980" priority="81" operator="equal">
      <formula>"Improving"</formula>
    </cfRule>
    <cfRule type="cellIs" dxfId="2979" priority="82" operator="equal">
      <formula>"Optimising"</formula>
    </cfRule>
    <cfRule type="cellIs" dxfId="2978" priority="83" operator="equal">
      <formula>"Proactive"</formula>
    </cfRule>
    <cfRule type="cellIs" dxfId="2977" priority="84" operator="equal">
      <formula>"Reactive"</formula>
    </cfRule>
    <cfRule type="cellIs" dxfId="2976" priority="85" operator="equal">
      <formula>"No Formal Approach"</formula>
    </cfRule>
  </conditionalFormatting>
  <conditionalFormatting sqref="G59">
    <cfRule type="cellIs" dxfId="2975" priority="76" operator="between">
      <formula>13</formula>
      <formula>15.9999</formula>
    </cfRule>
    <cfRule type="cellIs" dxfId="2974" priority="77" operator="between">
      <formula>10</formula>
      <formula>12.9999</formula>
    </cfRule>
    <cfRule type="cellIs" dxfId="2973" priority="78" operator="between">
      <formula>7</formula>
      <formula>9.9999</formula>
    </cfRule>
    <cfRule type="cellIs" dxfId="2972" priority="79" operator="between">
      <formula>4</formula>
      <formula>6.9999</formula>
    </cfRule>
    <cfRule type="cellIs" dxfId="2971" priority="80" operator="between">
      <formula>0.1</formula>
      <formula>3.9999</formula>
    </cfRule>
  </conditionalFormatting>
  <conditionalFormatting sqref="I59">
    <cfRule type="cellIs" dxfId="2970" priority="71" operator="equal">
      <formula>"Improving"</formula>
    </cfRule>
    <cfRule type="cellIs" dxfId="2969" priority="72" operator="equal">
      <formula>"Optimising"</formula>
    </cfRule>
    <cfRule type="cellIs" dxfId="2968" priority="73" operator="equal">
      <formula>"Proactive"</formula>
    </cfRule>
    <cfRule type="cellIs" dxfId="2967" priority="74" operator="equal">
      <formula>"Reactive"</formula>
    </cfRule>
    <cfRule type="cellIs" dxfId="2966" priority="75" operator="equal">
      <formula>"No Formal Approach"</formula>
    </cfRule>
  </conditionalFormatting>
  <conditionalFormatting sqref="G63">
    <cfRule type="cellIs" dxfId="2965" priority="66" operator="between">
      <formula>13</formula>
      <formula>15.9999</formula>
    </cfRule>
    <cfRule type="cellIs" dxfId="2964" priority="67" operator="between">
      <formula>10</formula>
      <formula>12.9999</formula>
    </cfRule>
    <cfRule type="cellIs" dxfId="2963" priority="68" operator="between">
      <formula>7</formula>
      <formula>9.9999</formula>
    </cfRule>
    <cfRule type="cellIs" dxfId="2962" priority="69" operator="between">
      <formula>4</formula>
      <formula>6.9999</formula>
    </cfRule>
    <cfRule type="cellIs" dxfId="2961" priority="70" operator="between">
      <formula>0.1</formula>
      <formula>3.9999</formula>
    </cfRule>
  </conditionalFormatting>
  <conditionalFormatting sqref="I63">
    <cfRule type="cellIs" dxfId="2960" priority="61" operator="equal">
      <formula>"Improving"</formula>
    </cfRule>
    <cfRule type="cellIs" dxfId="2959" priority="62" operator="equal">
      <formula>"Optimising"</formula>
    </cfRule>
    <cfRule type="cellIs" dxfId="2958" priority="63" operator="equal">
      <formula>"Proactive"</formula>
    </cfRule>
    <cfRule type="cellIs" dxfId="2957" priority="64" operator="equal">
      <formula>"Reactive"</formula>
    </cfRule>
    <cfRule type="cellIs" dxfId="2956" priority="65" operator="equal">
      <formula>"No Formal Approach"</formula>
    </cfRule>
  </conditionalFormatting>
  <conditionalFormatting sqref="G66">
    <cfRule type="cellIs" dxfId="2955" priority="56" operator="between">
      <formula>13</formula>
      <formula>15.9999</formula>
    </cfRule>
    <cfRule type="cellIs" dxfId="2954" priority="57" operator="between">
      <formula>10</formula>
      <formula>12.9999</formula>
    </cfRule>
    <cfRule type="cellIs" dxfId="2953" priority="58" operator="between">
      <formula>7</formula>
      <formula>9.9999</formula>
    </cfRule>
    <cfRule type="cellIs" dxfId="2952" priority="59" operator="between">
      <formula>4</formula>
      <formula>6.9999</formula>
    </cfRule>
    <cfRule type="cellIs" dxfId="2951" priority="60" operator="between">
      <formula>0.1</formula>
      <formula>3.9999</formula>
    </cfRule>
  </conditionalFormatting>
  <conditionalFormatting sqref="I66">
    <cfRule type="cellIs" dxfId="2950" priority="51" operator="equal">
      <formula>"Improving"</formula>
    </cfRule>
    <cfRule type="cellIs" dxfId="2949" priority="52" operator="equal">
      <formula>"Optimising"</formula>
    </cfRule>
    <cfRule type="cellIs" dxfId="2948" priority="53" operator="equal">
      <formula>"Proactive"</formula>
    </cfRule>
    <cfRule type="cellIs" dxfId="2947" priority="54" operator="equal">
      <formula>"Reactive"</formula>
    </cfRule>
    <cfRule type="cellIs" dxfId="2946" priority="55" operator="equal">
      <formula>"No Formal Approach"</formula>
    </cfRule>
  </conditionalFormatting>
  <conditionalFormatting sqref="G73">
    <cfRule type="cellIs" dxfId="2945" priority="46" operator="between">
      <formula>13</formula>
      <formula>15.9999</formula>
    </cfRule>
    <cfRule type="cellIs" dxfId="2944" priority="47" operator="between">
      <formula>10</formula>
      <formula>12.9999</formula>
    </cfRule>
    <cfRule type="cellIs" dxfId="2943" priority="48" operator="between">
      <formula>7</formula>
      <formula>9.9999</formula>
    </cfRule>
    <cfRule type="cellIs" dxfId="2942" priority="49" operator="between">
      <formula>4</formula>
      <formula>6.9999</formula>
    </cfRule>
    <cfRule type="cellIs" dxfId="2941" priority="50" operator="between">
      <formula>0.1</formula>
      <formula>3.9999</formula>
    </cfRule>
  </conditionalFormatting>
  <conditionalFormatting sqref="I73">
    <cfRule type="cellIs" dxfId="2940" priority="41" operator="equal">
      <formula>"Improving"</formula>
    </cfRule>
    <cfRule type="cellIs" dxfId="2939" priority="42" operator="equal">
      <formula>"Optimising"</formula>
    </cfRule>
    <cfRule type="cellIs" dxfId="2938" priority="43" operator="equal">
      <formula>"Proactive"</formula>
    </cfRule>
    <cfRule type="cellIs" dxfId="2937" priority="44" operator="equal">
      <formula>"Reactive"</formula>
    </cfRule>
    <cfRule type="cellIs" dxfId="2936" priority="45" operator="equal">
      <formula>"No Formal Approach"</formula>
    </cfRule>
  </conditionalFormatting>
  <conditionalFormatting sqref="G80">
    <cfRule type="cellIs" dxfId="2935" priority="36" operator="between">
      <formula>13</formula>
      <formula>15.9999</formula>
    </cfRule>
    <cfRule type="cellIs" dxfId="2934" priority="37" operator="between">
      <formula>10</formula>
      <formula>12.9999</formula>
    </cfRule>
    <cfRule type="cellIs" dxfId="2933" priority="38" operator="between">
      <formula>7</formula>
      <formula>9.9999</formula>
    </cfRule>
    <cfRule type="cellIs" dxfId="2932" priority="39" operator="between">
      <formula>4</formula>
      <formula>6.9999</formula>
    </cfRule>
    <cfRule type="cellIs" dxfId="2931" priority="40" operator="between">
      <formula>0.1</formula>
      <formula>3.9999</formula>
    </cfRule>
  </conditionalFormatting>
  <conditionalFormatting sqref="I80">
    <cfRule type="cellIs" dxfId="2930" priority="31" operator="equal">
      <formula>"Improving"</formula>
    </cfRule>
    <cfRule type="cellIs" dxfId="2929" priority="32" operator="equal">
      <formula>"Optimising"</formula>
    </cfRule>
    <cfRule type="cellIs" dxfId="2928" priority="33" operator="equal">
      <formula>"Proactive"</formula>
    </cfRule>
    <cfRule type="cellIs" dxfId="2927" priority="34" operator="equal">
      <formula>"Reactive"</formula>
    </cfRule>
    <cfRule type="cellIs" dxfId="2926" priority="35" operator="equal">
      <formula>"No Formal Approach"</formula>
    </cfRule>
  </conditionalFormatting>
  <conditionalFormatting sqref="G87">
    <cfRule type="cellIs" dxfId="2925" priority="26" operator="between">
      <formula>13</formula>
      <formula>15.9999</formula>
    </cfRule>
    <cfRule type="cellIs" dxfId="2924" priority="27" operator="between">
      <formula>10</formula>
      <formula>12.9999</formula>
    </cfRule>
    <cfRule type="cellIs" dxfId="2923" priority="28" operator="between">
      <formula>7</formula>
      <formula>9.9999</formula>
    </cfRule>
    <cfRule type="cellIs" dxfId="2922" priority="29" operator="between">
      <formula>4</formula>
      <formula>6.9999</formula>
    </cfRule>
    <cfRule type="cellIs" dxfId="2921" priority="30" operator="between">
      <formula>0.1</formula>
      <formula>3.9999</formula>
    </cfRule>
  </conditionalFormatting>
  <conditionalFormatting sqref="I87">
    <cfRule type="cellIs" dxfId="2920" priority="21" operator="equal">
      <formula>"Improving"</formula>
    </cfRule>
    <cfRule type="cellIs" dxfId="2919" priority="22" operator="equal">
      <formula>"Optimising"</formula>
    </cfRule>
    <cfRule type="cellIs" dxfId="2918" priority="23" operator="equal">
      <formula>"Proactive"</formula>
    </cfRule>
    <cfRule type="cellIs" dxfId="2917" priority="24" operator="equal">
      <formula>"Reactive"</formula>
    </cfRule>
    <cfRule type="cellIs" dxfId="2916" priority="25" operator="equal">
      <formula>"No Formal Approach"</formula>
    </cfRule>
  </conditionalFormatting>
  <conditionalFormatting sqref="G94">
    <cfRule type="cellIs" dxfId="2915" priority="16" operator="between">
      <formula>13</formula>
      <formula>15.9999</formula>
    </cfRule>
    <cfRule type="cellIs" dxfId="2914" priority="17" operator="between">
      <formula>10</formula>
      <formula>12.9999</formula>
    </cfRule>
    <cfRule type="cellIs" dxfId="2913" priority="18" operator="between">
      <formula>7</formula>
      <formula>9.9999</formula>
    </cfRule>
    <cfRule type="cellIs" dxfId="2912" priority="19" operator="between">
      <formula>4</formula>
      <formula>6.9999</formula>
    </cfRule>
    <cfRule type="cellIs" dxfId="2911" priority="20" operator="between">
      <formula>0.1</formula>
      <formula>3.9999</formula>
    </cfRule>
  </conditionalFormatting>
  <conditionalFormatting sqref="I94">
    <cfRule type="cellIs" dxfId="2910" priority="11" operator="equal">
      <formula>"Improving"</formula>
    </cfRule>
    <cfRule type="cellIs" dxfId="2909" priority="12" operator="equal">
      <formula>"Optimising"</formula>
    </cfRule>
    <cfRule type="cellIs" dxfId="2908" priority="13" operator="equal">
      <formula>"Proactive"</formula>
    </cfRule>
    <cfRule type="cellIs" dxfId="2907" priority="14" operator="equal">
      <formula>"Reactive"</formula>
    </cfRule>
    <cfRule type="cellIs" dxfId="2906" priority="15" operator="equal">
      <formula>"No Formal Approach"</formula>
    </cfRule>
  </conditionalFormatting>
  <conditionalFormatting sqref="G95:G100">
    <cfRule type="cellIs" dxfId="2905" priority="6" operator="between">
      <formula>13</formula>
      <formula>15.9999</formula>
    </cfRule>
    <cfRule type="cellIs" dxfId="2904" priority="7" operator="between">
      <formula>10</formula>
      <formula>12.9999</formula>
    </cfRule>
    <cfRule type="cellIs" dxfId="2903" priority="8" operator="between">
      <formula>7</formula>
      <formula>9.9999</formula>
    </cfRule>
    <cfRule type="cellIs" dxfId="2902" priority="9" operator="between">
      <formula>4</formula>
      <formula>6.9999</formula>
    </cfRule>
    <cfRule type="cellIs" dxfId="2901" priority="10" operator="between">
      <formula>0.1</formula>
      <formula>3.9999</formula>
    </cfRule>
  </conditionalFormatting>
  <conditionalFormatting sqref="I95:I100">
    <cfRule type="cellIs" dxfId="2900" priority="1" operator="equal">
      <formula>"Improving"</formula>
    </cfRule>
    <cfRule type="cellIs" dxfId="2899" priority="2" operator="equal">
      <formula>"Optimising"</formula>
    </cfRule>
    <cfRule type="cellIs" dxfId="2898" priority="3" operator="equal">
      <formula>"Proactive"</formula>
    </cfRule>
    <cfRule type="cellIs" dxfId="2897" priority="4" operator="equal">
      <formula>"Reactive"</formula>
    </cfRule>
    <cfRule type="cellIs" dxfId="289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1'!M15</f>
        <v>Subject 6</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2895" priority="236" operator="between">
      <formula>13</formula>
      <formula>15.9999</formula>
    </cfRule>
    <cfRule type="cellIs" dxfId="2894" priority="237" operator="between">
      <formula>10</formula>
      <formula>12.9999</formula>
    </cfRule>
    <cfRule type="cellIs" dxfId="2893" priority="238" operator="between">
      <formula>7</formula>
      <formula>9.9999</formula>
    </cfRule>
    <cfRule type="cellIs" dxfId="2892" priority="239" operator="between">
      <formula>4</formula>
      <formula>6.9999</formula>
    </cfRule>
    <cfRule type="cellIs" dxfId="2891" priority="240" operator="between">
      <formula>0.1</formula>
      <formula>3.9999</formula>
    </cfRule>
  </conditionalFormatting>
  <conditionalFormatting sqref="I5">
    <cfRule type="cellIs" dxfId="2890" priority="231" operator="equal">
      <formula>"Improving"</formula>
    </cfRule>
    <cfRule type="cellIs" dxfId="2889" priority="232" operator="equal">
      <formula>"Optimising"</formula>
    </cfRule>
    <cfRule type="cellIs" dxfId="2888" priority="233" operator="equal">
      <formula>"Proactive"</formula>
    </cfRule>
    <cfRule type="cellIs" dxfId="2887" priority="234" operator="equal">
      <formula>"Reactive"</formula>
    </cfRule>
    <cfRule type="cellIs" dxfId="2886" priority="235" operator="equal">
      <formula>"No Formal Approach"</formula>
    </cfRule>
  </conditionalFormatting>
  <conditionalFormatting sqref="G6:G12">
    <cfRule type="cellIs" dxfId="2885" priority="226" operator="between">
      <formula>13</formula>
      <formula>15.9999</formula>
    </cfRule>
    <cfRule type="cellIs" dxfId="2884" priority="227" operator="between">
      <formula>10</formula>
      <formula>12.9999</formula>
    </cfRule>
    <cfRule type="cellIs" dxfId="2883" priority="228" operator="between">
      <formula>7</formula>
      <formula>9.9999</formula>
    </cfRule>
    <cfRule type="cellIs" dxfId="2882" priority="229" operator="between">
      <formula>4</formula>
      <formula>6.9999</formula>
    </cfRule>
    <cfRule type="cellIs" dxfId="2881" priority="230" operator="between">
      <formula>0.1</formula>
      <formula>3.9999</formula>
    </cfRule>
  </conditionalFormatting>
  <conditionalFormatting sqref="G14:G35">
    <cfRule type="cellIs" dxfId="2880" priority="221" operator="between">
      <formula>13</formula>
      <formula>15.9999</formula>
    </cfRule>
    <cfRule type="cellIs" dxfId="2879" priority="222" operator="between">
      <formula>10</formula>
      <formula>12.9999</formula>
    </cfRule>
    <cfRule type="cellIs" dxfId="2878" priority="223" operator="between">
      <formula>7</formula>
      <formula>9.9999</formula>
    </cfRule>
    <cfRule type="cellIs" dxfId="2877" priority="224" operator="between">
      <formula>4</formula>
      <formula>6.9999</formula>
    </cfRule>
    <cfRule type="cellIs" dxfId="2876" priority="225" operator="between">
      <formula>0.1</formula>
      <formula>3.9999</formula>
    </cfRule>
  </conditionalFormatting>
  <conditionalFormatting sqref="G37:G42">
    <cfRule type="cellIs" dxfId="2875" priority="216" operator="between">
      <formula>13</formula>
      <formula>15.9999</formula>
    </cfRule>
    <cfRule type="cellIs" dxfId="2874" priority="217" operator="between">
      <formula>10</formula>
      <formula>12.9999</formula>
    </cfRule>
    <cfRule type="cellIs" dxfId="2873" priority="218" operator="between">
      <formula>7</formula>
      <formula>9.9999</formula>
    </cfRule>
    <cfRule type="cellIs" dxfId="2872" priority="219" operator="between">
      <formula>4</formula>
      <formula>6.9999</formula>
    </cfRule>
    <cfRule type="cellIs" dxfId="2871" priority="220" operator="between">
      <formula>0.1</formula>
      <formula>3.9999</formula>
    </cfRule>
  </conditionalFormatting>
  <conditionalFormatting sqref="G44:G51">
    <cfRule type="cellIs" dxfId="2870" priority="211" operator="between">
      <formula>13</formula>
      <formula>15.9999</formula>
    </cfRule>
    <cfRule type="cellIs" dxfId="2869" priority="212" operator="between">
      <formula>10</formula>
      <formula>12.9999</formula>
    </cfRule>
    <cfRule type="cellIs" dxfId="2868" priority="213" operator="between">
      <formula>7</formula>
      <formula>9.9999</formula>
    </cfRule>
    <cfRule type="cellIs" dxfId="2867" priority="214" operator="between">
      <formula>4</formula>
      <formula>6.9999</formula>
    </cfRule>
    <cfRule type="cellIs" dxfId="2866" priority="215" operator="between">
      <formula>0.1</formula>
      <formula>3.9999</formula>
    </cfRule>
  </conditionalFormatting>
  <conditionalFormatting sqref="G53:G58">
    <cfRule type="cellIs" dxfId="2865" priority="206" operator="between">
      <formula>13</formula>
      <formula>15.9999</formula>
    </cfRule>
    <cfRule type="cellIs" dxfId="2864" priority="207" operator="between">
      <formula>10</formula>
      <formula>12.9999</formula>
    </cfRule>
    <cfRule type="cellIs" dxfId="2863" priority="208" operator="between">
      <formula>7</formula>
      <formula>9.9999</formula>
    </cfRule>
    <cfRule type="cellIs" dxfId="2862" priority="209" operator="between">
      <formula>4</formula>
      <formula>6.9999</formula>
    </cfRule>
    <cfRule type="cellIs" dxfId="2861" priority="210" operator="between">
      <formula>0.1</formula>
      <formula>3.9999</formula>
    </cfRule>
  </conditionalFormatting>
  <conditionalFormatting sqref="G60:G62">
    <cfRule type="cellIs" dxfId="2860" priority="201" operator="between">
      <formula>13</formula>
      <formula>15.9999</formula>
    </cfRule>
    <cfRule type="cellIs" dxfId="2859" priority="202" operator="between">
      <formula>10</formula>
      <formula>12.9999</formula>
    </cfRule>
    <cfRule type="cellIs" dxfId="2858" priority="203" operator="between">
      <formula>7</formula>
      <formula>9.9999</formula>
    </cfRule>
    <cfRule type="cellIs" dxfId="2857" priority="204" operator="between">
      <formula>4</formula>
      <formula>6.9999</formula>
    </cfRule>
    <cfRule type="cellIs" dxfId="2856" priority="205" operator="between">
      <formula>0.1</formula>
      <formula>3.9999</formula>
    </cfRule>
  </conditionalFormatting>
  <conditionalFormatting sqref="G64:G65">
    <cfRule type="cellIs" dxfId="2855" priority="196" operator="between">
      <formula>13</formula>
      <formula>15.9999</formula>
    </cfRule>
    <cfRule type="cellIs" dxfId="2854" priority="197" operator="between">
      <formula>10</formula>
      <formula>12.9999</formula>
    </cfRule>
    <cfRule type="cellIs" dxfId="2853" priority="198" operator="between">
      <formula>7</formula>
      <formula>9.9999</formula>
    </cfRule>
    <cfRule type="cellIs" dxfId="2852" priority="199" operator="between">
      <formula>4</formula>
      <formula>6.9999</formula>
    </cfRule>
    <cfRule type="cellIs" dxfId="2851" priority="200" operator="between">
      <formula>0.1</formula>
      <formula>3.9999</formula>
    </cfRule>
  </conditionalFormatting>
  <conditionalFormatting sqref="G67:G72">
    <cfRule type="cellIs" dxfId="2850" priority="191" operator="between">
      <formula>13</formula>
      <formula>15.9999</formula>
    </cfRule>
    <cfRule type="cellIs" dxfId="2849" priority="192" operator="between">
      <formula>10</formula>
      <formula>12.9999</formula>
    </cfRule>
    <cfRule type="cellIs" dxfId="2848" priority="193" operator="between">
      <formula>7</formula>
      <formula>9.9999</formula>
    </cfRule>
    <cfRule type="cellIs" dxfId="2847" priority="194" operator="between">
      <formula>4</formula>
      <formula>6.9999</formula>
    </cfRule>
    <cfRule type="cellIs" dxfId="2846" priority="195" operator="between">
      <formula>0.1</formula>
      <formula>3.9999</formula>
    </cfRule>
  </conditionalFormatting>
  <conditionalFormatting sqref="G74:G79">
    <cfRule type="cellIs" dxfId="2845" priority="186" operator="between">
      <formula>13</formula>
      <formula>15.9999</formula>
    </cfRule>
    <cfRule type="cellIs" dxfId="2844" priority="187" operator="between">
      <formula>10</formula>
      <formula>12.9999</formula>
    </cfRule>
    <cfRule type="cellIs" dxfId="2843" priority="188" operator="between">
      <formula>7</formula>
      <formula>9.9999</formula>
    </cfRule>
    <cfRule type="cellIs" dxfId="2842" priority="189" operator="between">
      <formula>4</formula>
      <formula>6.9999</formula>
    </cfRule>
    <cfRule type="cellIs" dxfId="2841" priority="190" operator="between">
      <formula>0.1</formula>
      <formula>3.9999</formula>
    </cfRule>
  </conditionalFormatting>
  <conditionalFormatting sqref="G81:G86">
    <cfRule type="cellIs" dxfId="2840" priority="181" operator="between">
      <formula>13</formula>
      <formula>15.9999</formula>
    </cfRule>
    <cfRule type="cellIs" dxfId="2839" priority="182" operator="between">
      <formula>10</formula>
      <formula>12.9999</formula>
    </cfRule>
    <cfRule type="cellIs" dxfId="2838" priority="183" operator="between">
      <formula>7</formula>
      <formula>9.9999</formula>
    </cfRule>
    <cfRule type="cellIs" dxfId="2837" priority="184" operator="between">
      <formula>4</formula>
      <formula>6.9999</formula>
    </cfRule>
    <cfRule type="cellIs" dxfId="2836" priority="185" operator="between">
      <formula>0.1</formula>
      <formula>3.9999</formula>
    </cfRule>
  </conditionalFormatting>
  <conditionalFormatting sqref="G88:G93">
    <cfRule type="cellIs" dxfId="2835" priority="176" operator="between">
      <formula>13</formula>
      <formula>15.9999</formula>
    </cfRule>
    <cfRule type="cellIs" dxfId="2834" priority="177" operator="between">
      <formula>10</formula>
      <formula>12.9999</formula>
    </cfRule>
    <cfRule type="cellIs" dxfId="2833" priority="178" operator="between">
      <formula>7</formula>
      <formula>9.9999</formula>
    </cfRule>
    <cfRule type="cellIs" dxfId="2832" priority="179" operator="between">
      <formula>4</formula>
      <formula>6.9999</formula>
    </cfRule>
    <cfRule type="cellIs" dxfId="2831" priority="180" operator="between">
      <formula>0.1</formula>
      <formula>3.9999</formula>
    </cfRule>
  </conditionalFormatting>
  <conditionalFormatting sqref="I6:I12">
    <cfRule type="cellIs" dxfId="2830" priority="171" operator="equal">
      <formula>"Improving"</formula>
    </cfRule>
    <cfRule type="cellIs" dxfId="2829" priority="172" operator="equal">
      <formula>"Optimising"</formula>
    </cfRule>
    <cfRule type="cellIs" dxfId="2828" priority="173" operator="equal">
      <formula>"Proactive"</formula>
    </cfRule>
    <cfRule type="cellIs" dxfId="2827" priority="174" operator="equal">
      <formula>"Reactive"</formula>
    </cfRule>
    <cfRule type="cellIs" dxfId="2826" priority="175" operator="equal">
      <formula>"No Formal Approach"</formula>
    </cfRule>
  </conditionalFormatting>
  <conditionalFormatting sqref="I14:I35">
    <cfRule type="cellIs" dxfId="2825" priority="166" operator="equal">
      <formula>"Improving"</formula>
    </cfRule>
    <cfRule type="cellIs" dxfId="2824" priority="167" operator="equal">
      <formula>"Optimising"</formula>
    </cfRule>
    <cfRule type="cellIs" dxfId="2823" priority="168" operator="equal">
      <formula>"Proactive"</formula>
    </cfRule>
    <cfRule type="cellIs" dxfId="2822" priority="169" operator="equal">
      <formula>"Reactive"</formula>
    </cfRule>
    <cfRule type="cellIs" dxfId="2821" priority="170" operator="equal">
      <formula>"No Formal Approach"</formula>
    </cfRule>
  </conditionalFormatting>
  <conditionalFormatting sqref="I37:I42">
    <cfRule type="cellIs" dxfId="2820" priority="161" operator="equal">
      <formula>"Improving"</formula>
    </cfRule>
    <cfRule type="cellIs" dxfId="2819" priority="162" operator="equal">
      <formula>"Optimising"</formula>
    </cfRule>
    <cfRule type="cellIs" dxfId="2818" priority="163" operator="equal">
      <formula>"Proactive"</formula>
    </cfRule>
    <cfRule type="cellIs" dxfId="2817" priority="164" operator="equal">
      <formula>"Reactive"</formula>
    </cfRule>
    <cfRule type="cellIs" dxfId="2816" priority="165" operator="equal">
      <formula>"No Formal Approach"</formula>
    </cfRule>
  </conditionalFormatting>
  <conditionalFormatting sqref="I44:I51">
    <cfRule type="cellIs" dxfId="2815" priority="156" operator="equal">
      <formula>"Improving"</formula>
    </cfRule>
    <cfRule type="cellIs" dxfId="2814" priority="157" operator="equal">
      <formula>"Optimising"</formula>
    </cfRule>
    <cfRule type="cellIs" dxfId="2813" priority="158" operator="equal">
      <formula>"Proactive"</formula>
    </cfRule>
    <cfRule type="cellIs" dxfId="2812" priority="159" operator="equal">
      <formula>"Reactive"</formula>
    </cfRule>
    <cfRule type="cellIs" dxfId="2811" priority="160" operator="equal">
      <formula>"No Formal Approach"</formula>
    </cfRule>
  </conditionalFormatting>
  <conditionalFormatting sqref="I53:I58">
    <cfRule type="cellIs" dxfId="2810" priority="151" operator="equal">
      <formula>"Improving"</formula>
    </cfRule>
    <cfRule type="cellIs" dxfId="2809" priority="152" operator="equal">
      <formula>"Optimising"</formula>
    </cfRule>
    <cfRule type="cellIs" dxfId="2808" priority="153" operator="equal">
      <formula>"Proactive"</formula>
    </cfRule>
    <cfRule type="cellIs" dxfId="2807" priority="154" operator="equal">
      <formula>"Reactive"</formula>
    </cfRule>
    <cfRule type="cellIs" dxfId="2806" priority="155" operator="equal">
      <formula>"No Formal Approach"</formula>
    </cfRule>
  </conditionalFormatting>
  <conditionalFormatting sqref="I60:I62">
    <cfRule type="cellIs" dxfId="2805" priority="146" operator="equal">
      <formula>"Improving"</formula>
    </cfRule>
    <cfRule type="cellIs" dxfId="2804" priority="147" operator="equal">
      <formula>"Optimising"</formula>
    </cfRule>
    <cfRule type="cellIs" dxfId="2803" priority="148" operator="equal">
      <formula>"Proactive"</formula>
    </cfRule>
    <cfRule type="cellIs" dxfId="2802" priority="149" operator="equal">
      <formula>"Reactive"</formula>
    </cfRule>
    <cfRule type="cellIs" dxfId="2801" priority="150" operator="equal">
      <formula>"No Formal Approach"</formula>
    </cfRule>
  </conditionalFormatting>
  <conditionalFormatting sqref="I64:I65">
    <cfRule type="cellIs" dxfId="2800" priority="141" operator="equal">
      <formula>"Improving"</formula>
    </cfRule>
    <cfRule type="cellIs" dxfId="2799" priority="142" operator="equal">
      <formula>"Optimising"</formula>
    </cfRule>
    <cfRule type="cellIs" dxfId="2798" priority="143" operator="equal">
      <formula>"Proactive"</formula>
    </cfRule>
    <cfRule type="cellIs" dxfId="2797" priority="144" operator="equal">
      <formula>"Reactive"</formula>
    </cfRule>
    <cfRule type="cellIs" dxfId="2796" priority="145" operator="equal">
      <formula>"No Formal Approach"</formula>
    </cfRule>
  </conditionalFormatting>
  <conditionalFormatting sqref="I67:I72">
    <cfRule type="cellIs" dxfId="2795" priority="136" operator="equal">
      <formula>"Improving"</formula>
    </cfRule>
    <cfRule type="cellIs" dxfId="2794" priority="137" operator="equal">
      <formula>"Optimising"</formula>
    </cfRule>
    <cfRule type="cellIs" dxfId="2793" priority="138" operator="equal">
      <formula>"Proactive"</formula>
    </cfRule>
    <cfRule type="cellIs" dxfId="2792" priority="139" operator="equal">
      <formula>"Reactive"</formula>
    </cfRule>
    <cfRule type="cellIs" dxfId="2791" priority="140" operator="equal">
      <formula>"No Formal Approach"</formula>
    </cfRule>
  </conditionalFormatting>
  <conditionalFormatting sqref="I74:I79">
    <cfRule type="cellIs" dxfId="2790" priority="131" operator="equal">
      <formula>"Improving"</formula>
    </cfRule>
    <cfRule type="cellIs" dxfId="2789" priority="132" operator="equal">
      <formula>"Optimising"</formula>
    </cfRule>
    <cfRule type="cellIs" dxfId="2788" priority="133" operator="equal">
      <formula>"Proactive"</formula>
    </cfRule>
    <cfRule type="cellIs" dxfId="2787" priority="134" operator="equal">
      <formula>"Reactive"</formula>
    </cfRule>
    <cfRule type="cellIs" dxfId="2786" priority="135" operator="equal">
      <formula>"No Formal Approach"</formula>
    </cfRule>
  </conditionalFormatting>
  <conditionalFormatting sqref="I81:I86">
    <cfRule type="cellIs" dxfId="2785" priority="126" operator="equal">
      <formula>"Improving"</formula>
    </cfRule>
    <cfRule type="cellIs" dxfId="2784" priority="127" operator="equal">
      <formula>"Optimising"</formula>
    </cfRule>
    <cfRule type="cellIs" dxfId="2783" priority="128" operator="equal">
      <formula>"Proactive"</formula>
    </cfRule>
    <cfRule type="cellIs" dxfId="2782" priority="129" operator="equal">
      <formula>"Reactive"</formula>
    </cfRule>
    <cfRule type="cellIs" dxfId="2781" priority="130" operator="equal">
      <formula>"No Formal Approach"</formula>
    </cfRule>
  </conditionalFormatting>
  <conditionalFormatting sqref="I88:I93">
    <cfRule type="cellIs" dxfId="2780" priority="121" operator="equal">
      <formula>"Improving"</formula>
    </cfRule>
    <cfRule type="cellIs" dxfId="2779" priority="122" operator="equal">
      <formula>"Optimising"</formula>
    </cfRule>
    <cfRule type="cellIs" dxfId="2778" priority="123" operator="equal">
      <formula>"Proactive"</formula>
    </cfRule>
    <cfRule type="cellIs" dxfId="2777" priority="124" operator="equal">
      <formula>"Reactive"</formula>
    </cfRule>
    <cfRule type="cellIs" dxfId="2776" priority="125" operator="equal">
      <formula>"No Formal Approach"</formula>
    </cfRule>
  </conditionalFormatting>
  <conditionalFormatting sqref="G13">
    <cfRule type="cellIs" dxfId="2775" priority="116" operator="between">
      <formula>13</formula>
      <formula>15.9999</formula>
    </cfRule>
    <cfRule type="cellIs" dxfId="2774" priority="117" operator="between">
      <formula>10</formula>
      <formula>12.9999</formula>
    </cfRule>
    <cfRule type="cellIs" dxfId="2773" priority="118" operator="between">
      <formula>7</formula>
      <formula>9.9999</formula>
    </cfRule>
    <cfRule type="cellIs" dxfId="2772" priority="119" operator="between">
      <formula>4</formula>
      <formula>6.9999</formula>
    </cfRule>
    <cfRule type="cellIs" dxfId="2771" priority="120" operator="between">
      <formula>0.1</formula>
      <formula>3.9999</formula>
    </cfRule>
  </conditionalFormatting>
  <conditionalFormatting sqref="I13">
    <cfRule type="cellIs" dxfId="2770" priority="111" operator="equal">
      <formula>"Improving"</formula>
    </cfRule>
    <cfRule type="cellIs" dxfId="2769" priority="112" operator="equal">
      <formula>"Optimising"</formula>
    </cfRule>
    <cfRule type="cellIs" dxfId="2768" priority="113" operator="equal">
      <formula>"Proactive"</formula>
    </cfRule>
    <cfRule type="cellIs" dxfId="2767" priority="114" operator="equal">
      <formula>"Reactive"</formula>
    </cfRule>
    <cfRule type="cellIs" dxfId="2766" priority="115" operator="equal">
      <formula>"No Formal Approach"</formula>
    </cfRule>
  </conditionalFormatting>
  <conditionalFormatting sqref="G36">
    <cfRule type="cellIs" dxfId="2765" priority="106" operator="between">
      <formula>13</formula>
      <formula>15.9999</formula>
    </cfRule>
    <cfRule type="cellIs" dxfId="2764" priority="107" operator="between">
      <formula>10</formula>
      <formula>12.9999</formula>
    </cfRule>
    <cfRule type="cellIs" dxfId="2763" priority="108" operator="between">
      <formula>7</formula>
      <formula>9.9999</formula>
    </cfRule>
    <cfRule type="cellIs" dxfId="2762" priority="109" operator="between">
      <formula>4</formula>
      <formula>6.9999</formula>
    </cfRule>
    <cfRule type="cellIs" dxfId="2761" priority="110" operator="between">
      <formula>0.1</formula>
      <formula>3.9999</formula>
    </cfRule>
  </conditionalFormatting>
  <conditionalFormatting sqref="I36">
    <cfRule type="cellIs" dxfId="2760" priority="101" operator="equal">
      <formula>"Improving"</formula>
    </cfRule>
    <cfRule type="cellIs" dxfId="2759" priority="102" operator="equal">
      <formula>"Optimising"</formula>
    </cfRule>
    <cfRule type="cellIs" dxfId="2758" priority="103" operator="equal">
      <formula>"Proactive"</formula>
    </cfRule>
    <cfRule type="cellIs" dxfId="2757" priority="104" operator="equal">
      <formula>"Reactive"</formula>
    </cfRule>
    <cfRule type="cellIs" dxfId="2756" priority="105" operator="equal">
      <formula>"No Formal Approach"</formula>
    </cfRule>
  </conditionalFormatting>
  <conditionalFormatting sqref="G43">
    <cfRule type="cellIs" dxfId="2755" priority="96" operator="between">
      <formula>13</formula>
      <formula>15.9999</formula>
    </cfRule>
    <cfRule type="cellIs" dxfId="2754" priority="97" operator="between">
      <formula>10</formula>
      <formula>12.9999</formula>
    </cfRule>
    <cfRule type="cellIs" dxfId="2753" priority="98" operator="between">
      <formula>7</formula>
      <formula>9.9999</formula>
    </cfRule>
    <cfRule type="cellIs" dxfId="2752" priority="99" operator="between">
      <formula>4</formula>
      <formula>6.9999</formula>
    </cfRule>
    <cfRule type="cellIs" dxfId="2751" priority="100" operator="between">
      <formula>0.1</formula>
      <formula>3.9999</formula>
    </cfRule>
  </conditionalFormatting>
  <conditionalFormatting sqref="I43">
    <cfRule type="cellIs" dxfId="2750" priority="91" operator="equal">
      <formula>"Improving"</formula>
    </cfRule>
    <cfRule type="cellIs" dxfId="2749" priority="92" operator="equal">
      <formula>"Optimising"</formula>
    </cfRule>
    <cfRule type="cellIs" dxfId="2748" priority="93" operator="equal">
      <formula>"Proactive"</formula>
    </cfRule>
    <cfRule type="cellIs" dxfId="2747" priority="94" operator="equal">
      <formula>"Reactive"</formula>
    </cfRule>
    <cfRule type="cellIs" dxfId="2746" priority="95" operator="equal">
      <formula>"No Formal Approach"</formula>
    </cfRule>
  </conditionalFormatting>
  <conditionalFormatting sqref="G52">
    <cfRule type="cellIs" dxfId="2745" priority="86" operator="between">
      <formula>13</formula>
      <formula>15.9999</formula>
    </cfRule>
    <cfRule type="cellIs" dxfId="2744" priority="87" operator="between">
      <formula>10</formula>
      <formula>12.9999</formula>
    </cfRule>
    <cfRule type="cellIs" dxfId="2743" priority="88" operator="between">
      <formula>7</formula>
      <formula>9.9999</formula>
    </cfRule>
    <cfRule type="cellIs" dxfId="2742" priority="89" operator="between">
      <formula>4</formula>
      <formula>6.9999</formula>
    </cfRule>
    <cfRule type="cellIs" dxfId="2741" priority="90" operator="between">
      <formula>0.1</formula>
      <formula>3.9999</formula>
    </cfRule>
  </conditionalFormatting>
  <conditionalFormatting sqref="I52">
    <cfRule type="cellIs" dxfId="2740" priority="81" operator="equal">
      <formula>"Improving"</formula>
    </cfRule>
    <cfRule type="cellIs" dxfId="2739" priority="82" operator="equal">
      <formula>"Optimising"</formula>
    </cfRule>
    <cfRule type="cellIs" dxfId="2738" priority="83" operator="equal">
      <formula>"Proactive"</formula>
    </cfRule>
    <cfRule type="cellIs" dxfId="2737" priority="84" operator="equal">
      <formula>"Reactive"</formula>
    </cfRule>
    <cfRule type="cellIs" dxfId="2736" priority="85" operator="equal">
      <formula>"No Formal Approach"</formula>
    </cfRule>
  </conditionalFormatting>
  <conditionalFormatting sqref="G59">
    <cfRule type="cellIs" dxfId="2735" priority="76" operator="between">
      <formula>13</formula>
      <formula>15.9999</formula>
    </cfRule>
    <cfRule type="cellIs" dxfId="2734" priority="77" operator="between">
      <formula>10</formula>
      <formula>12.9999</formula>
    </cfRule>
    <cfRule type="cellIs" dxfId="2733" priority="78" operator="between">
      <formula>7</formula>
      <formula>9.9999</formula>
    </cfRule>
    <cfRule type="cellIs" dxfId="2732" priority="79" operator="between">
      <formula>4</formula>
      <formula>6.9999</formula>
    </cfRule>
    <cfRule type="cellIs" dxfId="2731" priority="80" operator="between">
      <formula>0.1</formula>
      <formula>3.9999</formula>
    </cfRule>
  </conditionalFormatting>
  <conditionalFormatting sqref="I59">
    <cfRule type="cellIs" dxfId="2730" priority="71" operator="equal">
      <formula>"Improving"</formula>
    </cfRule>
    <cfRule type="cellIs" dxfId="2729" priority="72" operator="equal">
      <formula>"Optimising"</formula>
    </cfRule>
    <cfRule type="cellIs" dxfId="2728" priority="73" operator="equal">
      <formula>"Proactive"</formula>
    </cfRule>
    <cfRule type="cellIs" dxfId="2727" priority="74" operator="equal">
      <formula>"Reactive"</formula>
    </cfRule>
    <cfRule type="cellIs" dxfId="2726" priority="75" operator="equal">
      <formula>"No Formal Approach"</formula>
    </cfRule>
  </conditionalFormatting>
  <conditionalFormatting sqref="G63">
    <cfRule type="cellIs" dxfId="2725" priority="66" operator="between">
      <formula>13</formula>
      <formula>15.9999</formula>
    </cfRule>
    <cfRule type="cellIs" dxfId="2724" priority="67" operator="between">
      <formula>10</formula>
      <formula>12.9999</formula>
    </cfRule>
    <cfRule type="cellIs" dxfId="2723" priority="68" operator="between">
      <formula>7</formula>
      <formula>9.9999</formula>
    </cfRule>
    <cfRule type="cellIs" dxfId="2722" priority="69" operator="between">
      <formula>4</formula>
      <formula>6.9999</formula>
    </cfRule>
    <cfRule type="cellIs" dxfId="2721" priority="70" operator="between">
      <formula>0.1</formula>
      <formula>3.9999</formula>
    </cfRule>
  </conditionalFormatting>
  <conditionalFormatting sqref="I63">
    <cfRule type="cellIs" dxfId="2720" priority="61" operator="equal">
      <formula>"Improving"</formula>
    </cfRule>
    <cfRule type="cellIs" dxfId="2719" priority="62" operator="equal">
      <formula>"Optimising"</formula>
    </cfRule>
    <cfRule type="cellIs" dxfId="2718" priority="63" operator="equal">
      <formula>"Proactive"</formula>
    </cfRule>
    <cfRule type="cellIs" dxfId="2717" priority="64" operator="equal">
      <formula>"Reactive"</formula>
    </cfRule>
    <cfRule type="cellIs" dxfId="2716" priority="65" operator="equal">
      <formula>"No Formal Approach"</formula>
    </cfRule>
  </conditionalFormatting>
  <conditionalFormatting sqref="G66">
    <cfRule type="cellIs" dxfId="2715" priority="56" operator="between">
      <formula>13</formula>
      <formula>15.9999</formula>
    </cfRule>
    <cfRule type="cellIs" dxfId="2714" priority="57" operator="between">
      <formula>10</formula>
      <formula>12.9999</formula>
    </cfRule>
    <cfRule type="cellIs" dxfId="2713" priority="58" operator="between">
      <formula>7</formula>
      <formula>9.9999</formula>
    </cfRule>
    <cfRule type="cellIs" dxfId="2712" priority="59" operator="between">
      <formula>4</formula>
      <formula>6.9999</formula>
    </cfRule>
    <cfRule type="cellIs" dxfId="2711" priority="60" operator="between">
      <formula>0.1</formula>
      <formula>3.9999</formula>
    </cfRule>
  </conditionalFormatting>
  <conditionalFormatting sqref="I66">
    <cfRule type="cellIs" dxfId="2710" priority="51" operator="equal">
      <formula>"Improving"</formula>
    </cfRule>
    <cfRule type="cellIs" dxfId="2709" priority="52" operator="equal">
      <formula>"Optimising"</formula>
    </cfRule>
    <cfRule type="cellIs" dxfId="2708" priority="53" operator="equal">
      <formula>"Proactive"</formula>
    </cfRule>
    <cfRule type="cellIs" dxfId="2707" priority="54" operator="equal">
      <formula>"Reactive"</formula>
    </cfRule>
    <cfRule type="cellIs" dxfId="2706" priority="55" operator="equal">
      <formula>"No Formal Approach"</formula>
    </cfRule>
  </conditionalFormatting>
  <conditionalFormatting sqref="G73">
    <cfRule type="cellIs" dxfId="2705" priority="46" operator="between">
      <formula>13</formula>
      <formula>15.9999</formula>
    </cfRule>
    <cfRule type="cellIs" dxfId="2704" priority="47" operator="between">
      <formula>10</formula>
      <formula>12.9999</formula>
    </cfRule>
    <cfRule type="cellIs" dxfId="2703" priority="48" operator="between">
      <formula>7</formula>
      <formula>9.9999</formula>
    </cfRule>
    <cfRule type="cellIs" dxfId="2702" priority="49" operator="between">
      <formula>4</formula>
      <formula>6.9999</formula>
    </cfRule>
    <cfRule type="cellIs" dxfId="2701" priority="50" operator="between">
      <formula>0.1</formula>
      <formula>3.9999</formula>
    </cfRule>
  </conditionalFormatting>
  <conditionalFormatting sqref="I73">
    <cfRule type="cellIs" dxfId="2700" priority="41" operator="equal">
      <formula>"Improving"</formula>
    </cfRule>
    <cfRule type="cellIs" dxfId="2699" priority="42" operator="equal">
      <formula>"Optimising"</formula>
    </cfRule>
    <cfRule type="cellIs" dxfId="2698" priority="43" operator="equal">
      <formula>"Proactive"</formula>
    </cfRule>
    <cfRule type="cellIs" dxfId="2697" priority="44" operator="equal">
      <formula>"Reactive"</formula>
    </cfRule>
    <cfRule type="cellIs" dxfId="2696" priority="45" operator="equal">
      <formula>"No Formal Approach"</formula>
    </cfRule>
  </conditionalFormatting>
  <conditionalFormatting sqref="G80">
    <cfRule type="cellIs" dxfId="2695" priority="36" operator="between">
      <formula>13</formula>
      <formula>15.9999</formula>
    </cfRule>
    <cfRule type="cellIs" dxfId="2694" priority="37" operator="between">
      <formula>10</formula>
      <formula>12.9999</formula>
    </cfRule>
    <cfRule type="cellIs" dxfId="2693" priority="38" operator="between">
      <formula>7</formula>
      <formula>9.9999</formula>
    </cfRule>
    <cfRule type="cellIs" dxfId="2692" priority="39" operator="between">
      <formula>4</formula>
      <formula>6.9999</formula>
    </cfRule>
    <cfRule type="cellIs" dxfId="2691" priority="40" operator="between">
      <formula>0.1</formula>
      <formula>3.9999</formula>
    </cfRule>
  </conditionalFormatting>
  <conditionalFormatting sqref="I80">
    <cfRule type="cellIs" dxfId="2690" priority="31" operator="equal">
      <formula>"Improving"</formula>
    </cfRule>
    <cfRule type="cellIs" dxfId="2689" priority="32" operator="equal">
      <formula>"Optimising"</formula>
    </cfRule>
    <cfRule type="cellIs" dxfId="2688" priority="33" operator="equal">
      <formula>"Proactive"</formula>
    </cfRule>
    <cfRule type="cellIs" dxfId="2687" priority="34" operator="equal">
      <formula>"Reactive"</formula>
    </cfRule>
    <cfRule type="cellIs" dxfId="2686" priority="35" operator="equal">
      <formula>"No Formal Approach"</formula>
    </cfRule>
  </conditionalFormatting>
  <conditionalFormatting sqref="G87">
    <cfRule type="cellIs" dxfId="2685" priority="26" operator="between">
      <formula>13</formula>
      <formula>15.9999</formula>
    </cfRule>
    <cfRule type="cellIs" dxfId="2684" priority="27" operator="between">
      <formula>10</formula>
      <formula>12.9999</formula>
    </cfRule>
    <cfRule type="cellIs" dxfId="2683" priority="28" operator="between">
      <formula>7</formula>
      <formula>9.9999</formula>
    </cfRule>
    <cfRule type="cellIs" dxfId="2682" priority="29" operator="between">
      <formula>4</formula>
      <formula>6.9999</formula>
    </cfRule>
    <cfRule type="cellIs" dxfId="2681" priority="30" operator="between">
      <formula>0.1</formula>
      <formula>3.9999</formula>
    </cfRule>
  </conditionalFormatting>
  <conditionalFormatting sqref="I87">
    <cfRule type="cellIs" dxfId="2680" priority="21" operator="equal">
      <formula>"Improving"</formula>
    </cfRule>
    <cfRule type="cellIs" dxfId="2679" priority="22" operator="equal">
      <formula>"Optimising"</formula>
    </cfRule>
    <cfRule type="cellIs" dxfId="2678" priority="23" operator="equal">
      <formula>"Proactive"</formula>
    </cfRule>
    <cfRule type="cellIs" dxfId="2677" priority="24" operator="equal">
      <formula>"Reactive"</formula>
    </cfRule>
    <cfRule type="cellIs" dxfId="2676" priority="25" operator="equal">
      <formula>"No Formal Approach"</formula>
    </cfRule>
  </conditionalFormatting>
  <conditionalFormatting sqref="G94">
    <cfRule type="cellIs" dxfId="2675" priority="16" operator="between">
      <formula>13</formula>
      <formula>15.9999</formula>
    </cfRule>
    <cfRule type="cellIs" dxfId="2674" priority="17" operator="between">
      <formula>10</formula>
      <formula>12.9999</formula>
    </cfRule>
    <cfRule type="cellIs" dxfId="2673" priority="18" operator="between">
      <formula>7</formula>
      <formula>9.9999</formula>
    </cfRule>
    <cfRule type="cellIs" dxfId="2672" priority="19" operator="between">
      <formula>4</formula>
      <formula>6.9999</formula>
    </cfRule>
    <cfRule type="cellIs" dxfId="2671" priority="20" operator="between">
      <formula>0.1</formula>
      <formula>3.9999</formula>
    </cfRule>
  </conditionalFormatting>
  <conditionalFormatting sqref="I94">
    <cfRule type="cellIs" dxfId="2670" priority="11" operator="equal">
      <formula>"Improving"</formula>
    </cfRule>
    <cfRule type="cellIs" dxfId="2669" priority="12" operator="equal">
      <formula>"Optimising"</formula>
    </cfRule>
    <cfRule type="cellIs" dxfId="2668" priority="13" operator="equal">
      <formula>"Proactive"</formula>
    </cfRule>
    <cfRule type="cellIs" dxfId="2667" priority="14" operator="equal">
      <formula>"Reactive"</formula>
    </cfRule>
    <cfRule type="cellIs" dxfId="2666" priority="15" operator="equal">
      <formula>"No Formal Approach"</formula>
    </cfRule>
  </conditionalFormatting>
  <conditionalFormatting sqref="G95:G100">
    <cfRule type="cellIs" dxfId="2665" priority="6" operator="between">
      <formula>13</formula>
      <formula>15.9999</formula>
    </cfRule>
    <cfRule type="cellIs" dxfId="2664" priority="7" operator="between">
      <formula>10</formula>
      <formula>12.9999</formula>
    </cfRule>
    <cfRule type="cellIs" dxfId="2663" priority="8" operator="between">
      <formula>7</formula>
      <formula>9.9999</formula>
    </cfRule>
    <cfRule type="cellIs" dxfId="2662" priority="9" operator="between">
      <formula>4</formula>
      <formula>6.9999</formula>
    </cfRule>
    <cfRule type="cellIs" dxfId="2661" priority="10" operator="between">
      <formula>0.1</formula>
      <formula>3.9999</formula>
    </cfRule>
  </conditionalFormatting>
  <conditionalFormatting sqref="I95:I100">
    <cfRule type="cellIs" dxfId="2660" priority="1" operator="equal">
      <formula>"Improving"</formula>
    </cfRule>
    <cfRule type="cellIs" dxfId="2659" priority="2" operator="equal">
      <formula>"Optimising"</formula>
    </cfRule>
    <cfRule type="cellIs" dxfId="2658" priority="3" operator="equal">
      <formula>"Proactive"</formula>
    </cfRule>
    <cfRule type="cellIs" dxfId="2657" priority="4" operator="equal">
      <formula>"Reactive"</formula>
    </cfRule>
    <cfRule type="cellIs" dxfId="265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1'!N15</f>
        <v>Subject 7</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2655" priority="236" operator="between">
      <formula>13</formula>
      <formula>15.9999</formula>
    </cfRule>
    <cfRule type="cellIs" dxfId="2654" priority="237" operator="between">
      <formula>10</formula>
      <formula>12.9999</formula>
    </cfRule>
    <cfRule type="cellIs" dxfId="2653" priority="238" operator="between">
      <formula>7</formula>
      <formula>9.9999</formula>
    </cfRule>
    <cfRule type="cellIs" dxfId="2652" priority="239" operator="between">
      <formula>4</formula>
      <formula>6.9999</formula>
    </cfRule>
    <cfRule type="cellIs" dxfId="2651" priority="240" operator="between">
      <formula>0.1</formula>
      <formula>3.9999</formula>
    </cfRule>
  </conditionalFormatting>
  <conditionalFormatting sqref="I5">
    <cfRule type="cellIs" dxfId="2650" priority="231" operator="equal">
      <formula>"Improving"</formula>
    </cfRule>
    <cfRule type="cellIs" dxfId="2649" priority="232" operator="equal">
      <formula>"Optimising"</formula>
    </cfRule>
    <cfRule type="cellIs" dxfId="2648" priority="233" operator="equal">
      <formula>"Proactive"</formula>
    </cfRule>
    <cfRule type="cellIs" dxfId="2647" priority="234" operator="equal">
      <formula>"Reactive"</formula>
    </cfRule>
    <cfRule type="cellIs" dxfId="2646" priority="235" operator="equal">
      <formula>"No Formal Approach"</formula>
    </cfRule>
  </conditionalFormatting>
  <conditionalFormatting sqref="G6:G12">
    <cfRule type="cellIs" dxfId="2645" priority="226" operator="between">
      <formula>13</formula>
      <formula>15.9999</formula>
    </cfRule>
    <cfRule type="cellIs" dxfId="2644" priority="227" operator="between">
      <formula>10</formula>
      <formula>12.9999</formula>
    </cfRule>
    <cfRule type="cellIs" dxfId="2643" priority="228" operator="between">
      <formula>7</formula>
      <formula>9.9999</formula>
    </cfRule>
    <cfRule type="cellIs" dxfId="2642" priority="229" operator="between">
      <formula>4</formula>
      <formula>6.9999</formula>
    </cfRule>
    <cfRule type="cellIs" dxfId="2641" priority="230" operator="between">
      <formula>0.1</formula>
      <formula>3.9999</formula>
    </cfRule>
  </conditionalFormatting>
  <conditionalFormatting sqref="G14:G35">
    <cfRule type="cellIs" dxfId="2640" priority="221" operator="between">
      <formula>13</formula>
      <formula>15.9999</formula>
    </cfRule>
    <cfRule type="cellIs" dxfId="2639" priority="222" operator="between">
      <formula>10</formula>
      <formula>12.9999</formula>
    </cfRule>
    <cfRule type="cellIs" dxfId="2638" priority="223" operator="between">
      <formula>7</formula>
      <formula>9.9999</formula>
    </cfRule>
    <cfRule type="cellIs" dxfId="2637" priority="224" operator="between">
      <formula>4</formula>
      <formula>6.9999</formula>
    </cfRule>
    <cfRule type="cellIs" dxfId="2636" priority="225" operator="between">
      <formula>0.1</formula>
      <formula>3.9999</formula>
    </cfRule>
  </conditionalFormatting>
  <conditionalFormatting sqref="G37:G42">
    <cfRule type="cellIs" dxfId="2635" priority="216" operator="between">
      <formula>13</formula>
      <formula>15.9999</formula>
    </cfRule>
    <cfRule type="cellIs" dxfId="2634" priority="217" operator="between">
      <formula>10</formula>
      <formula>12.9999</formula>
    </cfRule>
    <cfRule type="cellIs" dxfId="2633" priority="218" operator="between">
      <formula>7</formula>
      <formula>9.9999</formula>
    </cfRule>
    <cfRule type="cellIs" dxfId="2632" priority="219" operator="between">
      <formula>4</formula>
      <formula>6.9999</formula>
    </cfRule>
    <cfRule type="cellIs" dxfId="2631" priority="220" operator="between">
      <formula>0.1</formula>
      <formula>3.9999</formula>
    </cfRule>
  </conditionalFormatting>
  <conditionalFormatting sqref="G44:G51">
    <cfRule type="cellIs" dxfId="2630" priority="211" operator="between">
      <formula>13</formula>
      <formula>15.9999</formula>
    </cfRule>
    <cfRule type="cellIs" dxfId="2629" priority="212" operator="between">
      <formula>10</formula>
      <formula>12.9999</formula>
    </cfRule>
    <cfRule type="cellIs" dxfId="2628" priority="213" operator="between">
      <formula>7</formula>
      <formula>9.9999</formula>
    </cfRule>
    <cfRule type="cellIs" dxfId="2627" priority="214" operator="between">
      <formula>4</formula>
      <formula>6.9999</formula>
    </cfRule>
    <cfRule type="cellIs" dxfId="2626" priority="215" operator="between">
      <formula>0.1</formula>
      <formula>3.9999</formula>
    </cfRule>
  </conditionalFormatting>
  <conditionalFormatting sqref="G53:G58">
    <cfRule type="cellIs" dxfId="2625" priority="206" operator="between">
      <formula>13</formula>
      <formula>15.9999</formula>
    </cfRule>
    <cfRule type="cellIs" dxfId="2624" priority="207" operator="between">
      <formula>10</formula>
      <formula>12.9999</formula>
    </cfRule>
    <cfRule type="cellIs" dxfId="2623" priority="208" operator="between">
      <formula>7</formula>
      <formula>9.9999</formula>
    </cfRule>
    <cfRule type="cellIs" dxfId="2622" priority="209" operator="between">
      <formula>4</formula>
      <formula>6.9999</formula>
    </cfRule>
    <cfRule type="cellIs" dxfId="2621" priority="210" operator="between">
      <formula>0.1</formula>
      <formula>3.9999</formula>
    </cfRule>
  </conditionalFormatting>
  <conditionalFormatting sqref="G60:G62">
    <cfRule type="cellIs" dxfId="2620" priority="201" operator="between">
      <formula>13</formula>
      <formula>15.9999</formula>
    </cfRule>
    <cfRule type="cellIs" dxfId="2619" priority="202" operator="between">
      <formula>10</formula>
      <formula>12.9999</formula>
    </cfRule>
    <cfRule type="cellIs" dxfId="2618" priority="203" operator="between">
      <formula>7</formula>
      <formula>9.9999</formula>
    </cfRule>
    <cfRule type="cellIs" dxfId="2617" priority="204" operator="between">
      <formula>4</formula>
      <formula>6.9999</formula>
    </cfRule>
    <cfRule type="cellIs" dxfId="2616" priority="205" operator="between">
      <formula>0.1</formula>
      <formula>3.9999</formula>
    </cfRule>
  </conditionalFormatting>
  <conditionalFormatting sqref="G64:G65">
    <cfRule type="cellIs" dxfId="2615" priority="196" operator="between">
      <formula>13</formula>
      <formula>15.9999</formula>
    </cfRule>
    <cfRule type="cellIs" dxfId="2614" priority="197" operator="between">
      <formula>10</formula>
      <formula>12.9999</formula>
    </cfRule>
    <cfRule type="cellIs" dxfId="2613" priority="198" operator="between">
      <formula>7</formula>
      <formula>9.9999</formula>
    </cfRule>
    <cfRule type="cellIs" dxfId="2612" priority="199" operator="between">
      <formula>4</formula>
      <formula>6.9999</formula>
    </cfRule>
    <cfRule type="cellIs" dxfId="2611" priority="200" operator="between">
      <formula>0.1</formula>
      <formula>3.9999</formula>
    </cfRule>
  </conditionalFormatting>
  <conditionalFormatting sqref="G67:G72">
    <cfRule type="cellIs" dxfId="2610" priority="191" operator="between">
      <formula>13</formula>
      <formula>15.9999</formula>
    </cfRule>
    <cfRule type="cellIs" dxfId="2609" priority="192" operator="between">
      <formula>10</formula>
      <formula>12.9999</formula>
    </cfRule>
    <cfRule type="cellIs" dxfId="2608" priority="193" operator="between">
      <formula>7</formula>
      <formula>9.9999</formula>
    </cfRule>
    <cfRule type="cellIs" dxfId="2607" priority="194" operator="between">
      <formula>4</formula>
      <formula>6.9999</formula>
    </cfRule>
    <cfRule type="cellIs" dxfId="2606" priority="195" operator="between">
      <formula>0.1</formula>
      <formula>3.9999</formula>
    </cfRule>
  </conditionalFormatting>
  <conditionalFormatting sqref="G74:G79">
    <cfRule type="cellIs" dxfId="2605" priority="186" operator="between">
      <formula>13</formula>
      <formula>15.9999</formula>
    </cfRule>
    <cfRule type="cellIs" dxfId="2604" priority="187" operator="between">
      <formula>10</formula>
      <formula>12.9999</formula>
    </cfRule>
    <cfRule type="cellIs" dxfId="2603" priority="188" operator="between">
      <formula>7</formula>
      <formula>9.9999</formula>
    </cfRule>
    <cfRule type="cellIs" dxfId="2602" priority="189" operator="between">
      <formula>4</formula>
      <formula>6.9999</formula>
    </cfRule>
    <cfRule type="cellIs" dxfId="2601" priority="190" operator="between">
      <formula>0.1</formula>
      <formula>3.9999</formula>
    </cfRule>
  </conditionalFormatting>
  <conditionalFormatting sqref="G81:G86">
    <cfRule type="cellIs" dxfId="2600" priority="181" operator="between">
      <formula>13</formula>
      <formula>15.9999</formula>
    </cfRule>
    <cfRule type="cellIs" dxfId="2599" priority="182" operator="between">
      <formula>10</formula>
      <formula>12.9999</formula>
    </cfRule>
    <cfRule type="cellIs" dxfId="2598" priority="183" operator="between">
      <formula>7</formula>
      <formula>9.9999</formula>
    </cfRule>
    <cfRule type="cellIs" dxfId="2597" priority="184" operator="between">
      <formula>4</formula>
      <formula>6.9999</formula>
    </cfRule>
    <cfRule type="cellIs" dxfId="2596" priority="185" operator="between">
      <formula>0.1</formula>
      <formula>3.9999</formula>
    </cfRule>
  </conditionalFormatting>
  <conditionalFormatting sqref="G88:G93">
    <cfRule type="cellIs" dxfId="2595" priority="176" operator="between">
      <formula>13</formula>
      <formula>15.9999</formula>
    </cfRule>
    <cfRule type="cellIs" dxfId="2594" priority="177" operator="between">
      <formula>10</formula>
      <formula>12.9999</formula>
    </cfRule>
    <cfRule type="cellIs" dxfId="2593" priority="178" operator="between">
      <formula>7</formula>
      <formula>9.9999</formula>
    </cfRule>
    <cfRule type="cellIs" dxfId="2592" priority="179" operator="between">
      <formula>4</formula>
      <formula>6.9999</formula>
    </cfRule>
    <cfRule type="cellIs" dxfId="2591" priority="180" operator="between">
      <formula>0.1</formula>
      <formula>3.9999</formula>
    </cfRule>
  </conditionalFormatting>
  <conditionalFormatting sqref="I6:I12">
    <cfRule type="cellIs" dxfId="2590" priority="171" operator="equal">
      <formula>"Improving"</formula>
    </cfRule>
    <cfRule type="cellIs" dxfId="2589" priority="172" operator="equal">
      <formula>"Optimising"</formula>
    </cfRule>
    <cfRule type="cellIs" dxfId="2588" priority="173" operator="equal">
      <formula>"Proactive"</formula>
    </cfRule>
    <cfRule type="cellIs" dxfId="2587" priority="174" operator="equal">
      <formula>"Reactive"</formula>
    </cfRule>
    <cfRule type="cellIs" dxfId="2586" priority="175" operator="equal">
      <formula>"No Formal Approach"</formula>
    </cfRule>
  </conditionalFormatting>
  <conditionalFormatting sqref="I14:I35">
    <cfRule type="cellIs" dxfId="2585" priority="166" operator="equal">
      <formula>"Improving"</formula>
    </cfRule>
    <cfRule type="cellIs" dxfId="2584" priority="167" operator="equal">
      <formula>"Optimising"</formula>
    </cfRule>
    <cfRule type="cellIs" dxfId="2583" priority="168" operator="equal">
      <formula>"Proactive"</formula>
    </cfRule>
    <cfRule type="cellIs" dxfId="2582" priority="169" operator="equal">
      <formula>"Reactive"</formula>
    </cfRule>
    <cfRule type="cellIs" dxfId="2581" priority="170" operator="equal">
      <formula>"No Formal Approach"</formula>
    </cfRule>
  </conditionalFormatting>
  <conditionalFormatting sqref="I37:I42">
    <cfRule type="cellIs" dxfId="2580" priority="161" operator="equal">
      <formula>"Improving"</formula>
    </cfRule>
    <cfRule type="cellIs" dxfId="2579" priority="162" operator="equal">
      <formula>"Optimising"</formula>
    </cfRule>
    <cfRule type="cellIs" dxfId="2578" priority="163" operator="equal">
      <formula>"Proactive"</formula>
    </cfRule>
    <cfRule type="cellIs" dxfId="2577" priority="164" operator="equal">
      <formula>"Reactive"</formula>
    </cfRule>
    <cfRule type="cellIs" dxfId="2576" priority="165" operator="equal">
      <formula>"No Formal Approach"</formula>
    </cfRule>
  </conditionalFormatting>
  <conditionalFormatting sqref="I44:I51">
    <cfRule type="cellIs" dxfId="2575" priority="156" operator="equal">
      <formula>"Improving"</formula>
    </cfRule>
    <cfRule type="cellIs" dxfId="2574" priority="157" operator="equal">
      <formula>"Optimising"</formula>
    </cfRule>
    <cfRule type="cellIs" dxfId="2573" priority="158" operator="equal">
      <formula>"Proactive"</formula>
    </cfRule>
    <cfRule type="cellIs" dxfId="2572" priority="159" operator="equal">
      <formula>"Reactive"</formula>
    </cfRule>
    <cfRule type="cellIs" dxfId="2571" priority="160" operator="equal">
      <formula>"No Formal Approach"</formula>
    </cfRule>
  </conditionalFormatting>
  <conditionalFormatting sqref="I53:I58">
    <cfRule type="cellIs" dxfId="2570" priority="151" operator="equal">
      <formula>"Improving"</formula>
    </cfRule>
    <cfRule type="cellIs" dxfId="2569" priority="152" operator="equal">
      <formula>"Optimising"</formula>
    </cfRule>
    <cfRule type="cellIs" dxfId="2568" priority="153" operator="equal">
      <formula>"Proactive"</formula>
    </cfRule>
    <cfRule type="cellIs" dxfId="2567" priority="154" operator="equal">
      <formula>"Reactive"</formula>
    </cfRule>
    <cfRule type="cellIs" dxfId="2566" priority="155" operator="equal">
      <formula>"No Formal Approach"</formula>
    </cfRule>
  </conditionalFormatting>
  <conditionalFormatting sqref="I60:I62">
    <cfRule type="cellIs" dxfId="2565" priority="146" operator="equal">
      <formula>"Improving"</formula>
    </cfRule>
    <cfRule type="cellIs" dxfId="2564" priority="147" operator="equal">
      <formula>"Optimising"</formula>
    </cfRule>
    <cfRule type="cellIs" dxfId="2563" priority="148" operator="equal">
      <formula>"Proactive"</formula>
    </cfRule>
    <cfRule type="cellIs" dxfId="2562" priority="149" operator="equal">
      <formula>"Reactive"</formula>
    </cfRule>
    <cfRule type="cellIs" dxfId="2561" priority="150" operator="equal">
      <formula>"No Formal Approach"</formula>
    </cfRule>
  </conditionalFormatting>
  <conditionalFormatting sqref="I64:I65">
    <cfRule type="cellIs" dxfId="2560" priority="141" operator="equal">
      <formula>"Improving"</formula>
    </cfRule>
    <cfRule type="cellIs" dxfId="2559" priority="142" operator="equal">
      <formula>"Optimising"</formula>
    </cfRule>
    <cfRule type="cellIs" dxfId="2558" priority="143" operator="equal">
      <formula>"Proactive"</formula>
    </cfRule>
    <cfRule type="cellIs" dxfId="2557" priority="144" operator="equal">
      <formula>"Reactive"</formula>
    </cfRule>
    <cfRule type="cellIs" dxfId="2556" priority="145" operator="equal">
      <formula>"No Formal Approach"</formula>
    </cfRule>
  </conditionalFormatting>
  <conditionalFormatting sqref="I67:I72">
    <cfRule type="cellIs" dxfId="2555" priority="136" operator="equal">
      <formula>"Improving"</formula>
    </cfRule>
    <cfRule type="cellIs" dxfId="2554" priority="137" operator="equal">
      <formula>"Optimising"</formula>
    </cfRule>
    <cfRule type="cellIs" dxfId="2553" priority="138" operator="equal">
      <formula>"Proactive"</formula>
    </cfRule>
    <cfRule type="cellIs" dxfId="2552" priority="139" operator="equal">
      <formula>"Reactive"</formula>
    </cfRule>
    <cfRule type="cellIs" dxfId="2551" priority="140" operator="equal">
      <formula>"No Formal Approach"</formula>
    </cfRule>
  </conditionalFormatting>
  <conditionalFormatting sqref="I74:I79">
    <cfRule type="cellIs" dxfId="2550" priority="131" operator="equal">
      <formula>"Improving"</formula>
    </cfRule>
    <cfRule type="cellIs" dxfId="2549" priority="132" operator="equal">
      <formula>"Optimising"</formula>
    </cfRule>
    <cfRule type="cellIs" dxfId="2548" priority="133" operator="equal">
      <formula>"Proactive"</formula>
    </cfRule>
    <cfRule type="cellIs" dxfId="2547" priority="134" operator="equal">
      <formula>"Reactive"</formula>
    </cfRule>
    <cfRule type="cellIs" dxfId="2546" priority="135" operator="equal">
      <formula>"No Formal Approach"</formula>
    </cfRule>
  </conditionalFormatting>
  <conditionalFormatting sqref="I81:I86">
    <cfRule type="cellIs" dxfId="2545" priority="126" operator="equal">
      <formula>"Improving"</formula>
    </cfRule>
    <cfRule type="cellIs" dxfId="2544" priority="127" operator="equal">
      <formula>"Optimising"</formula>
    </cfRule>
    <cfRule type="cellIs" dxfId="2543" priority="128" operator="equal">
      <formula>"Proactive"</formula>
    </cfRule>
    <cfRule type="cellIs" dxfId="2542" priority="129" operator="equal">
      <formula>"Reactive"</formula>
    </cfRule>
    <cfRule type="cellIs" dxfId="2541" priority="130" operator="equal">
      <formula>"No Formal Approach"</formula>
    </cfRule>
  </conditionalFormatting>
  <conditionalFormatting sqref="I88:I93">
    <cfRule type="cellIs" dxfId="2540" priority="121" operator="equal">
      <formula>"Improving"</formula>
    </cfRule>
    <cfRule type="cellIs" dxfId="2539" priority="122" operator="equal">
      <formula>"Optimising"</formula>
    </cfRule>
    <cfRule type="cellIs" dxfId="2538" priority="123" operator="equal">
      <formula>"Proactive"</formula>
    </cfRule>
    <cfRule type="cellIs" dxfId="2537" priority="124" operator="equal">
      <formula>"Reactive"</formula>
    </cfRule>
    <cfRule type="cellIs" dxfId="2536" priority="125" operator="equal">
      <formula>"No Formal Approach"</formula>
    </cfRule>
  </conditionalFormatting>
  <conditionalFormatting sqref="G13">
    <cfRule type="cellIs" dxfId="2535" priority="116" operator="between">
      <formula>13</formula>
      <formula>15.9999</formula>
    </cfRule>
    <cfRule type="cellIs" dxfId="2534" priority="117" operator="between">
      <formula>10</formula>
      <formula>12.9999</formula>
    </cfRule>
    <cfRule type="cellIs" dxfId="2533" priority="118" operator="between">
      <formula>7</formula>
      <formula>9.9999</formula>
    </cfRule>
    <cfRule type="cellIs" dxfId="2532" priority="119" operator="between">
      <formula>4</formula>
      <formula>6.9999</formula>
    </cfRule>
    <cfRule type="cellIs" dxfId="2531" priority="120" operator="between">
      <formula>0.1</formula>
      <formula>3.9999</formula>
    </cfRule>
  </conditionalFormatting>
  <conditionalFormatting sqref="I13">
    <cfRule type="cellIs" dxfId="2530" priority="111" operator="equal">
      <formula>"Improving"</formula>
    </cfRule>
    <cfRule type="cellIs" dxfId="2529" priority="112" operator="equal">
      <formula>"Optimising"</formula>
    </cfRule>
    <cfRule type="cellIs" dxfId="2528" priority="113" operator="equal">
      <formula>"Proactive"</formula>
    </cfRule>
    <cfRule type="cellIs" dxfId="2527" priority="114" operator="equal">
      <formula>"Reactive"</formula>
    </cfRule>
    <cfRule type="cellIs" dxfId="2526" priority="115" operator="equal">
      <formula>"No Formal Approach"</formula>
    </cfRule>
  </conditionalFormatting>
  <conditionalFormatting sqref="G36">
    <cfRule type="cellIs" dxfId="2525" priority="106" operator="between">
      <formula>13</formula>
      <formula>15.9999</formula>
    </cfRule>
    <cfRule type="cellIs" dxfId="2524" priority="107" operator="between">
      <formula>10</formula>
      <formula>12.9999</formula>
    </cfRule>
    <cfRule type="cellIs" dxfId="2523" priority="108" operator="between">
      <formula>7</formula>
      <formula>9.9999</formula>
    </cfRule>
    <cfRule type="cellIs" dxfId="2522" priority="109" operator="between">
      <formula>4</formula>
      <formula>6.9999</formula>
    </cfRule>
    <cfRule type="cellIs" dxfId="2521" priority="110" operator="between">
      <formula>0.1</formula>
      <formula>3.9999</formula>
    </cfRule>
  </conditionalFormatting>
  <conditionalFormatting sqref="I36">
    <cfRule type="cellIs" dxfId="2520" priority="101" operator="equal">
      <formula>"Improving"</formula>
    </cfRule>
    <cfRule type="cellIs" dxfId="2519" priority="102" operator="equal">
      <formula>"Optimising"</formula>
    </cfRule>
    <cfRule type="cellIs" dxfId="2518" priority="103" operator="equal">
      <formula>"Proactive"</formula>
    </cfRule>
    <cfRule type="cellIs" dxfId="2517" priority="104" operator="equal">
      <formula>"Reactive"</formula>
    </cfRule>
    <cfRule type="cellIs" dxfId="2516" priority="105" operator="equal">
      <formula>"No Formal Approach"</formula>
    </cfRule>
  </conditionalFormatting>
  <conditionalFormatting sqref="G43">
    <cfRule type="cellIs" dxfId="2515" priority="96" operator="between">
      <formula>13</formula>
      <formula>15.9999</formula>
    </cfRule>
    <cfRule type="cellIs" dxfId="2514" priority="97" operator="between">
      <formula>10</formula>
      <formula>12.9999</formula>
    </cfRule>
    <cfRule type="cellIs" dxfId="2513" priority="98" operator="between">
      <formula>7</formula>
      <formula>9.9999</formula>
    </cfRule>
    <cfRule type="cellIs" dxfId="2512" priority="99" operator="between">
      <formula>4</formula>
      <formula>6.9999</formula>
    </cfRule>
    <cfRule type="cellIs" dxfId="2511" priority="100" operator="between">
      <formula>0.1</formula>
      <formula>3.9999</formula>
    </cfRule>
  </conditionalFormatting>
  <conditionalFormatting sqref="I43">
    <cfRule type="cellIs" dxfId="2510" priority="91" operator="equal">
      <formula>"Improving"</formula>
    </cfRule>
    <cfRule type="cellIs" dxfId="2509" priority="92" operator="equal">
      <formula>"Optimising"</formula>
    </cfRule>
    <cfRule type="cellIs" dxfId="2508" priority="93" operator="equal">
      <formula>"Proactive"</formula>
    </cfRule>
    <cfRule type="cellIs" dxfId="2507" priority="94" operator="equal">
      <formula>"Reactive"</formula>
    </cfRule>
    <cfRule type="cellIs" dxfId="2506" priority="95" operator="equal">
      <formula>"No Formal Approach"</formula>
    </cfRule>
  </conditionalFormatting>
  <conditionalFormatting sqref="G52">
    <cfRule type="cellIs" dxfId="2505" priority="86" operator="between">
      <formula>13</formula>
      <formula>15.9999</formula>
    </cfRule>
    <cfRule type="cellIs" dxfId="2504" priority="87" operator="between">
      <formula>10</formula>
      <formula>12.9999</formula>
    </cfRule>
    <cfRule type="cellIs" dxfId="2503" priority="88" operator="between">
      <formula>7</formula>
      <formula>9.9999</formula>
    </cfRule>
    <cfRule type="cellIs" dxfId="2502" priority="89" operator="between">
      <formula>4</formula>
      <formula>6.9999</formula>
    </cfRule>
    <cfRule type="cellIs" dxfId="2501" priority="90" operator="between">
      <formula>0.1</formula>
      <formula>3.9999</formula>
    </cfRule>
  </conditionalFormatting>
  <conditionalFormatting sqref="I52">
    <cfRule type="cellIs" dxfId="2500" priority="81" operator="equal">
      <formula>"Improving"</formula>
    </cfRule>
    <cfRule type="cellIs" dxfId="2499" priority="82" operator="equal">
      <formula>"Optimising"</formula>
    </cfRule>
    <cfRule type="cellIs" dxfId="2498" priority="83" operator="equal">
      <formula>"Proactive"</formula>
    </cfRule>
    <cfRule type="cellIs" dxfId="2497" priority="84" operator="equal">
      <formula>"Reactive"</formula>
    </cfRule>
    <cfRule type="cellIs" dxfId="2496" priority="85" operator="equal">
      <formula>"No Formal Approach"</formula>
    </cfRule>
  </conditionalFormatting>
  <conditionalFormatting sqref="G59">
    <cfRule type="cellIs" dxfId="2495" priority="76" operator="between">
      <formula>13</formula>
      <formula>15.9999</formula>
    </cfRule>
    <cfRule type="cellIs" dxfId="2494" priority="77" operator="between">
      <formula>10</formula>
      <formula>12.9999</formula>
    </cfRule>
    <cfRule type="cellIs" dxfId="2493" priority="78" operator="between">
      <formula>7</formula>
      <formula>9.9999</formula>
    </cfRule>
    <cfRule type="cellIs" dxfId="2492" priority="79" operator="between">
      <formula>4</formula>
      <formula>6.9999</formula>
    </cfRule>
    <cfRule type="cellIs" dxfId="2491" priority="80" operator="between">
      <formula>0.1</formula>
      <formula>3.9999</formula>
    </cfRule>
  </conditionalFormatting>
  <conditionalFormatting sqref="I59">
    <cfRule type="cellIs" dxfId="2490" priority="71" operator="equal">
      <formula>"Improving"</formula>
    </cfRule>
    <cfRule type="cellIs" dxfId="2489" priority="72" operator="equal">
      <formula>"Optimising"</formula>
    </cfRule>
    <cfRule type="cellIs" dxfId="2488" priority="73" operator="equal">
      <formula>"Proactive"</formula>
    </cfRule>
    <cfRule type="cellIs" dxfId="2487" priority="74" operator="equal">
      <formula>"Reactive"</formula>
    </cfRule>
    <cfRule type="cellIs" dxfId="2486" priority="75" operator="equal">
      <formula>"No Formal Approach"</formula>
    </cfRule>
  </conditionalFormatting>
  <conditionalFormatting sqref="G63">
    <cfRule type="cellIs" dxfId="2485" priority="66" operator="between">
      <formula>13</formula>
      <formula>15.9999</formula>
    </cfRule>
    <cfRule type="cellIs" dxfId="2484" priority="67" operator="between">
      <formula>10</formula>
      <formula>12.9999</formula>
    </cfRule>
    <cfRule type="cellIs" dxfId="2483" priority="68" operator="between">
      <formula>7</formula>
      <formula>9.9999</formula>
    </cfRule>
    <cfRule type="cellIs" dxfId="2482" priority="69" operator="between">
      <formula>4</formula>
      <formula>6.9999</formula>
    </cfRule>
    <cfRule type="cellIs" dxfId="2481" priority="70" operator="between">
      <formula>0.1</formula>
      <formula>3.9999</formula>
    </cfRule>
  </conditionalFormatting>
  <conditionalFormatting sqref="I63">
    <cfRule type="cellIs" dxfId="2480" priority="61" operator="equal">
      <formula>"Improving"</formula>
    </cfRule>
    <cfRule type="cellIs" dxfId="2479" priority="62" operator="equal">
      <formula>"Optimising"</formula>
    </cfRule>
    <cfRule type="cellIs" dxfId="2478" priority="63" operator="equal">
      <formula>"Proactive"</formula>
    </cfRule>
    <cfRule type="cellIs" dxfId="2477" priority="64" operator="equal">
      <formula>"Reactive"</formula>
    </cfRule>
    <cfRule type="cellIs" dxfId="2476" priority="65" operator="equal">
      <formula>"No Formal Approach"</formula>
    </cfRule>
  </conditionalFormatting>
  <conditionalFormatting sqref="G66">
    <cfRule type="cellIs" dxfId="2475" priority="56" operator="between">
      <formula>13</formula>
      <formula>15.9999</formula>
    </cfRule>
    <cfRule type="cellIs" dxfId="2474" priority="57" operator="between">
      <formula>10</formula>
      <formula>12.9999</formula>
    </cfRule>
    <cfRule type="cellIs" dxfId="2473" priority="58" operator="between">
      <formula>7</formula>
      <formula>9.9999</formula>
    </cfRule>
    <cfRule type="cellIs" dxfId="2472" priority="59" operator="between">
      <formula>4</formula>
      <formula>6.9999</formula>
    </cfRule>
    <cfRule type="cellIs" dxfId="2471" priority="60" operator="between">
      <formula>0.1</formula>
      <formula>3.9999</formula>
    </cfRule>
  </conditionalFormatting>
  <conditionalFormatting sqref="I66">
    <cfRule type="cellIs" dxfId="2470" priority="51" operator="equal">
      <formula>"Improving"</formula>
    </cfRule>
    <cfRule type="cellIs" dxfId="2469" priority="52" operator="equal">
      <formula>"Optimising"</formula>
    </cfRule>
    <cfRule type="cellIs" dxfId="2468" priority="53" operator="equal">
      <formula>"Proactive"</formula>
    </cfRule>
    <cfRule type="cellIs" dxfId="2467" priority="54" operator="equal">
      <formula>"Reactive"</formula>
    </cfRule>
    <cfRule type="cellIs" dxfId="2466" priority="55" operator="equal">
      <formula>"No Formal Approach"</formula>
    </cfRule>
  </conditionalFormatting>
  <conditionalFormatting sqref="G73">
    <cfRule type="cellIs" dxfId="2465" priority="46" operator="between">
      <formula>13</formula>
      <formula>15.9999</formula>
    </cfRule>
    <cfRule type="cellIs" dxfId="2464" priority="47" operator="between">
      <formula>10</formula>
      <formula>12.9999</formula>
    </cfRule>
    <cfRule type="cellIs" dxfId="2463" priority="48" operator="between">
      <formula>7</formula>
      <formula>9.9999</formula>
    </cfRule>
    <cfRule type="cellIs" dxfId="2462" priority="49" operator="between">
      <formula>4</formula>
      <formula>6.9999</formula>
    </cfRule>
    <cfRule type="cellIs" dxfId="2461" priority="50" operator="between">
      <formula>0.1</formula>
      <formula>3.9999</formula>
    </cfRule>
  </conditionalFormatting>
  <conditionalFormatting sqref="I73">
    <cfRule type="cellIs" dxfId="2460" priority="41" operator="equal">
      <formula>"Improving"</formula>
    </cfRule>
    <cfRule type="cellIs" dxfId="2459" priority="42" operator="equal">
      <formula>"Optimising"</formula>
    </cfRule>
    <cfRule type="cellIs" dxfId="2458" priority="43" operator="equal">
      <formula>"Proactive"</formula>
    </cfRule>
    <cfRule type="cellIs" dxfId="2457" priority="44" operator="equal">
      <formula>"Reactive"</formula>
    </cfRule>
    <cfRule type="cellIs" dxfId="2456" priority="45" operator="equal">
      <formula>"No Formal Approach"</formula>
    </cfRule>
  </conditionalFormatting>
  <conditionalFormatting sqref="G80">
    <cfRule type="cellIs" dxfId="2455" priority="36" operator="between">
      <formula>13</formula>
      <formula>15.9999</formula>
    </cfRule>
    <cfRule type="cellIs" dxfId="2454" priority="37" operator="between">
      <formula>10</formula>
      <formula>12.9999</formula>
    </cfRule>
    <cfRule type="cellIs" dxfId="2453" priority="38" operator="between">
      <formula>7</formula>
      <formula>9.9999</formula>
    </cfRule>
    <cfRule type="cellIs" dxfId="2452" priority="39" operator="between">
      <formula>4</formula>
      <formula>6.9999</formula>
    </cfRule>
    <cfRule type="cellIs" dxfId="2451" priority="40" operator="between">
      <formula>0.1</formula>
      <formula>3.9999</formula>
    </cfRule>
  </conditionalFormatting>
  <conditionalFormatting sqref="I80">
    <cfRule type="cellIs" dxfId="2450" priority="31" operator="equal">
      <formula>"Improving"</formula>
    </cfRule>
    <cfRule type="cellIs" dxfId="2449" priority="32" operator="equal">
      <formula>"Optimising"</formula>
    </cfRule>
    <cfRule type="cellIs" dxfId="2448" priority="33" operator="equal">
      <formula>"Proactive"</formula>
    </cfRule>
    <cfRule type="cellIs" dxfId="2447" priority="34" operator="equal">
      <formula>"Reactive"</formula>
    </cfRule>
    <cfRule type="cellIs" dxfId="2446" priority="35" operator="equal">
      <formula>"No Formal Approach"</formula>
    </cfRule>
  </conditionalFormatting>
  <conditionalFormatting sqref="G87">
    <cfRule type="cellIs" dxfId="2445" priority="26" operator="between">
      <formula>13</formula>
      <formula>15.9999</formula>
    </cfRule>
    <cfRule type="cellIs" dxfId="2444" priority="27" operator="between">
      <formula>10</formula>
      <formula>12.9999</formula>
    </cfRule>
    <cfRule type="cellIs" dxfId="2443" priority="28" operator="between">
      <formula>7</formula>
      <formula>9.9999</formula>
    </cfRule>
    <cfRule type="cellIs" dxfId="2442" priority="29" operator="between">
      <formula>4</formula>
      <formula>6.9999</formula>
    </cfRule>
    <cfRule type="cellIs" dxfId="2441" priority="30" operator="between">
      <formula>0.1</formula>
      <formula>3.9999</formula>
    </cfRule>
  </conditionalFormatting>
  <conditionalFormatting sqref="I87">
    <cfRule type="cellIs" dxfId="2440" priority="21" operator="equal">
      <formula>"Improving"</formula>
    </cfRule>
    <cfRule type="cellIs" dxfId="2439" priority="22" operator="equal">
      <formula>"Optimising"</formula>
    </cfRule>
    <cfRule type="cellIs" dxfId="2438" priority="23" operator="equal">
      <formula>"Proactive"</formula>
    </cfRule>
    <cfRule type="cellIs" dxfId="2437" priority="24" operator="equal">
      <formula>"Reactive"</formula>
    </cfRule>
    <cfRule type="cellIs" dxfId="2436" priority="25" operator="equal">
      <formula>"No Formal Approach"</formula>
    </cfRule>
  </conditionalFormatting>
  <conditionalFormatting sqref="G94">
    <cfRule type="cellIs" dxfId="2435" priority="16" operator="between">
      <formula>13</formula>
      <formula>15.9999</formula>
    </cfRule>
    <cfRule type="cellIs" dxfId="2434" priority="17" operator="between">
      <formula>10</formula>
      <formula>12.9999</formula>
    </cfRule>
    <cfRule type="cellIs" dxfId="2433" priority="18" operator="between">
      <formula>7</formula>
      <formula>9.9999</formula>
    </cfRule>
    <cfRule type="cellIs" dxfId="2432" priority="19" operator="between">
      <formula>4</formula>
      <formula>6.9999</formula>
    </cfRule>
    <cfRule type="cellIs" dxfId="2431" priority="20" operator="between">
      <formula>0.1</formula>
      <formula>3.9999</formula>
    </cfRule>
  </conditionalFormatting>
  <conditionalFormatting sqref="I94">
    <cfRule type="cellIs" dxfId="2430" priority="11" operator="equal">
      <formula>"Improving"</formula>
    </cfRule>
    <cfRule type="cellIs" dxfId="2429" priority="12" operator="equal">
      <formula>"Optimising"</formula>
    </cfRule>
    <cfRule type="cellIs" dxfId="2428" priority="13" operator="equal">
      <formula>"Proactive"</formula>
    </cfRule>
    <cfRule type="cellIs" dxfId="2427" priority="14" operator="equal">
      <formula>"Reactive"</formula>
    </cfRule>
    <cfRule type="cellIs" dxfId="2426" priority="15" operator="equal">
      <formula>"No Formal Approach"</formula>
    </cfRule>
  </conditionalFormatting>
  <conditionalFormatting sqref="G95:G100">
    <cfRule type="cellIs" dxfId="2425" priority="6" operator="between">
      <formula>13</formula>
      <formula>15.9999</formula>
    </cfRule>
    <cfRule type="cellIs" dxfId="2424" priority="7" operator="between">
      <formula>10</formula>
      <formula>12.9999</formula>
    </cfRule>
    <cfRule type="cellIs" dxfId="2423" priority="8" operator="between">
      <formula>7</formula>
      <formula>9.9999</formula>
    </cfRule>
    <cfRule type="cellIs" dxfId="2422" priority="9" operator="between">
      <formula>4</formula>
      <formula>6.9999</formula>
    </cfRule>
    <cfRule type="cellIs" dxfId="2421" priority="10" operator="between">
      <formula>0.1</formula>
      <formula>3.9999</formula>
    </cfRule>
  </conditionalFormatting>
  <conditionalFormatting sqref="I95:I100">
    <cfRule type="cellIs" dxfId="2420" priority="1" operator="equal">
      <formula>"Improving"</formula>
    </cfRule>
    <cfRule type="cellIs" dxfId="2419" priority="2" operator="equal">
      <formula>"Optimising"</formula>
    </cfRule>
    <cfRule type="cellIs" dxfId="2418" priority="3" operator="equal">
      <formula>"Proactive"</formula>
    </cfRule>
    <cfRule type="cellIs" dxfId="2417" priority="4" operator="equal">
      <formula>"Reactive"</formula>
    </cfRule>
    <cfRule type="cellIs" dxfId="241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1'!O15</f>
        <v xml:space="preserve">Subject 8 </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2415" priority="236" operator="between">
      <formula>13</formula>
      <formula>15.9999</formula>
    </cfRule>
    <cfRule type="cellIs" dxfId="2414" priority="237" operator="between">
      <formula>10</formula>
      <formula>12.9999</formula>
    </cfRule>
    <cfRule type="cellIs" dxfId="2413" priority="238" operator="between">
      <formula>7</formula>
      <formula>9.9999</formula>
    </cfRule>
    <cfRule type="cellIs" dxfId="2412" priority="239" operator="between">
      <formula>4</formula>
      <formula>6.9999</formula>
    </cfRule>
    <cfRule type="cellIs" dxfId="2411" priority="240" operator="between">
      <formula>0.1</formula>
      <formula>3.9999</formula>
    </cfRule>
  </conditionalFormatting>
  <conditionalFormatting sqref="I5">
    <cfRule type="cellIs" dxfId="2410" priority="231" operator="equal">
      <formula>"Improving"</formula>
    </cfRule>
    <cfRule type="cellIs" dxfId="2409" priority="232" operator="equal">
      <formula>"Optimising"</formula>
    </cfRule>
    <cfRule type="cellIs" dxfId="2408" priority="233" operator="equal">
      <formula>"Proactive"</formula>
    </cfRule>
    <cfRule type="cellIs" dxfId="2407" priority="234" operator="equal">
      <formula>"Reactive"</formula>
    </cfRule>
    <cfRule type="cellIs" dxfId="2406" priority="235" operator="equal">
      <formula>"No Formal Approach"</formula>
    </cfRule>
  </conditionalFormatting>
  <conditionalFormatting sqref="G6:G12">
    <cfRule type="cellIs" dxfId="2405" priority="226" operator="between">
      <formula>13</formula>
      <formula>15.9999</formula>
    </cfRule>
    <cfRule type="cellIs" dxfId="2404" priority="227" operator="between">
      <formula>10</formula>
      <formula>12.9999</formula>
    </cfRule>
    <cfRule type="cellIs" dxfId="2403" priority="228" operator="between">
      <formula>7</formula>
      <formula>9.9999</formula>
    </cfRule>
    <cfRule type="cellIs" dxfId="2402" priority="229" operator="between">
      <formula>4</formula>
      <formula>6.9999</formula>
    </cfRule>
    <cfRule type="cellIs" dxfId="2401" priority="230" operator="between">
      <formula>0.1</formula>
      <formula>3.9999</formula>
    </cfRule>
  </conditionalFormatting>
  <conditionalFormatting sqref="G14:G35">
    <cfRule type="cellIs" dxfId="2400" priority="221" operator="between">
      <formula>13</formula>
      <formula>15.9999</formula>
    </cfRule>
    <cfRule type="cellIs" dxfId="2399" priority="222" operator="between">
      <formula>10</formula>
      <formula>12.9999</formula>
    </cfRule>
    <cfRule type="cellIs" dxfId="2398" priority="223" operator="between">
      <formula>7</formula>
      <formula>9.9999</formula>
    </cfRule>
    <cfRule type="cellIs" dxfId="2397" priority="224" operator="between">
      <formula>4</formula>
      <formula>6.9999</formula>
    </cfRule>
    <cfRule type="cellIs" dxfId="2396" priority="225" operator="between">
      <formula>0.1</formula>
      <formula>3.9999</formula>
    </cfRule>
  </conditionalFormatting>
  <conditionalFormatting sqref="G37:G42">
    <cfRule type="cellIs" dxfId="2395" priority="216" operator="between">
      <formula>13</formula>
      <formula>15.9999</formula>
    </cfRule>
    <cfRule type="cellIs" dxfId="2394" priority="217" operator="between">
      <formula>10</formula>
      <formula>12.9999</formula>
    </cfRule>
    <cfRule type="cellIs" dxfId="2393" priority="218" operator="between">
      <formula>7</formula>
      <formula>9.9999</formula>
    </cfRule>
    <cfRule type="cellIs" dxfId="2392" priority="219" operator="between">
      <formula>4</formula>
      <formula>6.9999</formula>
    </cfRule>
    <cfRule type="cellIs" dxfId="2391" priority="220" operator="between">
      <formula>0.1</formula>
      <formula>3.9999</formula>
    </cfRule>
  </conditionalFormatting>
  <conditionalFormatting sqref="G44:G51">
    <cfRule type="cellIs" dxfId="2390" priority="211" operator="between">
      <formula>13</formula>
      <formula>15.9999</formula>
    </cfRule>
    <cfRule type="cellIs" dxfId="2389" priority="212" operator="between">
      <formula>10</formula>
      <formula>12.9999</formula>
    </cfRule>
    <cfRule type="cellIs" dxfId="2388" priority="213" operator="between">
      <formula>7</formula>
      <formula>9.9999</formula>
    </cfRule>
    <cfRule type="cellIs" dxfId="2387" priority="214" operator="between">
      <formula>4</formula>
      <formula>6.9999</formula>
    </cfRule>
    <cfRule type="cellIs" dxfId="2386" priority="215" operator="between">
      <formula>0.1</formula>
      <formula>3.9999</formula>
    </cfRule>
  </conditionalFormatting>
  <conditionalFormatting sqref="G53:G58">
    <cfRule type="cellIs" dxfId="2385" priority="206" operator="between">
      <formula>13</formula>
      <formula>15.9999</formula>
    </cfRule>
    <cfRule type="cellIs" dxfId="2384" priority="207" operator="between">
      <formula>10</formula>
      <formula>12.9999</formula>
    </cfRule>
    <cfRule type="cellIs" dxfId="2383" priority="208" operator="between">
      <formula>7</formula>
      <formula>9.9999</formula>
    </cfRule>
    <cfRule type="cellIs" dxfId="2382" priority="209" operator="between">
      <formula>4</formula>
      <formula>6.9999</formula>
    </cfRule>
    <cfRule type="cellIs" dxfId="2381" priority="210" operator="between">
      <formula>0.1</formula>
      <formula>3.9999</formula>
    </cfRule>
  </conditionalFormatting>
  <conditionalFormatting sqref="G60:G62">
    <cfRule type="cellIs" dxfId="2380" priority="201" operator="between">
      <formula>13</formula>
      <formula>15.9999</formula>
    </cfRule>
    <cfRule type="cellIs" dxfId="2379" priority="202" operator="between">
      <formula>10</formula>
      <formula>12.9999</formula>
    </cfRule>
    <cfRule type="cellIs" dxfId="2378" priority="203" operator="between">
      <formula>7</formula>
      <formula>9.9999</formula>
    </cfRule>
    <cfRule type="cellIs" dxfId="2377" priority="204" operator="between">
      <formula>4</formula>
      <formula>6.9999</formula>
    </cfRule>
    <cfRule type="cellIs" dxfId="2376" priority="205" operator="between">
      <formula>0.1</formula>
      <formula>3.9999</formula>
    </cfRule>
  </conditionalFormatting>
  <conditionalFormatting sqref="G64:G65">
    <cfRule type="cellIs" dxfId="2375" priority="196" operator="between">
      <formula>13</formula>
      <formula>15.9999</formula>
    </cfRule>
    <cfRule type="cellIs" dxfId="2374" priority="197" operator="between">
      <formula>10</formula>
      <formula>12.9999</formula>
    </cfRule>
    <cfRule type="cellIs" dxfId="2373" priority="198" operator="between">
      <formula>7</formula>
      <formula>9.9999</formula>
    </cfRule>
    <cfRule type="cellIs" dxfId="2372" priority="199" operator="between">
      <formula>4</formula>
      <formula>6.9999</formula>
    </cfRule>
    <cfRule type="cellIs" dxfId="2371" priority="200" operator="between">
      <formula>0.1</formula>
      <formula>3.9999</formula>
    </cfRule>
  </conditionalFormatting>
  <conditionalFormatting sqref="G67:G72">
    <cfRule type="cellIs" dxfId="2370" priority="191" operator="between">
      <formula>13</formula>
      <formula>15.9999</formula>
    </cfRule>
    <cfRule type="cellIs" dxfId="2369" priority="192" operator="between">
      <formula>10</formula>
      <formula>12.9999</formula>
    </cfRule>
    <cfRule type="cellIs" dxfId="2368" priority="193" operator="between">
      <formula>7</formula>
      <formula>9.9999</formula>
    </cfRule>
    <cfRule type="cellIs" dxfId="2367" priority="194" operator="between">
      <formula>4</formula>
      <formula>6.9999</formula>
    </cfRule>
    <cfRule type="cellIs" dxfId="2366" priority="195" operator="between">
      <formula>0.1</formula>
      <formula>3.9999</formula>
    </cfRule>
  </conditionalFormatting>
  <conditionalFormatting sqref="G74:G79">
    <cfRule type="cellIs" dxfId="2365" priority="186" operator="between">
      <formula>13</formula>
      <formula>15.9999</formula>
    </cfRule>
    <cfRule type="cellIs" dxfId="2364" priority="187" operator="between">
      <formula>10</formula>
      <formula>12.9999</formula>
    </cfRule>
    <cfRule type="cellIs" dxfId="2363" priority="188" operator="between">
      <formula>7</formula>
      <formula>9.9999</formula>
    </cfRule>
    <cfRule type="cellIs" dxfId="2362" priority="189" operator="between">
      <formula>4</formula>
      <formula>6.9999</formula>
    </cfRule>
    <cfRule type="cellIs" dxfId="2361" priority="190" operator="between">
      <formula>0.1</formula>
      <formula>3.9999</formula>
    </cfRule>
  </conditionalFormatting>
  <conditionalFormatting sqref="G81:G86">
    <cfRule type="cellIs" dxfId="2360" priority="181" operator="between">
      <formula>13</formula>
      <formula>15.9999</formula>
    </cfRule>
    <cfRule type="cellIs" dxfId="2359" priority="182" operator="between">
      <formula>10</formula>
      <formula>12.9999</formula>
    </cfRule>
    <cfRule type="cellIs" dxfId="2358" priority="183" operator="between">
      <formula>7</formula>
      <formula>9.9999</formula>
    </cfRule>
    <cfRule type="cellIs" dxfId="2357" priority="184" operator="between">
      <formula>4</formula>
      <formula>6.9999</formula>
    </cfRule>
    <cfRule type="cellIs" dxfId="2356" priority="185" operator="between">
      <formula>0.1</formula>
      <formula>3.9999</formula>
    </cfRule>
  </conditionalFormatting>
  <conditionalFormatting sqref="G88:G93">
    <cfRule type="cellIs" dxfId="2355" priority="176" operator="between">
      <formula>13</formula>
      <formula>15.9999</formula>
    </cfRule>
    <cfRule type="cellIs" dxfId="2354" priority="177" operator="between">
      <formula>10</formula>
      <formula>12.9999</formula>
    </cfRule>
    <cfRule type="cellIs" dxfId="2353" priority="178" operator="between">
      <formula>7</formula>
      <formula>9.9999</formula>
    </cfRule>
    <cfRule type="cellIs" dxfId="2352" priority="179" operator="between">
      <formula>4</formula>
      <formula>6.9999</formula>
    </cfRule>
    <cfRule type="cellIs" dxfId="2351" priority="180" operator="between">
      <formula>0.1</formula>
      <formula>3.9999</formula>
    </cfRule>
  </conditionalFormatting>
  <conditionalFormatting sqref="I6:I12">
    <cfRule type="cellIs" dxfId="2350" priority="171" operator="equal">
      <formula>"Improving"</formula>
    </cfRule>
    <cfRule type="cellIs" dxfId="2349" priority="172" operator="equal">
      <formula>"Optimising"</formula>
    </cfRule>
    <cfRule type="cellIs" dxfId="2348" priority="173" operator="equal">
      <formula>"Proactive"</formula>
    </cfRule>
    <cfRule type="cellIs" dxfId="2347" priority="174" operator="equal">
      <formula>"Reactive"</formula>
    </cfRule>
    <cfRule type="cellIs" dxfId="2346" priority="175" operator="equal">
      <formula>"No Formal Approach"</formula>
    </cfRule>
  </conditionalFormatting>
  <conditionalFormatting sqref="I14:I35">
    <cfRule type="cellIs" dxfId="2345" priority="166" operator="equal">
      <formula>"Improving"</formula>
    </cfRule>
    <cfRule type="cellIs" dxfId="2344" priority="167" operator="equal">
      <formula>"Optimising"</formula>
    </cfRule>
    <cfRule type="cellIs" dxfId="2343" priority="168" operator="equal">
      <formula>"Proactive"</formula>
    </cfRule>
    <cfRule type="cellIs" dxfId="2342" priority="169" operator="equal">
      <formula>"Reactive"</formula>
    </cfRule>
    <cfRule type="cellIs" dxfId="2341" priority="170" operator="equal">
      <formula>"No Formal Approach"</formula>
    </cfRule>
  </conditionalFormatting>
  <conditionalFormatting sqref="I37:I42">
    <cfRule type="cellIs" dxfId="2340" priority="161" operator="equal">
      <formula>"Improving"</formula>
    </cfRule>
    <cfRule type="cellIs" dxfId="2339" priority="162" operator="equal">
      <formula>"Optimising"</formula>
    </cfRule>
    <cfRule type="cellIs" dxfId="2338" priority="163" operator="equal">
      <formula>"Proactive"</formula>
    </cfRule>
    <cfRule type="cellIs" dxfId="2337" priority="164" operator="equal">
      <formula>"Reactive"</formula>
    </cfRule>
    <cfRule type="cellIs" dxfId="2336" priority="165" operator="equal">
      <formula>"No Formal Approach"</formula>
    </cfRule>
  </conditionalFormatting>
  <conditionalFormatting sqref="I44:I51">
    <cfRule type="cellIs" dxfId="2335" priority="156" operator="equal">
      <formula>"Improving"</formula>
    </cfRule>
    <cfRule type="cellIs" dxfId="2334" priority="157" operator="equal">
      <formula>"Optimising"</formula>
    </cfRule>
    <cfRule type="cellIs" dxfId="2333" priority="158" operator="equal">
      <formula>"Proactive"</formula>
    </cfRule>
    <cfRule type="cellIs" dxfId="2332" priority="159" operator="equal">
      <formula>"Reactive"</formula>
    </cfRule>
    <cfRule type="cellIs" dxfId="2331" priority="160" operator="equal">
      <formula>"No Formal Approach"</formula>
    </cfRule>
  </conditionalFormatting>
  <conditionalFormatting sqref="I53:I58">
    <cfRule type="cellIs" dxfId="2330" priority="151" operator="equal">
      <formula>"Improving"</formula>
    </cfRule>
    <cfRule type="cellIs" dxfId="2329" priority="152" operator="equal">
      <formula>"Optimising"</formula>
    </cfRule>
    <cfRule type="cellIs" dxfId="2328" priority="153" operator="equal">
      <formula>"Proactive"</formula>
    </cfRule>
    <cfRule type="cellIs" dxfId="2327" priority="154" operator="equal">
      <formula>"Reactive"</formula>
    </cfRule>
    <cfRule type="cellIs" dxfId="2326" priority="155" operator="equal">
      <formula>"No Formal Approach"</formula>
    </cfRule>
  </conditionalFormatting>
  <conditionalFormatting sqref="I60:I62">
    <cfRule type="cellIs" dxfId="2325" priority="146" operator="equal">
      <formula>"Improving"</formula>
    </cfRule>
    <cfRule type="cellIs" dxfId="2324" priority="147" operator="equal">
      <formula>"Optimising"</formula>
    </cfRule>
    <cfRule type="cellIs" dxfId="2323" priority="148" operator="equal">
      <formula>"Proactive"</formula>
    </cfRule>
    <cfRule type="cellIs" dxfId="2322" priority="149" operator="equal">
      <formula>"Reactive"</formula>
    </cfRule>
    <cfRule type="cellIs" dxfId="2321" priority="150" operator="equal">
      <formula>"No Formal Approach"</formula>
    </cfRule>
  </conditionalFormatting>
  <conditionalFormatting sqref="I64:I65">
    <cfRule type="cellIs" dxfId="2320" priority="141" operator="equal">
      <formula>"Improving"</formula>
    </cfRule>
    <cfRule type="cellIs" dxfId="2319" priority="142" operator="equal">
      <formula>"Optimising"</formula>
    </cfRule>
    <cfRule type="cellIs" dxfId="2318" priority="143" operator="equal">
      <formula>"Proactive"</formula>
    </cfRule>
    <cfRule type="cellIs" dxfId="2317" priority="144" operator="equal">
      <formula>"Reactive"</formula>
    </cfRule>
    <cfRule type="cellIs" dxfId="2316" priority="145" operator="equal">
      <formula>"No Formal Approach"</formula>
    </cfRule>
  </conditionalFormatting>
  <conditionalFormatting sqref="I67:I72">
    <cfRule type="cellIs" dxfId="2315" priority="136" operator="equal">
      <formula>"Improving"</formula>
    </cfRule>
    <cfRule type="cellIs" dxfId="2314" priority="137" operator="equal">
      <formula>"Optimising"</formula>
    </cfRule>
    <cfRule type="cellIs" dxfId="2313" priority="138" operator="equal">
      <formula>"Proactive"</formula>
    </cfRule>
    <cfRule type="cellIs" dxfId="2312" priority="139" operator="equal">
      <formula>"Reactive"</formula>
    </cfRule>
    <cfRule type="cellIs" dxfId="2311" priority="140" operator="equal">
      <formula>"No Formal Approach"</formula>
    </cfRule>
  </conditionalFormatting>
  <conditionalFormatting sqref="I74:I79">
    <cfRule type="cellIs" dxfId="2310" priority="131" operator="equal">
      <formula>"Improving"</formula>
    </cfRule>
    <cfRule type="cellIs" dxfId="2309" priority="132" operator="equal">
      <formula>"Optimising"</formula>
    </cfRule>
    <cfRule type="cellIs" dxfId="2308" priority="133" operator="equal">
      <formula>"Proactive"</formula>
    </cfRule>
    <cfRule type="cellIs" dxfId="2307" priority="134" operator="equal">
      <formula>"Reactive"</formula>
    </cfRule>
    <cfRule type="cellIs" dxfId="2306" priority="135" operator="equal">
      <formula>"No Formal Approach"</formula>
    </cfRule>
  </conditionalFormatting>
  <conditionalFormatting sqref="I81:I86">
    <cfRule type="cellIs" dxfId="2305" priority="126" operator="equal">
      <formula>"Improving"</formula>
    </cfRule>
    <cfRule type="cellIs" dxfId="2304" priority="127" operator="equal">
      <formula>"Optimising"</formula>
    </cfRule>
    <cfRule type="cellIs" dxfId="2303" priority="128" operator="equal">
      <formula>"Proactive"</formula>
    </cfRule>
    <cfRule type="cellIs" dxfId="2302" priority="129" operator="equal">
      <formula>"Reactive"</formula>
    </cfRule>
    <cfRule type="cellIs" dxfId="2301" priority="130" operator="equal">
      <formula>"No Formal Approach"</formula>
    </cfRule>
  </conditionalFormatting>
  <conditionalFormatting sqref="I88:I93">
    <cfRule type="cellIs" dxfId="2300" priority="121" operator="equal">
      <formula>"Improving"</formula>
    </cfRule>
    <cfRule type="cellIs" dxfId="2299" priority="122" operator="equal">
      <formula>"Optimising"</formula>
    </cfRule>
    <cfRule type="cellIs" dxfId="2298" priority="123" operator="equal">
      <formula>"Proactive"</formula>
    </cfRule>
    <cfRule type="cellIs" dxfId="2297" priority="124" operator="equal">
      <formula>"Reactive"</formula>
    </cfRule>
    <cfRule type="cellIs" dxfId="2296" priority="125" operator="equal">
      <formula>"No Formal Approach"</formula>
    </cfRule>
  </conditionalFormatting>
  <conditionalFormatting sqref="G13">
    <cfRule type="cellIs" dxfId="2295" priority="116" operator="between">
      <formula>13</formula>
      <formula>15.9999</formula>
    </cfRule>
    <cfRule type="cellIs" dxfId="2294" priority="117" operator="between">
      <formula>10</formula>
      <formula>12.9999</formula>
    </cfRule>
    <cfRule type="cellIs" dxfId="2293" priority="118" operator="between">
      <formula>7</formula>
      <formula>9.9999</formula>
    </cfRule>
    <cfRule type="cellIs" dxfId="2292" priority="119" operator="between">
      <formula>4</formula>
      <formula>6.9999</formula>
    </cfRule>
    <cfRule type="cellIs" dxfId="2291" priority="120" operator="between">
      <formula>0.1</formula>
      <formula>3.9999</formula>
    </cfRule>
  </conditionalFormatting>
  <conditionalFormatting sqref="I13">
    <cfRule type="cellIs" dxfId="2290" priority="111" operator="equal">
      <formula>"Improving"</formula>
    </cfRule>
    <cfRule type="cellIs" dxfId="2289" priority="112" operator="equal">
      <formula>"Optimising"</formula>
    </cfRule>
    <cfRule type="cellIs" dxfId="2288" priority="113" operator="equal">
      <formula>"Proactive"</formula>
    </cfRule>
    <cfRule type="cellIs" dxfId="2287" priority="114" operator="equal">
      <formula>"Reactive"</formula>
    </cfRule>
    <cfRule type="cellIs" dxfId="2286" priority="115" operator="equal">
      <formula>"No Formal Approach"</formula>
    </cfRule>
  </conditionalFormatting>
  <conditionalFormatting sqref="G36">
    <cfRule type="cellIs" dxfId="2285" priority="106" operator="between">
      <formula>13</formula>
      <formula>15.9999</formula>
    </cfRule>
    <cfRule type="cellIs" dxfId="2284" priority="107" operator="between">
      <formula>10</formula>
      <formula>12.9999</formula>
    </cfRule>
    <cfRule type="cellIs" dxfId="2283" priority="108" operator="between">
      <formula>7</formula>
      <formula>9.9999</formula>
    </cfRule>
    <cfRule type="cellIs" dxfId="2282" priority="109" operator="between">
      <formula>4</formula>
      <formula>6.9999</formula>
    </cfRule>
    <cfRule type="cellIs" dxfId="2281" priority="110" operator="between">
      <formula>0.1</formula>
      <formula>3.9999</formula>
    </cfRule>
  </conditionalFormatting>
  <conditionalFormatting sqref="I36">
    <cfRule type="cellIs" dxfId="2280" priority="101" operator="equal">
      <formula>"Improving"</formula>
    </cfRule>
    <cfRule type="cellIs" dxfId="2279" priority="102" operator="equal">
      <formula>"Optimising"</formula>
    </cfRule>
    <cfRule type="cellIs" dxfId="2278" priority="103" operator="equal">
      <formula>"Proactive"</formula>
    </cfRule>
    <cfRule type="cellIs" dxfId="2277" priority="104" operator="equal">
      <formula>"Reactive"</formula>
    </cfRule>
    <cfRule type="cellIs" dxfId="2276" priority="105" operator="equal">
      <formula>"No Formal Approach"</formula>
    </cfRule>
  </conditionalFormatting>
  <conditionalFormatting sqref="G43">
    <cfRule type="cellIs" dxfId="2275" priority="96" operator="between">
      <formula>13</formula>
      <formula>15.9999</formula>
    </cfRule>
    <cfRule type="cellIs" dxfId="2274" priority="97" operator="between">
      <formula>10</formula>
      <formula>12.9999</formula>
    </cfRule>
    <cfRule type="cellIs" dxfId="2273" priority="98" operator="between">
      <formula>7</formula>
      <formula>9.9999</formula>
    </cfRule>
    <cfRule type="cellIs" dxfId="2272" priority="99" operator="between">
      <formula>4</formula>
      <formula>6.9999</formula>
    </cfRule>
    <cfRule type="cellIs" dxfId="2271" priority="100" operator="between">
      <formula>0.1</formula>
      <formula>3.9999</formula>
    </cfRule>
  </conditionalFormatting>
  <conditionalFormatting sqref="I43">
    <cfRule type="cellIs" dxfId="2270" priority="91" operator="equal">
      <formula>"Improving"</formula>
    </cfRule>
    <cfRule type="cellIs" dxfId="2269" priority="92" operator="equal">
      <formula>"Optimising"</formula>
    </cfRule>
    <cfRule type="cellIs" dxfId="2268" priority="93" operator="equal">
      <formula>"Proactive"</formula>
    </cfRule>
    <cfRule type="cellIs" dxfId="2267" priority="94" operator="equal">
      <formula>"Reactive"</formula>
    </cfRule>
    <cfRule type="cellIs" dxfId="2266" priority="95" operator="equal">
      <formula>"No Formal Approach"</formula>
    </cfRule>
  </conditionalFormatting>
  <conditionalFormatting sqref="G52">
    <cfRule type="cellIs" dxfId="2265" priority="86" operator="between">
      <formula>13</formula>
      <formula>15.9999</formula>
    </cfRule>
    <cfRule type="cellIs" dxfId="2264" priority="87" operator="between">
      <formula>10</formula>
      <formula>12.9999</formula>
    </cfRule>
    <cfRule type="cellIs" dxfId="2263" priority="88" operator="between">
      <formula>7</formula>
      <formula>9.9999</formula>
    </cfRule>
    <cfRule type="cellIs" dxfId="2262" priority="89" operator="between">
      <formula>4</formula>
      <formula>6.9999</formula>
    </cfRule>
    <cfRule type="cellIs" dxfId="2261" priority="90" operator="between">
      <formula>0.1</formula>
      <formula>3.9999</formula>
    </cfRule>
  </conditionalFormatting>
  <conditionalFormatting sqref="I52">
    <cfRule type="cellIs" dxfId="2260" priority="81" operator="equal">
      <formula>"Improving"</formula>
    </cfRule>
    <cfRule type="cellIs" dxfId="2259" priority="82" operator="equal">
      <formula>"Optimising"</formula>
    </cfRule>
    <cfRule type="cellIs" dxfId="2258" priority="83" operator="equal">
      <formula>"Proactive"</formula>
    </cfRule>
    <cfRule type="cellIs" dxfId="2257" priority="84" operator="equal">
      <formula>"Reactive"</formula>
    </cfRule>
    <cfRule type="cellIs" dxfId="2256" priority="85" operator="equal">
      <formula>"No Formal Approach"</formula>
    </cfRule>
  </conditionalFormatting>
  <conditionalFormatting sqref="G59">
    <cfRule type="cellIs" dxfId="2255" priority="76" operator="between">
      <formula>13</formula>
      <formula>15.9999</formula>
    </cfRule>
    <cfRule type="cellIs" dxfId="2254" priority="77" operator="between">
      <formula>10</formula>
      <formula>12.9999</formula>
    </cfRule>
    <cfRule type="cellIs" dxfId="2253" priority="78" operator="between">
      <formula>7</formula>
      <formula>9.9999</formula>
    </cfRule>
    <cfRule type="cellIs" dxfId="2252" priority="79" operator="between">
      <formula>4</formula>
      <formula>6.9999</formula>
    </cfRule>
    <cfRule type="cellIs" dxfId="2251" priority="80" operator="between">
      <formula>0.1</formula>
      <formula>3.9999</formula>
    </cfRule>
  </conditionalFormatting>
  <conditionalFormatting sqref="I59">
    <cfRule type="cellIs" dxfId="2250" priority="71" operator="equal">
      <formula>"Improving"</formula>
    </cfRule>
    <cfRule type="cellIs" dxfId="2249" priority="72" operator="equal">
      <formula>"Optimising"</formula>
    </cfRule>
    <cfRule type="cellIs" dxfId="2248" priority="73" operator="equal">
      <formula>"Proactive"</formula>
    </cfRule>
    <cfRule type="cellIs" dxfId="2247" priority="74" operator="equal">
      <formula>"Reactive"</formula>
    </cfRule>
    <cfRule type="cellIs" dxfId="2246" priority="75" operator="equal">
      <formula>"No Formal Approach"</formula>
    </cfRule>
  </conditionalFormatting>
  <conditionalFormatting sqref="G63">
    <cfRule type="cellIs" dxfId="2245" priority="66" operator="between">
      <formula>13</formula>
      <formula>15.9999</formula>
    </cfRule>
    <cfRule type="cellIs" dxfId="2244" priority="67" operator="between">
      <formula>10</formula>
      <formula>12.9999</formula>
    </cfRule>
    <cfRule type="cellIs" dxfId="2243" priority="68" operator="between">
      <formula>7</formula>
      <formula>9.9999</formula>
    </cfRule>
    <cfRule type="cellIs" dxfId="2242" priority="69" operator="between">
      <formula>4</formula>
      <formula>6.9999</formula>
    </cfRule>
    <cfRule type="cellIs" dxfId="2241" priority="70" operator="between">
      <formula>0.1</formula>
      <formula>3.9999</formula>
    </cfRule>
  </conditionalFormatting>
  <conditionalFormatting sqref="I63">
    <cfRule type="cellIs" dxfId="2240" priority="61" operator="equal">
      <formula>"Improving"</formula>
    </cfRule>
    <cfRule type="cellIs" dxfId="2239" priority="62" operator="equal">
      <formula>"Optimising"</formula>
    </cfRule>
    <cfRule type="cellIs" dxfId="2238" priority="63" operator="equal">
      <formula>"Proactive"</formula>
    </cfRule>
    <cfRule type="cellIs" dxfId="2237" priority="64" operator="equal">
      <formula>"Reactive"</formula>
    </cfRule>
    <cfRule type="cellIs" dxfId="2236" priority="65" operator="equal">
      <formula>"No Formal Approach"</formula>
    </cfRule>
  </conditionalFormatting>
  <conditionalFormatting sqref="G66">
    <cfRule type="cellIs" dxfId="2235" priority="56" operator="between">
      <formula>13</formula>
      <formula>15.9999</formula>
    </cfRule>
    <cfRule type="cellIs" dxfId="2234" priority="57" operator="between">
      <formula>10</formula>
      <formula>12.9999</formula>
    </cfRule>
    <cfRule type="cellIs" dxfId="2233" priority="58" operator="between">
      <formula>7</formula>
      <formula>9.9999</formula>
    </cfRule>
    <cfRule type="cellIs" dxfId="2232" priority="59" operator="between">
      <formula>4</formula>
      <formula>6.9999</formula>
    </cfRule>
    <cfRule type="cellIs" dxfId="2231" priority="60" operator="between">
      <formula>0.1</formula>
      <formula>3.9999</formula>
    </cfRule>
  </conditionalFormatting>
  <conditionalFormatting sqref="I66">
    <cfRule type="cellIs" dxfId="2230" priority="51" operator="equal">
      <formula>"Improving"</formula>
    </cfRule>
    <cfRule type="cellIs" dxfId="2229" priority="52" operator="equal">
      <formula>"Optimising"</formula>
    </cfRule>
    <cfRule type="cellIs" dxfId="2228" priority="53" operator="equal">
      <formula>"Proactive"</formula>
    </cfRule>
    <cfRule type="cellIs" dxfId="2227" priority="54" operator="equal">
      <formula>"Reactive"</formula>
    </cfRule>
    <cfRule type="cellIs" dxfId="2226" priority="55" operator="equal">
      <formula>"No Formal Approach"</formula>
    </cfRule>
  </conditionalFormatting>
  <conditionalFormatting sqref="G73">
    <cfRule type="cellIs" dxfId="2225" priority="46" operator="between">
      <formula>13</formula>
      <formula>15.9999</formula>
    </cfRule>
    <cfRule type="cellIs" dxfId="2224" priority="47" operator="between">
      <formula>10</formula>
      <formula>12.9999</formula>
    </cfRule>
    <cfRule type="cellIs" dxfId="2223" priority="48" operator="between">
      <formula>7</formula>
      <formula>9.9999</formula>
    </cfRule>
    <cfRule type="cellIs" dxfId="2222" priority="49" operator="between">
      <formula>4</formula>
      <formula>6.9999</formula>
    </cfRule>
    <cfRule type="cellIs" dxfId="2221" priority="50" operator="between">
      <formula>0.1</formula>
      <formula>3.9999</formula>
    </cfRule>
  </conditionalFormatting>
  <conditionalFormatting sqref="I73">
    <cfRule type="cellIs" dxfId="2220" priority="41" operator="equal">
      <formula>"Improving"</formula>
    </cfRule>
    <cfRule type="cellIs" dxfId="2219" priority="42" operator="equal">
      <formula>"Optimising"</formula>
    </cfRule>
    <cfRule type="cellIs" dxfId="2218" priority="43" operator="equal">
      <formula>"Proactive"</formula>
    </cfRule>
    <cfRule type="cellIs" dxfId="2217" priority="44" operator="equal">
      <formula>"Reactive"</formula>
    </cfRule>
    <cfRule type="cellIs" dxfId="2216" priority="45" operator="equal">
      <formula>"No Formal Approach"</formula>
    </cfRule>
  </conditionalFormatting>
  <conditionalFormatting sqref="G80">
    <cfRule type="cellIs" dxfId="2215" priority="36" operator="between">
      <formula>13</formula>
      <formula>15.9999</formula>
    </cfRule>
    <cfRule type="cellIs" dxfId="2214" priority="37" operator="between">
      <formula>10</formula>
      <formula>12.9999</formula>
    </cfRule>
    <cfRule type="cellIs" dxfId="2213" priority="38" operator="between">
      <formula>7</formula>
      <formula>9.9999</formula>
    </cfRule>
    <cfRule type="cellIs" dxfId="2212" priority="39" operator="between">
      <formula>4</formula>
      <formula>6.9999</formula>
    </cfRule>
    <cfRule type="cellIs" dxfId="2211" priority="40" operator="between">
      <formula>0.1</formula>
      <formula>3.9999</formula>
    </cfRule>
  </conditionalFormatting>
  <conditionalFormatting sqref="I80">
    <cfRule type="cellIs" dxfId="2210" priority="31" operator="equal">
      <formula>"Improving"</formula>
    </cfRule>
    <cfRule type="cellIs" dxfId="2209" priority="32" operator="equal">
      <formula>"Optimising"</formula>
    </cfRule>
    <cfRule type="cellIs" dxfId="2208" priority="33" operator="equal">
      <formula>"Proactive"</formula>
    </cfRule>
    <cfRule type="cellIs" dxfId="2207" priority="34" operator="equal">
      <formula>"Reactive"</formula>
    </cfRule>
    <cfRule type="cellIs" dxfId="2206" priority="35" operator="equal">
      <formula>"No Formal Approach"</formula>
    </cfRule>
  </conditionalFormatting>
  <conditionalFormatting sqref="G87">
    <cfRule type="cellIs" dxfId="2205" priority="26" operator="between">
      <formula>13</formula>
      <formula>15.9999</formula>
    </cfRule>
    <cfRule type="cellIs" dxfId="2204" priority="27" operator="between">
      <formula>10</formula>
      <formula>12.9999</formula>
    </cfRule>
    <cfRule type="cellIs" dxfId="2203" priority="28" operator="between">
      <formula>7</formula>
      <formula>9.9999</formula>
    </cfRule>
    <cfRule type="cellIs" dxfId="2202" priority="29" operator="between">
      <formula>4</formula>
      <formula>6.9999</formula>
    </cfRule>
    <cfRule type="cellIs" dxfId="2201" priority="30" operator="between">
      <formula>0.1</formula>
      <formula>3.9999</formula>
    </cfRule>
  </conditionalFormatting>
  <conditionalFormatting sqref="I87">
    <cfRule type="cellIs" dxfId="2200" priority="21" operator="equal">
      <formula>"Improving"</formula>
    </cfRule>
    <cfRule type="cellIs" dxfId="2199" priority="22" operator="equal">
      <formula>"Optimising"</formula>
    </cfRule>
    <cfRule type="cellIs" dxfId="2198" priority="23" operator="equal">
      <formula>"Proactive"</formula>
    </cfRule>
    <cfRule type="cellIs" dxfId="2197" priority="24" operator="equal">
      <formula>"Reactive"</formula>
    </cfRule>
    <cfRule type="cellIs" dxfId="2196" priority="25" operator="equal">
      <formula>"No Formal Approach"</formula>
    </cfRule>
  </conditionalFormatting>
  <conditionalFormatting sqref="G94">
    <cfRule type="cellIs" dxfId="2195" priority="16" operator="between">
      <formula>13</formula>
      <formula>15.9999</formula>
    </cfRule>
    <cfRule type="cellIs" dxfId="2194" priority="17" operator="between">
      <formula>10</formula>
      <formula>12.9999</formula>
    </cfRule>
    <cfRule type="cellIs" dxfId="2193" priority="18" operator="between">
      <formula>7</formula>
      <formula>9.9999</formula>
    </cfRule>
    <cfRule type="cellIs" dxfId="2192" priority="19" operator="between">
      <formula>4</formula>
      <formula>6.9999</formula>
    </cfRule>
    <cfRule type="cellIs" dxfId="2191" priority="20" operator="between">
      <formula>0.1</formula>
      <formula>3.9999</formula>
    </cfRule>
  </conditionalFormatting>
  <conditionalFormatting sqref="I94">
    <cfRule type="cellIs" dxfId="2190" priority="11" operator="equal">
      <formula>"Improving"</formula>
    </cfRule>
    <cfRule type="cellIs" dxfId="2189" priority="12" operator="equal">
      <formula>"Optimising"</formula>
    </cfRule>
    <cfRule type="cellIs" dxfId="2188" priority="13" operator="equal">
      <formula>"Proactive"</formula>
    </cfRule>
    <cfRule type="cellIs" dxfId="2187" priority="14" operator="equal">
      <formula>"Reactive"</formula>
    </cfRule>
    <cfRule type="cellIs" dxfId="2186" priority="15" operator="equal">
      <formula>"No Formal Approach"</formula>
    </cfRule>
  </conditionalFormatting>
  <conditionalFormatting sqref="G95:G100">
    <cfRule type="cellIs" dxfId="2185" priority="6" operator="between">
      <formula>13</formula>
      <formula>15.9999</formula>
    </cfRule>
    <cfRule type="cellIs" dxfId="2184" priority="7" operator="between">
      <formula>10</formula>
      <formula>12.9999</formula>
    </cfRule>
    <cfRule type="cellIs" dxfId="2183" priority="8" operator="between">
      <formula>7</formula>
      <formula>9.9999</formula>
    </cfRule>
    <cfRule type="cellIs" dxfId="2182" priority="9" operator="between">
      <formula>4</formula>
      <formula>6.9999</formula>
    </cfRule>
    <cfRule type="cellIs" dxfId="2181" priority="10" operator="between">
      <formula>0.1</formula>
      <formula>3.9999</formula>
    </cfRule>
  </conditionalFormatting>
  <conditionalFormatting sqref="I95:I100">
    <cfRule type="cellIs" dxfId="2180" priority="1" operator="equal">
      <formula>"Improving"</formula>
    </cfRule>
    <cfRule type="cellIs" dxfId="2179" priority="2" operator="equal">
      <formula>"Optimising"</formula>
    </cfRule>
    <cfRule type="cellIs" dxfId="2178" priority="3" operator="equal">
      <formula>"Proactive"</formula>
    </cfRule>
    <cfRule type="cellIs" dxfId="2177" priority="4" operator="equal">
      <formula>"Reactive"</formula>
    </cfRule>
    <cfRule type="cellIs" dxfId="217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1'!P15</f>
        <v>Subject 9</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2175" priority="236" operator="between">
      <formula>13</formula>
      <formula>15.9999</formula>
    </cfRule>
    <cfRule type="cellIs" dxfId="2174" priority="237" operator="between">
      <formula>10</formula>
      <formula>12.9999</formula>
    </cfRule>
    <cfRule type="cellIs" dxfId="2173" priority="238" operator="between">
      <formula>7</formula>
      <formula>9.9999</formula>
    </cfRule>
    <cfRule type="cellIs" dxfId="2172" priority="239" operator="between">
      <formula>4</formula>
      <formula>6.9999</formula>
    </cfRule>
    <cfRule type="cellIs" dxfId="2171" priority="240" operator="between">
      <formula>0.1</formula>
      <formula>3.9999</formula>
    </cfRule>
  </conditionalFormatting>
  <conditionalFormatting sqref="I5">
    <cfRule type="cellIs" dxfId="2170" priority="231" operator="equal">
      <formula>"Improving"</formula>
    </cfRule>
    <cfRule type="cellIs" dxfId="2169" priority="232" operator="equal">
      <formula>"Optimising"</formula>
    </cfRule>
    <cfRule type="cellIs" dxfId="2168" priority="233" operator="equal">
      <formula>"Proactive"</formula>
    </cfRule>
    <cfRule type="cellIs" dxfId="2167" priority="234" operator="equal">
      <formula>"Reactive"</formula>
    </cfRule>
    <cfRule type="cellIs" dxfId="2166" priority="235" operator="equal">
      <formula>"No Formal Approach"</formula>
    </cfRule>
  </conditionalFormatting>
  <conditionalFormatting sqref="G6:G12">
    <cfRule type="cellIs" dxfId="2165" priority="226" operator="between">
      <formula>13</formula>
      <formula>15.9999</formula>
    </cfRule>
    <cfRule type="cellIs" dxfId="2164" priority="227" operator="between">
      <formula>10</formula>
      <formula>12.9999</formula>
    </cfRule>
    <cfRule type="cellIs" dxfId="2163" priority="228" operator="between">
      <formula>7</formula>
      <formula>9.9999</formula>
    </cfRule>
    <cfRule type="cellIs" dxfId="2162" priority="229" operator="between">
      <formula>4</formula>
      <formula>6.9999</formula>
    </cfRule>
    <cfRule type="cellIs" dxfId="2161" priority="230" operator="between">
      <formula>0.1</formula>
      <formula>3.9999</formula>
    </cfRule>
  </conditionalFormatting>
  <conditionalFormatting sqref="G14:G35">
    <cfRule type="cellIs" dxfId="2160" priority="221" operator="between">
      <formula>13</formula>
      <formula>15.9999</formula>
    </cfRule>
    <cfRule type="cellIs" dxfId="2159" priority="222" operator="between">
      <formula>10</formula>
      <formula>12.9999</formula>
    </cfRule>
    <cfRule type="cellIs" dxfId="2158" priority="223" operator="between">
      <formula>7</formula>
      <formula>9.9999</formula>
    </cfRule>
    <cfRule type="cellIs" dxfId="2157" priority="224" operator="between">
      <formula>4</formula>
      <formula>6.9999</formula>
    </cfRule>
    <cfRule type="cellIs" dxfId="2156" priority="225" operator="between">
      <formula>0.1</formula>
      <formula>3.9999</formula>
    </cfRule>
  </conditionalFormatting>
  <conditionalFormatting sqref="G37:G42">
    <cfRule type="cellIs" dxfId="2155" priority="216" operator="between">
      <formula>13</formula>
      <formula>15.9999</formula>
    </cfRule>
    <cfRule type="cellIs" dxfId="2154" priority="217" operator="between">
      <formula>10</formula>
      <formula>12.9999</formula>
    </cfRule>
    <cfRule type="cellIs" dxfId="2153" priority="218" operator="between">
      <formula>7</formula>
      <formula>9.9999</formula>
    </cfRule>
    <cfRule type="cellIs" dxfId="2152" priority="219" operator="between">
      <formula>4</formula>
      <formula>6.9999</formula>
    </cfRule>
    <cfRule type="cellIs" dxfId="2151" priority="220" operator="between">
      <formula>0.1</formula>
      <formula>3.9999</formula>
    </cfRule>
  </conditionalFormatting>
  <conditionalFormatting sqref="G44:G51">
    <cfRule type="cellIs" dxfId="2150" priority="211" operator="between">
      <formula>13</formula>
      <formula>15.9999</formula>
    </cfRule>
    <cfRule type="cellIs" dxfId="2149" priority="212" operator="between">
      <formula>10</formula>
      <formula>12.9999</formula>
    </cfRule>
    <cfRule type="cellIs" dxfId="2148" priority="213" operator="between">
      <formula>7</formula>
      <formula>9.9999</formula>
    </cfRule>
    <cfRule type="cellIs" dxfId="2147" priority="214" operator="between">
      <formula>4</formula>
      <formula>6.9999</formula>
    </cfRule>
    <cfRule type="cellIs" dxfId="2146" priority="215" operator="between">
      <formula>0.1</formula>
      <formula>3.9999</formula>
    </cfRule>
  </conditionalFormatting>
  <conditionalFormatting sqref="G53:G58">
    <cfRule type="cellIs" dxfId="2145" priority="206" operator="between">
      <formula>13</formula>
      <formula>15.9999</formula>
    </cfRule>
    <cfRule type="cellIs" dxfId="2144" priority="207" operator="between">
      <formula>10</formula>
      <formula>12.9999</formula>
    </cfRule>
    <cfRule type="cellIs" dxfId="2143" priority="208" operator="between">
      <formula>7</formula>
      <formula>9.9999</formula>
    </cfRule>
    <cfRule type="cellIs" dxfId="2142" priority="209" operator="between">
      <formula>4</formula>
      <formula>6.9999</formula>
    </cfRule>
    <cfRule type="cellIs" dxfId="2141" priority="210" operator="between">
      <formula>0.1</formula>
      <formula>3.9999</formula>
    </cfRule>
  </conditionalFormatting>
  <conditionalFormatting sqref="G60:G62">
    <cfRule type="cellIs" dxfId="2140" priority="201" operator="between">
      <formula>13</formula>
      <formula>15.9999</formula>
    </cfRule>
    <cfRule type="cellIs" dxfId="2139" priority="202" operator="between">
      <formula>10</formula>
      <formula>12.9999</formula>
    </cfRule>
    <cfRule type="cellIs" dxfId="2138" priority="203" operator="between">
      <formula>7</formula>
      <formula>9.9999</formula>
    </cfRule>
    <cfRule type="cellIs" dxfId="2137" priority="204" operator="between">
      <formula>4</formula>
      <formula>6.9999</formula>
    </cfRule>
    <cfRule type="cellIs" dxfId="2136" priority="205" operator="between">
      <formula>0.1</formula>
      <formula>3.9999</formula>
    </cfRule>
  </conditionalFormatting>
  <conditionalFormatting sqref="G64:G65">
    <cfRule type="cellIs" dxfId="2135" priority="196" operator="between">
      <formula>13</formula>
      <formula>15.9999</formula>
    </cfRule>
    <cfRule type="cellIs" dxfId="2134" priority="197" operator="between">
      <formula>10</formula>
      <formula>12.9999</formula>
    </cfRule>
    <cfRule type="cellIs" dxfId="2133" priority="198" operator="between">
      <formula>7</formula>
      <formula>9.9999</formula>
    </cfRule>
    <cfRule type="cellIs" dxfId="2132" priority="199" operator="between">
      <formula>4</formula>
      <formula>6.9999</formula>
    </cfRule>
    <cfRule type="cellIs" dxfId="2131" priority="200" operator="between">
      <formula>0.1</formula>
      <formula>3.9999</formula>
    </cfRule>
  </conditionalFormatting>
  <conditionalFormatting sqref="G67:G72">
    <cfRule type="cellIs" dxfId="2130" priority="191" operator="between">
      <formula>13</formula>
      <formula>15.9999</formula>
    </cfRule>
    <cfRule type="cellIs" dxfId="2129" priority="192" operator="between">
      <formula>10</formula>
      <formula>12.9999</formula>
    </cfRule>
    <cfRule type="cellIs" dxfId="2128" priority="193" operator="between">
      <formula>7</formula>
      <formula>9.9999</formula>
    </cfRule>
    <cfRule type="cellIs" dxfId="2127" priority="194" operator="between">
      <formula>4</formula>
      <formula>6.9999</formula>
    </cfRule>
    <cfRule type="cellIs" dxfId="2126" priority="195" operator="between">
      <formula>0.1</formula>
      <formula>3.9999</formula>
    </cfRule>
  </conditionalFormatting>
  <conditionalFormatting sqref="G74:G79">
    <cfRule type="cellIs" dxfId="2125" priority="186" operator="between">
      <formula>13</formula>
      <formula>15.9999</formula>
    </cfRule>
    <cfRule type="cellIs" dxfId="2124" priority="187" operator="between">
      <formula>10</formula>
      <formula>12.9999</formula>
    </cfRule>
    <cfRule type="cellIs" dxfId="2123" priority="188" operator="between">
      <formula>7</formula>
      <formula>9.9999</formula>
    </cfRule>
    <cfRule type="cellIs" dxfId="2122" priority="189" operator="between">
      <formula>4</formula>
      <formula>6.9999</formula>
    </cfRule>
    <cfRule type="cellIs" dxfId="2121" priority="190" operator="between">
      <formula>0.1</formula>
      <formula>3.9999</formula>
    </cfRule>
  </conditionalFormatting>
  <conditionalFormatting sqref="G81:G86">
    <cfRule type="cellIs" dxfId="2120" priority="181" operator="between">
      <formula>13</formula>
      <formula>15.9999</formula>
    </cfRule>
    <cfRule type="cellIs" dxfId="2119" priority="182" operator="between">
      <formula>10</formula>
      <formula>12.9999</formula>
    </cfRule>
    <cfRule type="cellIs" dxfId="2118" priority="183" operator="between">
      <formula>7</formula>
      <formula>9.9999</formula>
    </cfRule>
    <cfRule type="cellIs" dxfId="2117" priority="184" operator="between">
      <formula>4</formula>
      <formula>6.9999</formula>
    </cfRule>
    <cfRule type="cellIs" dxfId="2116" priority="185" operator="between">
      <formula>0.1</formula>
      <formula>3.9999</formula>
    </cfRule>
  </conditionalFormatting>
  <conditionalFormatting sqref="G88:G93">
    <cfRule type="cellIs" dxfId="2115" priority="176" operator="between">
      <formula>13</formula>
      <formula>15.9999</formula>
    </cfRule>
    <cfRule type="cellIs" dxfId="2114" priority="177" operator="between">
      <formula>10</formula>
      <formula>12.9999</formula>
    </cfRule>
    <cfRule type="cellIs" dxfId="2113" priority="178" operator="between">
      <formula>7</formula>
      <formula>9.9999</formula>
    </cfRule>
    <cfRule type="cellIs" dxfId="2112" priority="179" operator="between">
      <formula>4</formula>
      <formula>6.9999</formula>
    </cfRule>
    <cfRule type="cellIs" dxfId="2111" priority="180" operator="between">
      <formula>0.1</formula>
      <formula>3.9999</formula>
    </cfRule>
  </conditionalFormatting>
  <conditionalFormatting sqref="I6:I12">
    <cfRule type="cellIs" dxfId="2110" priority="171" operator="equal">
      <formula>"Improving"</formula>
    </cfRule>
    <cfRule type="cellIs" dxfId="2109" priority="172" operator="equal">
      <formula>"Optimising"</formula>
    </cfRule>
    <cfRule type="cellIs" dxfId="2108" priority="173" operator="equal">
      <formula>"Proactive"</formula>
    </cfRule>
    <cfRule type="cellIs" dxfId="2107" priority="174" operator="equal">
      <formula>"Reactive"</formula>
    </cfRule>
    <cfRule type="cellIs" dxfId="2106" priority="175" operator="equal">
      <formula>"No Formal Approach"</formula>
    </cfRule>
  </conditionalFormatting>
  <conditionalFormatting sqref="I14:I35">
    <cfRule type="cellIs" dxfId="2105" priority="166" operator="equal">
      <formula>"Improving"</formula>
    </cfRule>
    <cfRule type="cellIs" dxfId="2104" priority="167" operator="equal">
      <formula>"Optimising"</formula>
    </cfRule>
    <cfRule type="cellIs" dxfId="2103" priority="168" operator="equal">
      <formula>"Proactive"</formula>
    </cfRule>
    <cfRule type="cellIs" dxfId="2102" priority="169" operator="equal">
      <formula>"Reactive"</formula>
    </cfRule>
    <cfRule type="cellIs" dxfId="2101" priority="170" operator="equal">
      <formula>"No Formal Approach"</formula>
    </cfRule>
  </conditionalFormatting>
  <conditionalFormatting sqref="I37:I42">
    <cfRule type="cellIs" dxfId="2100" priority="161" operator="equal">
      <formula>"Improving"</formula>
    </cfRule>
    <cfRule type="cellIs" dxfId="2099" priority="162" operator="equal">
      <formula>"Optimising"</formula>
    </cfRule>
    <cfRule type="cellIs" dxfId="2098" priority="163" operator="equal">
      <formula>"Proactive"</formula>
    </cfRule>
    <cfRule type="cellIs" dxfId="2097" priority="164" operator="equal">
      <formula>"Reactive"</formula>
    </cfRule>
    <cfRule type="cellIs" dxfId="2096" priority="165" operator="equal">
      <formula>"No Formal Approach"</formula>
    </cfRule>
  </conditionalFormatting>
  <conditionalFormatting sqref="I44:I51">
    <cfRule type="cellIs" dxfId="2095" priority="156" operator="equal">
      <formula>"Improving"</formula>
    </cfRule>
    <cfRule type="cellIs" dxfId="2094" priority="157" operator="equal">
      <formula>"Optimising"</formula>
    </cfRule>
    <cfRule type="cellIs" dxfId="2093" priority="158" operator="equal">
      <formula>"Proactive"</formula>
    </cfRule>
    <cfRule type="cellIs" dxfId="2092" priority="159" operator="equal">
      <formula>"Reactive"</formula>
    </cfRule>
    <cfRule type="cellIs" dxfId="2091" priority="160" operator="equal">
      <formula>"No Formal Approach"</formula>
    </cfRule>
  </conditionalFormatting>
  <conditionalFormatting sqref="I53:I58">
    <cfRule type="cellIs" dxfId="2090" priority="151" operator="equal">
      <formula>"Improving"</formula>
    </cfRule>
    <cfRule type="cellIs" dxfId="2089" priority="152" operator="equal">
      <formula>"Optimising"</formula>
    </cfRule>
    <cfRule type="cellIs" dxfId="2088" priority="153" operator="equal">
      <formula>"Proactive"</formula>
    </cfRule>
    <cfRule type="cellIs" dxfId="2087" priority="154" operator="equal">
      <formula>"Reactive"</formula>
    </cfRule>
    <cfRule type="cellIs" dxfId="2086" priority="155" operator="equal">
      <formula>"No Formal Approach"</formula>
    </cfRule>
  </conditionalFormatting>
  <conditionalFormatting sqref="I60:I62">
    <cfRule type="cellIs" dxfId="2085" priority="146" operator="equal">
      <formula>"Improving"</formula>
    </cfRule>
    <cfRule type="cellIs" dxfId="2084" priority="147" operator="equal">
      <formula>"Optimising"</formula>
    </cfRule>
    <cfRule type="cellIs" dxfId="2083" priority="148" operator="equal">
      <formula>"Proactive"</formula>
    </cfRule>
    <cfRule type="cellIs" dxfId="2082" priority="149" operator="equal">
      <formula>"Reactive"</formula>
    </cfRule>
    <cfRule type="cellIs" dxfId="2081" priority="150" operator="equal">
      <formula>"No Formal Approach"</formula>
    </cfRule>
  </conditionalFormatting>
  <conditionalFormatting sqref="I64:I65">
    <cfRule type="cellIs" dxfId="2080" priority="141" operator="equal">
      <formula>"Improving"</formula>
    </cfRule>
    <cfRule type="cellIs" dxfId="2079" priority="142" operator="equal">
      <formula>"Optimising"</formula>
    </cfRule>
    <cfRule type="cellIs" dxfId="2078" priority="143" operator="equal">
      <formula>"Proactive"</formula>
    </cfRule>
    <cfRule type="cellIs" dxfId="2077" priority="144" operator="equal">
      <formula>"Reactive"</formula>
    </cfRule>
    <cfRule type="cellIs" dxfId="2076" priority="145" operator="equal">
      <formula>"No Formal Approach"</formula>
    </cfRule>
  </conditionalFormatting>
  <conditionalFormatting sqref="I67:I72">
    <cfRule type="cellIs" dxfId="2075" priority="136" operator="equal">
      <formula>"Improving"</formula>
    </cfRule>
    <cfRule type="cellIs" dxfId="2074" priority="137" operator="equal">
      <formula>"Optimising"</formula>
    </cfRule>
    <cfRule type="cellIs" dxfId="2073" priority="138" operator="equal">
      <formula>"Proactive"</formula>
    </cfRule>
    <cfRule type="cellIs" dxfId="2072" priority="139" operator="equal">
      <formula>"Reactive"</formula>
    </cfRule>
    <cfRule type="cellIs" dxfId="2071" priority="140" operator="equal">
      <formula>"No Formal Approach"</formula>
    </cfRule>
  </conditionalFormatting>
  <conditionalFormatting sqref="I74:I79">
    <cfRule type="cellIs" dxfId="2070" priority="131" operator="equal">
      <formula>"Improving"</formula>
    </cfRule>
    <cfRule type="cellIs" dxfId="2069" priority="132" operator="equal">
      <formula>"Optimising"</formula>
    </cfRule>
    <cfRule type="cellIs" dxfId="2068" priority="133" operator="equal">
      <formula>"Proactive"</formula>
    </cfRule>
    <cfRule type="cellIs" dxfId="2067" priority="134" operator="equal">
      <formula>"Reactive"</formula>
    </cfRule>
    <cfRule type="cellIs" dxfId="2066" priority="135" operator="equal">
      <formula>"No Formal Approach"</formula>
    </cfRule>
  </conditionalFormatting>
  <conditionalFormatting sqref="I81:I86">
    <cfRule type="cellIs" dxfId="2065" priority="126" operator="equal">
      <formula>"Improving"</formula>
    </cfRule>
    <cfRule type="cellIs" dxfId="2064" priority="127" operator="equal">
      <formula>"Optimising"</formula>
    </cfRule>
    <cfRule type="cellIs" dxfId="2063" priority="128" operator="equal">
      <formula>"Proactive"</formula>
    </cfRule>
    <cfRule type="cellIs" dxfId="2062" priority="129" operator="equal">
      <formula>"Reactive"</formula>
    </cfRule>
    <cfRule type="cellIs" dxfId="2061" priority="130" operator="equal">
      <formula>"No Formal Approach"</formula>
    </cfRule>
  </conditionalFormatting>
  <conditionalFormatting sqref="I88:I93">
    <cfRule type="cellIs" dxfId="2060" priority="121" operator="equal">
      <formula>"Improving"</formula>
    </cfRule>
    <cfRule type="cellIs" dxfId="2059" priority="122" operator="equal">
      <formula>"Optimising"</formula>
    </cfRule>
    <cfRule type="cellIs" dxfId="2058" priority="123" operator="equal">
      <formula>"Proactive"</formula>
    </cfRule>
    <cfRule type="cellIs" dxfId="2057" priority="124" operator="equal">
      <formula>"Reactive"</formula>
    </cfRule>
    <cfRule type="cellIs" dxfId="2056" priority="125" operator="equal">
      <formula>"No Formal Approach"</formula>
    </cfRule>
  </conditionalFormatting>
  <conditionalFormatting sqref="G13">
    <cfRule type="cellIs" dxfId="2055" priority="116" operator="between">
      <formula>13</formula>
      <formula>15.9999</formula>
    </cfRule>
    <cfRule type="cellIs" dxfId="2054" priority="117" operator="between">
      <formula>10</formula>
      <formula>12.9999</formula>
    </cfRule>
    <cfRule type="cellIs" dxfId="2053" priority="118" operator="between">
      <formula>7</formula>
      <formula>9.9999</formula>
    </cfRule>
    <cfRule type="cellIs" dxfId="2052" priority="119" operator="between">
      <formula>4</formula>
      <formula>6.9999</formula>
    </cfRule>
    <cfRule type="cellIs" dxfId="2051" priority="120" operator="between">
      <formula>0.1</formula>
      <formula>3.9999</formula>
    </cfRule>
  </conditionalFormatting>
  <conditionalFormatting sqref="I13">
    <cfRule type="cellIs" dxfId="2050" priority="111" operator="equal">
      <formula>"Improving"</formula>
    </cfRule>
    <cfRule type="cellIs" dxfId="2049" priority="112" operator="equal">
      <formula>"Optimising"</formula>
    </cfRule>
    <cfRule type="cellIs" dxfId="2048" priority="113" operator="equal">
      <formula>"Proactive"</formula>
    </cfRule>
    <cfRule type="cellIs" dxfId="2047" priority="114" operator="equal">
      <formula>"Reactive"</formula>
    </cfRule>
    <cfRule type="cellIs" dxfId="2046" priority="115" operator="equal">
      <formula>"No Formal Approach"</formula>
    </cfRule>
  </conditionalFormatting>
  <conditionalFormatting sqref="G36">
    <cfRule type="cellIs" dxfId="2045" priority="106" operator="between">
      <formula>13</formula>
      <formula>15.9999</formula>
    </cfRule>
    <cfRule type="cellIs" dxfId="2044" priority="107" operator="between">
      <formula>10</formula>
      <formula>12.9999</formula>
    </cfRule>
    <cfRule type="cellIs" dxfId="2043" priority="108" operator="between">
      <formula>7</formula>
      <formula>9.9999</formula>
    </cfRule>
    <cfRule type="cellIs" dxfId="2042" priority="109" operator="between">
      <formula>4</formula>
      <formula>6.9999</formula>
    </cfRule>
    <cfRule type="cellIs" dxfId="2041" priority="110" operator="between">
      <formula>0.1</formula>
      <formula>3.9999</formula>
    </cfRule>
  </conditionalFormatting>
  <conditionalFormatting sqref="I36">
    <cfRule type="cellIs" dxfId="2040" priority="101" operator="equal">
      <formula>"Improving"</formula>
    </cfRule>
    <cfRule type="cellIs" dxfId="2039" priority="102" operator="equal">
      <formula>"Optimising"</formula>
    </cfRule>
    <cfRule type="cellIs" dxfId="2038" priority="103" operator="equal">
      <formula>"Proactive"</formula>
    </cfRule>
    <cfRule type="cellIs" dxfId="2037" priority="104" operator="equal">
      <formula>"Reactive"</formula>
    </cfRule>
    <cfRule type="cellIs" dxfId="2036" priority="105" operator="equal">
      <formula>"No Formal Approach"</formula>
    </cfRule>
  </conditionalFormatting>
  <conditionalFormatting sqref="G43">
    <cfRule type="cellIs" dxfId="2035" priority="96" operator="between">
      <formula>13</formula>
      <formula>15.9999</formula>
    </cfRule>
    <cfRule type="cellIs" dxfId="2034" priority="97" operator="between">
      <formula>10</formula>
      <formula>12.9999</formula>
    </cfRule>
    <cfRule type="cellIs" dxfId="2033" priority="98" operator="between">
      <formula>7</formula>
      <formula>9.9999</formula>
    </cfRule>
    <cfRule type="cellIs" dxfId="2032" priority="99" operator="between">
      <formula>4</formula>
      <formula>6.9999</formula>
    </cfRule>
    <cfRule type="cellIs" dxfId="2031" priority="100" operator="between">
      <formula>0.1</formula>
      <formula>3.9999</formula>
    </cfRule>
  </conditionalFormatting>
  <conditionalFormatting sqref="I43">
    <cfRule type="cellIs" dxfId="2030" priority="91" operator="equal">
      <formula>"Improving"</formula>
    </cfRule>
    <cfRule type="cellIs" dxfId="2029" priority="92" operator="equal">
      <formula>"Optimising"</formula>
    </cfRule>
    <cfRule type="cellIs" dxfId="2028" priority="93" operator="equal">
      <formula>"Proactive"</formula>
    </cfRule>
    <cfRule type="cellIs" dxfId="2027" priority="94" operator="equal">
      <formula>"Reactive"</formula>
    </cfRule>
    <cfRule type="cellIs" dxfId="2026" priority="95" operator="equal">
      <formula>"No Formal Approach"</formula>
    </cfRule>
  </conditionalFormatting>
  <conditionalFormatting sqref="G52">
    <cfRule type="cellIs" dxfId="2025" priority="86" operator="between">
      <formula>13</formula>
      <formula>15.9999</formula>
    </cfRule>
    <cfRule type="cellIs" dxfId="2024" priority="87" operator="between">
      <formula>10</formula>
      <formula>12.9999</formula>
    </cfRule>
    <cfRule type="cellIs" dxfId="2023" priority="88" operator="between">
      <formula>7</formula>
      <formula>9.9999</formula>
    </cfRule>
    <cfRule type="cellIs" dxfId="2022" priority="89" operator="between">
      <formula>4</formula>
      <formula>6.9999</formula>
    </cfRule>
    <cfRule type="cellIs" dxfId="2021" priority="90" operator="between">
      <formula>0.1</formula>
      <formula>3.9999</formula>
    </cfRule>
  </conditionalFormatting>
  <conditionalFormatting sqref="I52">
    <cfRule type="cellIs" dxfId="2020" priority="81" operator="equal">
      <formula>"Improving"</formula>
    </cfRule>
    <cfRule type="cellIs" dxfId="2019" priority="82" operator="equal">
      <formula>"Optimising"</formula>
    </cfRule>
    <cfRule type="cellIs" dxfId="2018" priority="83" operator="equal">
      <formula>"Proactive"</formula>
    </cfRule>
    <cfRule type="cellIs" dxfId="2017" priority="84" operator="equal">
      <formula>"Reactive"</formula>
    </cfRule>
    <cfRule type="cellIs" dxfId="2016" priority="85" operator="equal">
      <formula>"No Formal Approach"</formula>
    </cfRule>
  </conditionalFormatting>
  <conditionalFormatting sqref="G59">
    <cfRule type="cellIs" dxfId="2015" priority="76" operator="between">
      <formula>13</formula>
      <formula>15.9999</formula>
    </cfRule>
    <cfRule type="cellIs" dxfId="2014" priority="77" operator="between">
      <formula>10</formula>
      <formula>12.9999</formula>
    </cfRule>
    <cfRule type="cellIs" dxfId="2013" priority="78" operator="between">
      <formula>7</formula>
      <formula>9.9999</formula>
    </cfRule>
    <cfRule type="cellIs" dxfId="2012" priority="79" operator="between">
      <formula>4</formula>
      <formula>6.9999</formula>
    </cfRule>
    <cfRule type="cellIs" dxfId="2011" priority="80" operator="between">
      <formula>0.1</formula>
      <formula>3.9999</formula>
    </cfRule>
  </conditionalFormatting>
  <conditionalFormatting sqref="I59">
    <cfRule type="cellIs" dxfId="2010" priority="71" operator="equal">
      <formula>"Improving"</formula>
    </cfRule>
    <cfRule type="cellIs" dxfId="2009" priority="72" operator="equal">
      <formula>"Optimising"</formula>
    </cfRule>
    <cfRule type="cellIs" dxfId="2008" priority="73" operator="equal">
      <formula>"Proactive"</formula>
    </cfRule>
    <cfRule type="cellIs" dxfId="2007" priority="74" operator="equal">
      <formula>"Reactive"</formula>
    </cfRule>
    <cfRule type="cellIs" dxfId="2006" priority="75" operator="equal">
      <formula>"No Formal Approach"</formula>
    </cfRule>
  </conditionalFormatting>
  <conditionalFormatting sqref="G63">
    <cfRule type="cellIs" dxfId="2005" priority="66" operator="between">
      <formula>13</formula>
      <formula>15.9999</formula>
    </cfRule>
    <cfRule type="cellIs" dxfId="2004" priority="67" operator="between">
      <formula>10</formula>
      <formula>12.9999</formula>
    </cfRule>
    <cfRule type="cellIs" dxfId="2003" priority="68" operator="between">
      <formula>7</formula>
      <formula>9.9999</formula>
    </cfRule>
    <cfRule type="cellIs" dxfId="2002" priority="69" operator="between">
      <formula>4</formula>
      <formula>6.9999</formula>
    </cfRule>
    <cfRule type="cellIs" dxfId="2001" priority="70" operator="between">
      <formula>0.1</formula>
      <formula>3.9999</formula>
    </cfRule>
  </conditionalFormatting>
  <conditionalFormatting sqref="I63">
    <cfRule type="cellIs" dxfId="2000" priority="61" operator="equal">
      <formula>"Improving"</formula>
    </cfRule>
    <cfRule type="cellIs" dxfId="1999" priority="62" operator="equal">
      <formula>"Optimising"</formula>
    </cfRule>
    <cfRule type="cellIs" dxfId="1998" priority="63" operator="equal">
      <formula>"Proactive"</formula>
    </cfRule>
    <cfRule type="cellIs" dxfId="1997" priority="64" operator="equal">
      <formula>"Reactive"</formula>
    </cfRule>
    <cfRule type="cellIs" dxfId="1996" priority="65" operator="equal">
      <formula>"No Formal Approach"</formula>
    </cfRule>
  </conditionalFormatting>
  <conditionalFormatting sqref="G66">
    <cfRule type="cellIs" dxfId="1995" priority="56" operator="between">
      <formula>13</formula>
      <formula>15.9999</formula>
    </cfRule>
    <cfRule type="cellIs" dxfId="1994" priority="57" operator="between">
      <formula>10</formula>
      <formula>12.9999</formula>
    </cfRule>
    <cfRule type="cellIs" dxfId="1993" priority="58" operator="between">
      <formula>7</formula>
      <formula>9.9999</formula>
    </cfRule>
    <cfRule type="cellIs" dxfId="1992" priority="59" operator="between">
      <formula>4</formula>
      <formula>6.9999</formula>
    </cfRule>
    <cfRule type="cellIs" dxfId="1991" priority="60" operator="between">
      <formula>0.1</formula>
      <formula>3.9999</formula>
    </cfRule>
  </conditionalFormatting>
  <conditionalFormatting sqref="I66">
    <cfRule type="cellIs" dxfId="1990" priority="51" operator="equal">
      <formula>"Improving"</formula>
    </cfRule>
    <cfRule type="cellIs" dxfId="1989" priority="52" operator="equal">
      <formula>"Optimising"</formula>
    </cfRule>
    <cfRule type="cellIs" dxfId="1988" priority="53" operator="equal">
      <formula>"Proactive"</formula>
    </cfRule>
    <cfRule type="cellIs" dxfId="1987" priority="54" operator="equal">
      <formula>"Reactive"</formula>
    </cfRule>
    <cfRule type="cellIs" dxfId="1986" priority="55" operator="equal">
      <formula>"No Formal Approach"</formula>
    </cfRule>
  </conditionalFormatting>
  <conditionalFormatting sqref="G73">
    <cfRule type="cellIs" dxfId="1985" priority="46" operator="between">
      <formula>13</formula>
      <formula>15.9999</formula>
    </cfRule>
    <cfRule type="cellIs" dxfId="1984" priority="47" operator="between">
      <formula>10</formula>
      <formula>12.9999</formula>
    </cfRule>
    <cfRule type="cellIs" dxfId="1983" priority="48" operator="between">
      <formula>7</formula>
      <formula>9.9999</formula>
    </cfRule>
    <cfRule type="cellIs" dxfId="1982" priority="49" operator="between">
      <formula>4</formula>
      <formula>6.9999</formula>
    </cfRule>
    <cfRule type="cellIs" dxfId="1981" priority="50" operator="between">
      <formula>0.1</formula>
      <formula>3.9999</formula>
    </cfRule>
  </conditionalFormatting>
  <conditionalFormatting sqref="I73">
    <cfRule type="cellIs" dxfId="1980" priority="41" operator="equal">
      <formula>"Improving"</formula>
    </cfRule>
    <cfRule type="cellIs" dxfId="1979" priority="42" operator="equal">
      <formula>"Optimising"</formula>
    </cfRule>
    <cfRule type="cellIs" dxfId="1978" priority="43" operator="equal">
      <formula>"Proactive"</formula>
    </cfRule>
    <cfRule type="cellIs" dxfId="1977" priority="44" operator="equal">
      <formula>"Reactive"</formula>
    </cfRule>
    <cfRule type="cellIs" dxfId="1976" priority="45" operator="equal">
      <formula>"No Formal Approach"</formula>
    </cfRule>
  </conditionalFormatting>
  <conditionalFormatting sqref="G80">
    <cfRule type="cellIs" dxfId="1975" priority="36" operator="between">
      <formula>13</formula>
      <formula>15.9999</formula>
    </cfRule>
    <cfRule type="cellIs" dxfId="1974" priority="37" operator="between">
      <formula>10</formula>
      <formula>12.9999</formula>
    </cfRule>
    <cfRule type="cellIs" dxfId="1973" priority="38" operator="between">
      <formula>7</formula>
      <formula>9.9999</formula>
    </cfRule>
    <cfRule type="cellIs" dxfId="1972" priority="39" operator="between">
      <formula>4</formula>
      <formula>6.9999</formula>
    </cfRule>
    <cfRule type="cellIs" dxfId="1971" priority="40" operator="between">
      <formula>0.1</formula>
      <formula>3.9999</formula>
    </cfRule>
  </conditionalFormatting>
  <conditionalFormatting sqref="I80">
    <cfRule type="cellIs" dxfId="1970" priority="31" operator="equal">
      <formula>"Improving"</formula>
    </cfRule>
    <cfRule type="cellIs" dxfId="1969" priority="32" operator="equal">
      <formula>"Optimising"</formula>
    </cfRule>
    <cfRule type="cellIs" dxfId="1968" priority="33" operator="equal">
      <formula>"Proactive"</formula>
    </cfRule>
    <cfRule type="cellIs" dxfId="1967" priority="34" operator="equal">
      <formula>"Reactive"</formula>
    </cfRule>
    <cfRule type="cellIs" dxfId="1966" priority="35" operator="equal">
      <formula>"No Formal Approach"</formula>
    </cfRule>
  </conditionalFormatting>
  <conditionalFormatting sqref="G87">
    <cfRule type="cellIs" dxfId="1965" priority="26" operator="between">
      <formula>13</formula>
      <formula>15.9999</formula>
    </cfRule>
    <cfRule type="cellIs" dxfId="1964" priority="27" operator="between">
      <formula>10</formula>
      <formula>12.9999</formula>
    </cfRule>
    <cfRule type="cellIs" dxfId="1963" priority="28" operator="between">
      <formula>7</formula>
      <formula>9.9999</formula>
    </cfRule>
    <cfRule type="cellIs" dxfId="1962" priority="29" operator="between">
      <formula>4</formula>
      <formula>6.9999</formula>
    </cfRule>
    <cfRule type="cellIs" dxfId="1961" priority="30" operator="between">
      <formula>0.1</formula>
      <formula>3.9999</formula>
    </cfRule>
  </conditionalFormatting>
  <conditionalFormatting sqref="I87">
    <cfRule type="cellIs" dxfId="1960" priority="21" operator="equal">
      <formula>"Improving"</formula>
    </cfRule>
    <cfRule type="cellIs" dxfId="1959" priority="22" operator="equal">
      <formula>"Optimising"</formula>
    </cfRule>
    <cfRule type="cellIs" dxfId="1958" priority="23" operator="equal">
      <formula>"Proactive"</formula>
    </cfRule>
    <cfRule type="cellIs" dxfId="1957" priority="24" operator="equal">
      <formula>"Reactive"</formula>
    </cfRule>
    <cfRule type="cellIs" dxfId="1956" priority="25" operator="equal">
      <formula>"No Formal Approach"</formula>
    </cfRule>
  </conditionalFormatting>
  <conditionalFormatting sqref="G94">
    <cfRule type="cellIs" dxfId="1955" priority="16" operator="between">
      <formula>13</formula>
      <formula>15.9999</formula>
    </cfRule>
    <cfRule type="cellIs" dxfId="1954" priority="17" operator="between">
      <formula>10</formula>
      <formula>12.9999</formula>
    </cfRule>
    <cfRule type="cellIs" dxfId="1953" priority="18" operator="between">
      <formula>7</formula>
      <formula>9.9999</formula>
    </cfRule>
    <cfRule type="cellIs" dxfId="1952" priority="19" operator="between">
      <formula>4</formula>
      <formula>6.9999</formula>
    </cfRule>
    <cfRule type="cellIs" dxfId="1951" priority="20" operator="between">
      <formula>0.1</formula>
      <formula>3.9999</formula>
    </cfRule>
  </conditionalFormatting>
  <conditionalFormatting sqref="I94">
    <cfRule type="cellIs" dxfId="1950" priority="11" operator="equal">
      <formula>"Improving"</formula>
    </cfRule>
    <cfRule type="cellIs" dxfId="1949" priority="12" operator="equal">
      <formula>"Optimising"</formula>
    </cfRule>
    <cfRule type="cellIs" dxfId="1948" priority="13" operator="equal">
      <formula>"Proactive"</formula>
    </cfRule>
    <cfRule type="cellIs" dxfId="1947" priority="14" operator="equal">
      <formula>"Reactive"</formula>
    </cfRule>
    <cfRule type="cellIs" dxfId="1946" priority="15" operator="equal">
      <formula>"No Formal Approach"</formula>
    </cfRule>
  </conditionalFormatting>
  <conditionalFormatting sqref="G95:G100">
    <cfRule type="cellIs" dxfId="1945" priority="6" operator="between">
      <formula>13</formula>
      <formula>15.9999</formula>
    </cfRule>
    <cfRule type="cellIs" dxfId="1944" priority="7" operator="between">
      <formula>10</formula>
      <formula>12.9999</formula>
    </cfRule>
    <cfRule type="cellIs" dxfId="1943" priority="8" operator="between">
      <formula>7</formula>
      <formula>9.9999</formula>
    </cfRule>
    <cfRule type="cellIs" dxfId="1942" priority="9" operator="between">
      <formula>4</formula>
      <formula>6.9999</formula>
    </cfRule>
    <cfRule type="cellIs" dxfId="1941" priority="10" operator="between">
      <formula>0.1</formula>
      <formula>3.9999</formula>
    </cfRule>
  </conditionalFormatting>
  <conditionalFormatting sqref="I95:I100">
    <cfRule type="cellIs" dxfId="1940" priority="1" operator="equal">
      <formula>"Improving"</formula>
    </cfRule>
    <cfRule type="cellIs" dxfId="1939" priority="2" operator="equal">
      <formula>"Optimising"</formula>
    </cfRule>
    <cfRule type="cellIs" dxfId="1938" priority="3" operator="equal">
      <formula>"Proactive"</formula>
    </cfRule>
    <cfRule type="cellIs" dxfId="1937" priority="4" operator="equal">
      <formula>"Reactive"</formula>
    </cfRule>
    <cfRule type="cellIs" dxfId="193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1'!Q15</f>
        <v>Subject 10</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1935" priority="236" operator="between">
      <formula>13</formula>
      <formula>15.9999</formula>
    </cfRule>
    <cfRule type="cellIs" dxfId="1934" priority="237" operator="between">
      <formula>10</formula>
      <formula>12.9999</formula>
    </cfRule>
    <cfRule type="cellIs" dxfId="1933" priority="238" operator="between">
      <formula>7</formula>
      <formula>9.9999</formula>
    </cfRule>
    <cfRule type="cellIs" dxfId="1932" priority="239" operator="between">
      <formula>4</formula>
      <formula>6.9999</formula>
    </cfRule>
    <cfRule type="cellIs" dxfId="1931" priority="240" operator="between">
      <formula>0.1</formula>
      <formula>3.9999</formula>
    </cfRule>
  </conditionalFormatting>
  <conditionalFormatting sqref="I5">
    <cfRule type="cellIs" dxfId="1930" priority="231" operator="equal">
      <formula>"Improving"</formula>
    </cfRule>
    <cfRule type="cellIs" dxfId="1929" priority="232" operator="equal">
      <formula>"Optimising"</formula>
    </cfRule>
    <cfRule type="cellIs" dxfId="1928" priority="233" operator="equal">
      <formula>"Proactive"</formula>
    </cfRule>
    <cfRule type="cellIs" dxfId="1927" priority="234" operator="equal">
      <formula>"Reactive"</formula>
    </cfRule>
    <cfRule type="cellIs" dxfId="1926" priority="235" operator="equal">
      <formula>"No Formal Approach"</formula>
    </cfRule>
  </conditionalFormatting>
  <conditionalFormatting sqref="G6:G12">
    <cfRule type="cellIs" dxfId="1925" priority="226" operator="between">
      <formula>13</formula>
      <formula>15.9999</formula>
    </cfRule>
    <cfRule type="cellIs" dxfId="1924" priority="227" operator="between">
      <formula>10</formula>
      <formula>12.9999</formula>
    </cfRule>
    <cfRule type="cellIs" dxfId="1923" priority="228" operator="between">
      <formula>7</formula>
      <formula>9.9999</formula>
    </cfRule>
    <cfRule type="cellIs" dxfId="1922" priority="229" operator="between">
      <formula>4</formula>
      <formula>6.9999</formula>
    </cfRule>
    <cfRule type="cellIs" dxfId="1921" priority="230" operator="between">
      <formula>0.1</formula>
      <formula>3.9999</formula>
    </cfRule>
  </conditionalFormatting>
  <conditionalFormatting sqref="G14:G35">
    <cfRule type="cellIs" dxfId="1920" priority="221" operator="between">
      <formula>13</formula>
      <formula>15.9999</formula>
    </cfRule>
    <cfRule type="cellIs" dxfId="1919" priority="222" operator="between">
      <formula>10</formula>
      <formula>12.9999</formula>
    </cfRule>
    <cfRule type="cellIs" dxfId="1918" priority="223" operator="between">
      <formula>7</formula>
      <formula>9.9999</formula>
    </cfRule>
    <cfRule type="cellIs" dxfId="1917" priority="224" operator="between">
      <formula>4</formula>
      <formula>6.9999</formula>
    </cfRule>
    <cfRule type="cellIs" dxfId="1916" priority="225" operator="between">
      <formula>0.1</formula>
      <formula>3.9999</formula>
    </cfRule>
  </conditionalFormatting>
  <conditionalFormatting sqref="G37:G42">
    <cfRule type="cellIs" dxfId="1915" priority="216" operator="between">
      <formula>13</formula>
      <formula>15.9999</formula>
    </cfRule>
    <cfRule type="cellIs" dxfId="1914" priority="217" operator="between">
      <formula>10</formula>
      <formula>12.9999</formula>
    </cfRule>
    <cfRule type="cellIs" dxfId="1913" priority="218" operator="between">
      <formula>7</formula>
      <formula>9.9999</formula>
    </cfRule>
    <cfRule type="cellIs" dxfId="1912" priority="219" operator="between">
      <formula>4</formula>
      <formula>6.9999</formula>
    </cfRule>
    <cfRule type="cellIs" dxfId="1911" priority="220" operator="between">
      <formula>0.1</formula>
      <formula>3.9999</formula>
    </cfRule>
  </conditionalFormatting>
  <conditionalFormatting sqref="G44:G51">
    <cfRule type="cellIs" dxfId="1910" priority="211" operator="between">
      <formula>13</formula>
      <formula>15.9999</formula>
    </cfRule>
    <cfRule type="cellIs" dxfId="1909" priority="212" operator="between">
      <formula>10</formula>
      <formula>12.9999</formula>
    </cfRule>
    <cfRule type="cellIs" dxfId="1908" priority="213" operator="between">
      <formula>7</formula>
      <formula>9.9999</formula>
    </cfRule>
    <cfRule type="cellIs" dxfId="1907" priority="214" operator="between">
      <formula>4</formula>
      <formula>6.9999</formula>
    </cfRule>
    <cfRule type="cellIs" dxfId="1906" priority="215" operator="between">
      <formula>0.1</formula>
      <formula>3.9999</formula>
    </cfRule>
  </conditionalFormatting>
  <conditionalFormatting sqref="G53:G58">
    <cfRule type="cellIs" dxfId="1905" priority="206" operator="between">
      <formula>13</formula>
      <formula>15.9999</formula>
    </cfRule>
    <cfRule type="cellIs" dxfId="1904" priority="207" operator="between">
      <formula>10</formula>
      <formula>12.9999</formula>
    </cfRule>
    <cfRule type="cellIs" dxfId="1903" priority="208" operator="between">
      <formula>7</formula>
      <formula>9.9999</formula>
    </cfRule>
    <cfRule type="cellIs" dxfId="1902" priority="209" operator="between">
      <formula>4</formula>
      <formula>6.9999</formula>
    </cfRule>
    <cfRule type="cellIs" dxfId="1901" priority="210" operator="between">
      <formula>0.1</formula>
      <formula>3.9999</formula>
    </cfRule>
  </conditionalFormatting>
  <conditionalFormatting sqref="G60:G62">
    <cfRule type="cellIs" dxfId="1900" priority="201" operator="between">
      <formula>13</formula>
      <formula>15.9999</formula>
    </cfRule>
    <cfRule type="cellIs" dxfId="1899" priority="202" operator="between">
      <formula>10</formula>
      <formula>12.9999</formula>
    </cfRule>
    <cfRule type="cellIs" dxfId="1898" priority="203" operator="between">
      <formula>7</formula>
      <formula>9.9999</formula>
    </cfRule>
    <cfRule type="cellIs" dxfId="1897" priority="204" operator="between">
      <formula>4</formula>
      <formula>6.9999</formula>
    </cfRule>
    <cfRule type="cellIs" dxfId="1896" priority="205" operator="between">
      <formula>0.1</formula>
      <formula>3.9999</formula>
    </cfRule>
  </conditionalFormatting>
  <conditionalFormatting sqref="G64:G65">
    <cfRule type="cellIs" dxfId="1895" priority="196" operator="between">
      <formula>13</formula>
      <formula>15.9999</formula>
    </cfRule>
    <cfRule type="cellIs" dxfId="1894" priority="197" operator="between">
      <formula>10</formula>
      <formula>12.9999</formula>
    </cfRule>
    <cfRule type="cellIs" dxfId="1893" priority="198" operator="between">
      <formula>7</formula>
      <formula>9.9999</formula>
    </cfRule>
    <cfRule type="cellIs" dxfId="1892" priority="199" operator="between">
      <formula>4</formula>
      <formula>6.9999</formula>
    </cfRule>
    <cfRule type="cellIs" dxfId="1891" priority="200" operator="between">
      <formula>0.1</formula>
      <formula>3.9999</formula>
    </cfRule>
  </conditionalFormatting>
  <conditionalFormatting sqref="G67:G72">
    <cfRule type="cellIs" dxfId="1890" priority="191" operator="between">
      <formula>13</formula>
      <formula>15.9999</formula>
    </cfRule>
    <cfRule type="cellIs" dxfId="1889" priority="192" operator="between">
      <formula>10</formula>
      <formula>12.9999</formula>
    </cfRule>
    <cfRule type="cellIs" dxfId="1888" priority="193" operator="between">
      <formula>7</formula>
      <formula>9.9999</formula>
    </cfRule>
    <cfRule type="cellIs" dxfId="1887" priority="194" operator="between">
      <formula>4</formula>
      <formula>6.9999</formula>
    </cfRule>
    <cfRule type="cellIs" dxfId="1886" priority="195" operator="between">
      <formula>0.1</formula>
      <formula>3.9999</formula>
    </cfRule>
  </conditionalFormatting>
  <conditionalFormatting sqref="G74:G79">
    <cfRule type="cellIs" dxfId="1885" priority="186" operator="between">
      <formula>13</formula>
      <formula>15.9999</formula>
    </cfRule>
    <cfRule type="cellIs" dxfId="1884" priority="187" operator="between">
      <formula>10</formula>
      <formula>12.9999</formula>
    </cfRule>
    <cfRule type="cellIs" dxfId="1883" priority="188" operator="between">
      <formula>7</formula>
      <formula>9.9999</formula>
    </cfRule>
    <cfRule type="cellIs" dxfId="1882" priority="189" operator="between">
      <formula>4</formula>
      <formula>6.9999</formula>
    </cfRule>
    <cfRule type="cellIs" dxfId="1881" priority="190" operator="between">
      <formula>0.1</formula>
      <formula>3.9999</formula>
    </cfRule>
  </conditionalFormatting>
  <conditionalFormatting sqref="G81:G86">
    <cfRule type="cellIs" dxfId="1880" priority="181" operator="between">
      <formula>13</formula>
      <formula>15.9999</formula>
    </cfRule>
    <cfRule type="cellIs" dxfId="1879" priority="182" operator="between">
      <formula>10</formula>
      <formula>12.9999</formula>
    </cfRule>
    <cfRule type="cellIs" dxfId="1878" priority="183" operator="between">
      <formula>7</formula>
      <formula>9.9999</formula>
    </cfRule>
    <cfRule type="cellIs" dxfId="1877" priority="184" operator="between">
      <formula>4</formula>
      <formula>6.9999</formula>
    </cfRule>
    <cfRule type="cellIs" dxfId="1876" priority="185" operator="between">
      <formula>0.1</formula>
      <formula>3.9999</formula>
    </cfRule>
  </conditionalFormatting>
  <conditionalFormatting sqref="G88:G93">
    <cfRule type="cellIs" dxfId="1875" priority="176" operator="between">
      <formula>13</formula>
      <formula>15.9999</formula>
    </cfRule>
    <cfRule type="cellIs" dxfId="1874" priority="177" operator="between">
      <formula>10</formula>
      <formula>12.9999</formula>
    </cfRule>
    <cfRule type="cellIs" dxfId="1873" priority="178" operator="between">
      <formula>7</formula>
      <formula>9.9999</formula>
    </cfRule>
    <cfRule type="cellIs" dxfId="1872" priority="179" operator="between">
      <formula>4</formula>
      <formula>6.9999</formula>
    </cfRule>
    <cfRule type="cellIs" dxfId="1871" priority="180" operator="between">
      <formula>0.1</formula>
      <formula>3.9999</formula>
    </cfRule>
  </conditionalFormatting>
  <conditionalFormatting sqref="I6:I12">
    <cfRule type="cellIs" dxfId="1870" priority="171" operator="equal">
      <formula>"Improving"</formula>
    </cfRule>
    <cfRule type="cellIs" dxfId="1869" priority="172" operator="equal">
      <formula>"Optimising"</formula>
    </cfRule>
    <cfRule type="cellIs" dxfId="1868" priority="173" operator="equal">
      <formula>"Proactive"</formula>
    </cfRule>
    <cfRule type="cellIs" dxfId="1867" priority="174" operator="equal">
      <formula>"Reactive"</formula>
    </cfRule>
    <cfRule type="cellIs" dxfId="1866" priority="175" operator="equal">
      <formula>"No Formal Approach"</formula>
    </cfRule>
  </conditionalFormatting>
  <conditionalFormatting sqref="I14:I35">
    <cfRule type="cellIs" dxfId="1865" priority="166" operator="equal">
      <formula>"Improving"</formula>
    </cfRule>
    <cfRule type="cellIs" dxfId="1864" priority="167" operator="equal">
      <formula>"Optimising"</formula>
    </cfRule>
    <cfRule type="cellIs" dxfId="1863" priority="168" operator="equal">
      <formula>"Proactive"</formula>
    </cfRule>
    <cfRule type="cellIs" dxfId="1862" priority="169" operator="equal">
      <formula>"Reactive"</formula>
    </cfRule>
    <cfRule type="cellIs" dxfId="1861" priority="170" operator="equal">
      <formula>"No Formal Approach"</formula>
    </cfRule>
  </conditionalFormatting>
  <conditionalFormatting sqref="I37:I42">
    <cfRule type="cellIs" dxfId="1860" priority="161" operator="equal">
      <formula>"Improving"</formula>
    </cfRule>
    <cfRule type="cellIs" dxfId="1859" priority="162" operator="equal">
      <formula>"Optimising"</formula>
    </cfRule>
    <cfRule type="cellIs" dxfId="1858" priority="163" operator="equal">
      <formula>"Proactive"</formula>
    </cfRule>
    <cfRule type="cellIs" dxfId="1857" priority="164" operator="equal">
      <formula>"Reactive"</formula>
    </cfRule>
    <cfRule type="cellIs" dxfId="1856" priority="165" operator="equal">
      <formula>"No Formal Approach"</formula>
    </cfRule>
  </conditionalFormatting>
  <conditionalFormatting sqref="I44:I51">
    <cfRule type="cellIs" dxfId="1855" priority="156" operator="equal">
      <formula>"Improving"</formula>
    </cfRule>
    <cfRule type="cellIs" dxfId="1854" priority="157" operator="equal">
      <formula>"Optimising"</formula>
    </cfRule>
    <cfRule type="cellIs" dxfId="1853" priority="158" operator="equal">
      <formula>"Proactive"</formula>
    </cfRule>
    <cfRule type="cellIs" dxfId="1852" priority="159" operator="equal">
      <formula>"Reactive"</formula>
    </cfRule>
    <cfRule type="cellIs" dxfId="1851" priority="160" operator="equal">
      <formula>"No Formal Approach"</formula>
    </cfRule>
  </conditionalFormatting>
  <conditionalFormatting sqref="I53:I58">
    <cfRule type="cellIs" dxfId="1850" priority="151" operator="equal">
      <formula>"Improving"</formula>
    </cfRule>
    <cfRule type="cellIs" dxfId="1849" priority="152" operator="equal">
      <formula>"Optimising"</formula>
    </cfRule>
    <cfRule type="cellIs" dxfId="1848" priority="153" operator="equal">
      <formula>"Proactive"</formula>
    </cfRule>
    <cfRule type="cellIs" dxfId="1847" priority="154" operator="equal">
      <formula>"Reactive"</formula>
    </cfRule>
    <cfRule type="cellIs" dxfId="1846" priority="155" operator="equal">
      <formula>"No Formal Approach"</formula>
    </cfRule>
  </conditionalFormatting>
  <conditionalFormatting sqref="I60:I62">
    <cfRule type="cellIs" dxfId="1845" priority="146" operator="equal">
      <formula>"Improving"</formula>
    </cfRule>
    <cfRule type="cellIs" dxfId="1844" priority="147" operator="equal">
      <formula>"Optimising"</formula>
    </cfRule>
    <cfRule type="cellIs" dxfId="1843" priority="148" operator="equal">
      <formula>"Proactive"</formula>
    </cfRule>
    <cfRule type="cellIs" dxfId="1842" priority="149" operator="equal">
      <formula>"Reactive"</formula>
    </cfRule>
    <cfRule type="cellIs" dxfId="1841" priority="150" operator="equal">
      <formula>"No Formal Approach"</formula>
    </cfRule>
  </conditionalFormatting>
  <conditionalFormatting sqref="I64:I65">
    <cfRule type="cellIs" dxfId="1840" priority="141" operator="equal">
      <formula>"Improving"</formula>
    </cfRule>
    <cfRule type="cellIs" dxfId="1839" priority="142" operator="equal">
      <formula>"Optimising"</formula>
    </cfRule>
    <cfRule type="cellIs" dxfId="1838" priority="143" operator="equal">
      <formula>"Proactive"</formula>
    </cfRule>
    <cfRule type="cellIs" dxfId="1837" priority="144" operator="equal">
      <formula>"Reactive"</formula>
    </cfRule>
    <cfRule type="cellIs" dxfId="1836" priority="145" operator="equal">
      <formula>"No Formal Approach"</formula>
    </cfRule>
  </conditionalFormatting>
  <conditionalFormatting sqref="I67:I72">
    <cfRule type="cellIs" dxfId="1835" priority="136" operator="equal">
      <formula>"Improving"</formula>
    </cfRule>
    <cfRule type="cellIs" dxfId="1834" priority="137" operator="equal">
      <formula>"Optimising"</formula>
    </cfRule>
    <cfRule type="cellIs" dxfId="1833" priority="138" operator="equal">
      <formula>"Proactive"</formula>
    </cfRule>
    <cfRule type="cellIs" dxfId="1832" priority="139" operator="equal">
      <formula>"Reactive"</formula>
    </cfRule>
    <cfRule type="cellIs" dxfId="1831" priority="140" operator="equal">
      <formula>"No Formal Approach"</formula>
    </cfRule>
  </conditionalFormatting>
  <conditionalFormatting sqref="I74:I79">
    <cfRule type="cellIs" dxfId="1830" priority="131" operator="equal">
      <formula>"Improving"</formula>
    </cfRule>
    <cfRule type="cellIs" dxfId="1829" priority="132" operator="equal">
      <formula>"Optimising"</formula>
    </cfRule>
    <cfRule type="cellIs" dxfId="1828" priority="133" operator="equal">
      <formula>"Proactive"</formula>
    </cfRule>
    <cfRule type="cellIs" dxfId="1827" priority="134" operator="equal">
      <formula>"Reactive"</formula>
    </cfRule>
    <cfRule type="cellIs" dxfId="1826" priority="135" operator="equal">
      <formula>"No Formal Approach"</formula>
    </cfRule>
  </conditionalFormatting>
  <conditionalFormatting sqref="I81:I86">
    <cfRule type="cellIs" dxfId="1825" priority="126" operator="equal">
      <formula>"Improving"</formula>
    </cfRule>
    <cfRule type="cellIs" dxfId="1824" priority="127" operator="equal">
      <formula>"Optimising"</formula>
    </cfRule>
    <cfRule type="cellIs" dxfId="1823" priority="128" operator="equal">
      <formula>"Proactive"</formula>
    </cfRule>
    <cfRule type="cellIs" dxfId="1822" priority="129" operator="equal">
      <formula>"Reactive"</formula>
    </cfRule>
    <cfRule type="cellIs" dxfId="1821" priority="130" operator="equal">
      <formula>"No Formal Approach"</formula>
    </cfRule>
  </conditionalFormatting>
  <conditionalFormatting sqref="I88:I93">
    <cfRule type="cellIs" dxfId="1820" priority="121" operator="equal">
      <formula>"Improving"</formula>
    </cfRule>
    <cfRule type="cellIs" dxfId="1819" priority="122" operator="equal">
      <formula>"Optimising"</formula>
    </cfRule>
    <cfRule type="cellIs" dxfId="1818" priority="123" operator="equal">
      <formula>"Proactive"</formula>
    </cfRule>
    <cfRule type="cellIs" dxfId="1817" priority="124" operator="equal">
      <formula>"Reactive"</formula>
    </cfRule>
    <cfRule type="cellIs" dxfId="1816" priority="125" operator="equal">
      <formula>"No Formal Approach"</formula>
    </cfRule>
  </conditionalFormatting>
  <conditionalFormatting sqref="G13">
    <cfRule type="cellIs" dxfId="1815" priority="116" operator="between">
      <formula>13</formula>
      <formula>15.9999</formula>
    </cfRule>
    <cfRule type="cellIs" dxfId="1814" priority="117" operator="between">
      <formula>10</formula>
      <formula>12.9999</formula>
    </cfRule>
    <cfRule type="cellIs" dxfId="1813" priority="118" operator="between">
      <formula>7</formula>
      <formula>9.9999</formula>
    </cfRule>
    <cfRule type="cellIs" dxfId="1812" priority="119" operator="between">
      <formula>4</formula>
      <formula>6.9999</formula>
    </cfRule>
    <cfRule type="cellIs" dxfId="1811" priority="120" operator="between">
      <formula>0.1</formula>
      <formula>3.9999</formula>
    </cfRule>
  </conditionalFormatting>
  <conditionalFormatting sqref="I13">
    <cfRule type="cellIs" dxfId="1810" priority="111" operator="equal">
      <formula>"Improving"</formula>
    </cfRule>
    <cfRule type="cellIs" dxfId="1809" priority="112" operator="equal">
      <formula>"Optimising"</formula>
    </cfRule>
    <cfRule type="cellIs" dxfId="1808" priority="113" operator="equal">
      <formula>"Proactive"</formula>
    </cfRule>
    <cfRule type="cellIs" dxfId="1807" priority="114" operator="equal">
      <formula>"Reactive"</formula>
    </cfRule>
    <cfRule type="cellIs" dxfId="1806" priority="115" operator="equal">
      <formula>"No Formal Approach"</formula>
    </cfRule>
  </conditionalFormatting>
  <conditionalFormatting sqref="G36">
    <cfRule type="cellIs" dxfId="1805" priority="106" operator="between">
      <formula>13</formula>
      <formula>15.9999</formula>
    </cfRule>
    <cfRule type="cellIs" dxfId="1804" priority="107" operator="between">
      <formula>10</formula>
      <formula>12.9999</formula>
    </cfRule>
    <cfRule type="cellIs" dxfId="1803" priority="108" operator="between">
      <formula>7</formula>
      <formula>9.9999</formula>
    </cfRule>
    <cfRule type="cellIs" dxfId="1802" priority="109" operator="between">
      <formula>4</formula>
      <formula>6.9999</formula>
    </cfRule>
    <cfRule type="cellIs" dxfId="1801" priority="110" operator="between">
      <formula>0.1</formula>
      <formula>3.9999</formula>
    </cfRule>
  </conditionalFormatting>
  <conditionalFormatting sqref="I36">
    <cfRule type="cellIs" dxfId="1800" priority="101" operator="equal">
      <formula>"Improving"</formula>
    </cfRule>
    <cfRule type="cellIs" dxfId="1799" priority="102" operator="equal">
      <formula>"Optimising"</formula>
    </cfRule>
    <cfRule type="cellIs" dxfId="1798" priority="103" operator="equal">
      <formula>"Proactive"</formula>
    </cfRule>
    <cfRule type="cellIs" dxfId="1797" priority="104" operator="equal">
      <formula>"Reactive"</formula>
    </cfRule>
    <cfRule type="cellIs" dxfId="1796" priority="105" operator="equal">
      <formula>"No Formal Approach"</formula>
    </cfRule>
  </conditionalFormatting>
  <conditionalFormatting sqref="G43">
    <cfRule type="cellIs" dxfId="1795" priority="96" operator="between">
      <formula>13</formula>
      <formula>15.9999</formula>
    </cfRule>
    <cfRule type="cellIs" dxfId="1794" priority="97" operator="between">
      <formula>10</formula>
      <formula>12.9999</formula>
    </cfRule>
    <cfRule type="cellIs" dxfId="1793" priority="98" operator="between">
      <formula>7</formula>
      <formula>9.9999</formula>
    </cfRule>
    <cfRule type="cellIs" dxfId="1792" priority="99" operator="between">
      <formula>4</formula>
      <formula>6.9999</formula>
    </cfRule>
    <cfRule type="cellIs" dxfId="1791" priority="100" operator="between">
      <formula>0.1</formula>
      <formula>3.9999</formula>
    </cfRule>
  </conditionalFormatting>
  <conditionalFormatting sqref="I43">
    <cfRule type="cellIs" dxfId="1790" priority="91" operator="equal">
      <formula>"Improving"</formula>
    </cfRule>
    <cfRule type="cellIs" dxfId="1789" priority="92" operator="equal">
      <formula>"Optimising"</formula>
    </cfRule>
    <cfRule type="cellIs" dxfId="1788" priority="93" operator="equal">
      <formula>"Proactive"</formula>
    </cfRule>
    <cfRule type="cellIs" dxfId="1787" priority="94" operator="equal">
      <formula>"Reactive"</formula>
    </cfRule>
    <cfRule type="cellIs" dxfId="1786" priority="95" operator="equal">
      <formula>"No Formal Approach"</formula>
    </cfRule>
  </conditionalFormatting>
  <conditionalFormatting sqref="G52">
    <cfRule type="cellIs" dxfId="1785" priority="86" operator="between">
      <formula>13</formula>
      <formula>15.9999</formula>
    </cfRule>
    <cfRule type="cellIs" dxfId="1784" priority="87" operator="between">
      <formula>10</formula>
      <formula>12.9999</formula>
    </cfRule>
    <cfRule type="cellIs" dxfId="1783" priority="88" operator="between">
      <formula>7</formula>
      <formula>9.9999</formula>
    </cfRule>
    <cfRule type="cellIs" dxfId="1782" priority="89" operator="between">
      <formula>4</formula>
      <formula>6.9999</formula>
    </cfRule>
    <cfRule type="cellIs" dxfId="1781" priority="90" operator="between">
      <formula>0.1</formula>
      <formula>3.9999</formula>
    </cfRule>
  </conditionalFormatting>
  <conditionalFormatting sqref="I52">
    <cfRule type="cellIs" dxfId="1780" priority="81" operator="equal">
      <formula>"Improving"</formula>
    </cfRule>
    <cfRule type="cellIs" dxfId="1779" priority="82" operator="equal">
      <formula>"Optimising"</formula>
    </cfRule>
    <cfRule type="cellIs" dxfId="1778" priority="83" operator="equal">
      <formula>"Proactive"</formula>
    </cfRule>
    <cfRule type="cellIs" dxfId="1777" priority="84" operator="equal">
      <formula>"Reactive"</formula>
    </cfRule>
    <cfRule type="cellIs" dxfId="1776" priority="85" operator="equal">
      <formula>"No Formal Approach"</formula>
    </cfRule>
  </conditionalFormatting>
  <conditionalFormatting sqref="G59">
    <cfRule type="cellIs" dxfId="1775" priority="76" operator="between">
      <formula>13</formula>
      <formula>15.9999</formula>
    </cfRule>
    <cfRule type="cellIs" dxfId="1774" priority="77" operator="between">
      <formula>10</formula>
      <formula>12.9999</formula>
    </cfRule>
    <cfRule type="cellIs" dxfId="1773" priority="78" operator="between">
      <formula>7</formula>
      <formula>9.9999</formula>
    </cfRule>
    <cfRule type="cellIs" dxfId="1772" priority="79" operator="between">
      <formula>4</formula>
      <formula>6.9999</formula>
    </cfRule>
    <cfRule type="cellIs" dxfId="1771" priority="80" operator="between">
      <formula>0.1</formula>
      <formula>3.9999</formula>
    </cfRule>
  </conditionalFormatting>
  <conditionalFormatting sqref="I59">
    <cfRule type="cellIs" dxfId="1770" priority="71" operator="equal">
      <formula>"Improving"</formula>
    </cfRule>
    <cfRule type="cellIs" dxfId="1769" priority="72" operator="equal">
      <formula>"Optimising"</formula>
    </cfRule>
    <cfRule type="cellIs" dxfId="1768" priority="73" operator="equal">
      <formula>"Proactive"</formula>
    </cfRule>
    <cfRule type="cellIs" dxfId="1767" priority="74" operator="equal">
      <formula>"Reactive"</formula>
    </cfRule>
    <cfRule type="cellIs" dxfId="1766" priority="75" operator="equal">
      <formula>"No Formal Approach"</formula>
    </cfRule>
  </conditionalFormatting>
  <conditionalFormatting sqref="G63">
    <cfRule type="cellIs" dxfId="1765" priority="66" operator="between">
      <formula>13</formula>
      <formula>15.9999</formula>
    </cfRule>
    <cfRule type="cellIs" dxfId="1764" priority="67" operator="between">
      <formula>10</formula>
      <formula>12.9999</formula>
    </cfRule>
    <cfRule type="cellIs" dxfId="1763" priority="68" operator="between">
      <formula>7</formula>
      <formula>9.9999</formula>
    </cfRule>
    <cfRule type="cellIs" dxfId="1762" priority="69" operator="between">
      <formula>4</formula>
      <formula>6.9999</formula>
    </cfRule>
    <cfRule type="cellIs" dxfId="1761" priority="70" operator="between">
      <formula>0.1</formula>
      <formula>3.9999</formula>
    </cfRule>
  </conditionalFormatting>
  <conditionalFormatting sqref="I63">
    <cfRule type="cellIs" dxfId="1760" priority="61" operator="equal">
      <formula>"Improving"</formula>
    </cfRule>
    <cfRule type="cellIs" dxfId="1759" priority="62" operator="equal">
      <formula>"Optimising"</formula>
    </cfRule>
    <cfRule type="cellIs" dxfId="1758" priority="63" operator="equal">
      <formula>"Proactive"</formula>
    </cfRule>
    <cfRule type="cellIs" dxfId="1757" priority="64" operator="equal">
      <formula>"Reactive"</formula>
    </cfRule>
    <cfRule type="cellIs" dxfId="1756" priority="65" operator="equal">
      <formula>"No Formal Approach"</formula>
    </cfRule>
  </conditionalFormatting>
  <conditionalFormatting sqref="G66">
    <cfRule type="cellIs" dxfId="1755" priority="56" operator="between">
      <formula>13</formula>
      <formula>15.9999</formula>
    </cfRule>
    <cfRule type="cellIs" dxfId="1754" priority="57" operator="between">
      <formula>10</formula>
      <formula>12.9999</formula>
    </cfRule>
    <cfRule type="cellIs" dxfId="1753" priority="58" operator="between">
      <formula>7</formula>
      <formula>9.9999</formula>
    </cfRule>
    <cfRule type="cellIs" dxfId="1752" priority="59" operator="between">
      <formula>4</formula>
      <formula>6.9999</formula>
    </cfRule>
    <cfRule type="cellIs" dxfId="1751" priority="60" operator="between">
      <formula>0.1</formula>
      <formula>3.9999</formula>
    </cfRule>
  </conditionalFormatting>
  <conditionalFormatting sqref="I66">
    <cfRule type="cellIs" dxfId="1750" priority="51" operator="equal">
      <formula>"Improving"</formula>
    </cfRule>
    <cfRule type="cellIs" dxfId="1749" priority="52" operator="equal">
      <formula>"Optimising"</formula>
    </cfRule>
    <cfRule type="cellIs" dxfId="1748" priority="53" operator="equal">
      <formula>"Proactive"</formula>
    </cfRule>
    <cfRule type="cellIs" dxfId="1747" priority="54" operator="equal">
      <formula>"Reactive"</formula>
    </cfRule>
    <cfRule type="cellIs" dxfId="1746" priority="55" operator="equal">
      <formula>"No Formal Approach"</formula>
    </cfRule>
  </conditionalFormatting>
  <conditionalFormatting sqref="G73">
    <cfRule type="cellIs" dxfId="1745" priority="46" operator="between">
      <formula>13</formula>
      <formula>15.9999</formula>
    </cfRule>
    <cfRule type="cellIs" dxfId="1744" priority="47" operator="between">
      <formula>10</formula>
      <formula>12.9999</formula>
    </cfRule>
    <cfRule type="cellIs" dxfId="1743" priority="48" operator="between">
      <formula>7</formula>
      <formula>9.9999</formula>
    </cfRule>
    <cfRule type="cellIs" dxfId="1742" priority="49" operator="between">
      <formula>4</formula>
      <formula>6.9999</formula>
    </cfRule>
    <cfRule type="cellIs" dxfId="1741" priority="50" operator="between">
      <formula>0.1</formula>
      <formula>3.9999</formula>
    </cfRule>
  </conditionalFormatting>
  <conditionalFormatting sqref="I73">
    <cfRule type="cellIs" dxfId="1740" priority="41" operator="equal">
      <formula>"Improving"</formula>
    </cfRule>
    <cfRule type="cellIs" dxfId="1739" priority="42" operator="equal">
      <formula>"Optimising"</formula>
    </cfRule>
    <cfRule type="cellIs" dxfId="1738" priority="43" operator="equal">
      <formula>"Proactive"</formula>
    </cfRule>
    <cfRule type="cellIs" dxfId="1737" priority="44" operator="equal">
      <formula>"Reactive"</formula>
    </cfRule>
    <cfRule type="cellIs" dxfId="1736" priority="45" operator="equal">
      <formula>"No Formal Approach"</formula>
    </cfRule>
  </conditionalFormatting>
  <conditionalFormatting sqref="G80">
    <cfRule type="cellIs" dxfId="1735" priority="36" operator="between">
      <formula>13</formula>
      <formula>15.9999</formula>
    </cfRule>
    <cfRule type="cellIs" dxfId="1734" priority="37" operator="between">
      <formula>10</formula>
      <formula>12.9999</formula>
    </cfRule>
    <cfRule type="cellIs" dxfId="1733" priority="38" operator="between">
      <formula>7</formula>
      <formula>9.9999</formula>
    </cfRule>
    <cfRule type="cellIs" dxfId="1732" priority="39" operator="between">
      <formula>4</formula>
      <formula>6.9999</formula>
    </cfRule>
    <cfRule type="cellIs" dxfId="1731" priority="40" operator="between">
      <formula>0.1</formula>
      <formula>3.9999</formula>
    </cfRule>
  </conditionalFormatting>
  <conditionalFormatting sqref="I80">
    <cfRule type="cellIs" dxfId="1730" priority="31" operator="equal">
      <formula>"Improving"</formula>
    </cfRule>
    <cfRule type="cellIs" dxfId="1729" priority="32" operator="equal">
      <formula>"Optimising"</formula>
    </cfRule>
    <cfRule type="cellIs" dxfId="1728" priority="33" operator="equal">
      <formula>"Proactive"</formula>
    </cfRule>
    <cfRule type="cellIs" dxfId="1727" priority="34" operator="equal">
      <formula>"Reactive"</formula>
    </cfRule>
    <cfRule type="cellIs" dxfId="1726" priority="35" operator="equal">
      <formula>"No Formal Approach"</formula>
    </cfRule>
  </conditionalFormatting>
  <conditionalFormatting sqref="G87">
    <cfRule type="cellIs" dxfId="1725" priority="26" operator="between">
      <formula>13</formula>
      <formula>15.9999</formula>
    </cfRule>
    <cfRule type="cellIs" dxfId="1724" priority="27" operator="between">
      <formula>10</formula>
      <formula>12.9999</formula>
    </cfRule>
    <cfRule type="cellIs" dxfId="1723" priority="28" operator="between">
      <formula>7</formula>
      <formula>9.9999</formula>
    </cfRule>
    <cfRule type="cellIs" dxfId="1722" priority="29" operator="between">
      <formula>4</formula>
      <formula>6.9999</formula>
    </cfRule>
    <cfRule type="cellIs" dxfId="1721" priority="30" operator="between">
      <formula>0.1</formula>
      <formula>3.9999</formula>
    </cfRule>
  </conditionalFormatting>
  <conditionalFormatting sqref="I87">
    <cfRule type="cellIs" dxfId="1720" priority="21" operator="equal">
      <formula>"Improving"</formula>
    </cfRule>
    <cfRule type="cellIs" dxfId="1719" priority="22" operator="equal">
      <formula>"Optimising"</formula>
    </cfRule>
    <cfRule type="cellIs" dxfId="1718" priority="23" operator="equal">
      <formula>"Proactive"</formula>
    </cfRule>
    <cfRule type="cellIs" dxfId="1717" priority="24" operator="equal">
      <formula>"Reactive"</formula>
    </cfRule>
    <cfRule type="cellIs" dxfId="1716" priority="25" operator="equal">
      <formula>"No Formal Approach"</formula>
    </cfRule>
  </conditionalFormatting>
  <conditionalFormatting sqref="G94">
    <cfRule type="cellIs" dxfId="1715" priority="16" operator="between">
      <formula>13</formula>
      <formula>15.9999</formula>
    </cfRule>
    <cfRule type="cellIs" dxfId="1714" priority="17" operator="between">
      <formula>10</formula>
      <formula>12.9999</formula>
    </cfRule>
    <cfRule type="cellIs" dxfId="1713" priority="18" operator="between">
      <formula>7</formula>
      <formula>9.9999</formula>
    </cfRule>
    <cfRule type="cellIs" dxfId="1712" priority="19" operator="between">
      <formula>4</formula>
      <formula>6.9999</formula>
    </cfRule>
    <cfRule type="cellIs" dxfId="1711" priority="20" operator="between">
      <formula>0.1</formula>
      <formula>3.9999</formula>
    </cfRule>
  </conditionalFormatting>
  <conditionalFormatting sqref="I94">
    <cfRule type="cellIs" dxfId="1710" priority="11" operator="equal">
      <formula>"Improving"</formula>
    </cfRule>
    <cfRule type="cellIs" dxfId="1709" priority="12" operator="equal">
      <formula>"Optimising"</formula>
    </cfRule>
    <cfRule type="cellIs" dxfId="1708" priority="13" operator="equal">
      <formula>"Proactive"</formula>
    </cfRule>
    <cfRule type="cellIs" dxfId="1707" priority="14" operator="equal">
      <formula>"Reactive"</formula>
    </cfRule>
    <cfRule type="cellIs" dxfId="1706" priority="15" operator="equal">
      <formula>"No Formal Approach"</formula>
    </cfRule>
  </conditionalFormatting>
  <conditionalFormatting sqref="G95:G100">
    <cfRule type="cellIs" dxfId="1705" priority="6" operator="between">
      <formula>13</formula>
      <formula>15.9999</formula>
    </cfRule>
    <cfRule type="cellIs" dxfId="1704" priority="7" operator="between">
      <formula>10</formula>
      <formula>12.9999</formula>
    </cfRule>
    <cfRule type="cellIs" dxfId="1703" priority="8" operator="between">
      <formula>7</formula>
      <formula>9.9999</formula>
    </cfRule>
    <cfRule type="cellIs" dxfId="1702" priority="9" operator="between">
      <formula>4</formula>
      <formula>6.9999</formula>
    </cfRule>
    <cfRule type="cellIs" dxfId="1701" priority="10" operator="between">
      <formula>0.1</formula>
      <formula>3.9999</formula>
    </cfRule>
  </conditionalFormatting>
  <conditionalFormatting sqref="I95:I100">
    <cfRule type="cellIs" dxfId="1700" priority="1" operator="equal">
      <formula>"Improving"</formula>
    </cfRule>
    <cfRule type="cellIs" dxfId="1699" priority="2" operator="equal">
      <formula>"Optimising"</formula>
    </cfRule>
    <cfRule type="cellIs" dxfId="1698" priority="3" operator="equal">
      <formula>"Proactive"</formula>
    </cfRule>
    <cfRule type="cellIs" dxfId="1697" priority="4" operator="equal">
      <formula>"Reactive"</formula>
    </cfRule>
    <cfRule type="cellIs" dxfId="169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1'!R15</f>
        <v>Subject 11</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1695" priority="236" operator="between">
      <formula>13</formula>
      <formula>15.9999</formula>
    </cfRule>
    <cfRule type="cellIs" dxfId="1694" priority="237" operator="between">
      <formula>10</formula>
      <formula>12.9999</formula>
    </cfRule>
    <cfRule type="cellIs" dxfId="1693" priority="238" operator="between">
      <formula>7</formula>
      <formula>9.9999</formula>
    </cfRule>
    <cfRule type="cellIs" dxfId="1692" priority="239" operator="between">
      <formula>4</formula>
      <formula>6.9999</formula>
    </cfRule>
    <cfRule type="cellIs" dxfId="1691" priority="240" operator="between">
      <formula>0.1</formula>
      <formula>3.9999</formula>
    </cfRule>
  </conditionalFormatting>
  <conditionalFormatting sqref="I5">
    <cfRule type="cellIs" dxfId="1690" priority="231" operator="equal">
      <formula>"Improving"</formula>
    </cfRule>
    <cfRule type="cellIs" dxfId="1689" priority="232" operator="equal">
      <formula>"Optimising"</formula>
    </cfRule>
    <cfRule type="cellIs" dxfId="1688" priority="233" operator="equal">
      <formula>"Proactive"</formula>
    </cfRule>
    <cfRule type="cellIs" dxfId="1687" priority="234" operator="equal">
      <formula>"Reactive"</formula>
    </cfRule>
    <cfRule type="cellIs" dxfId="1686" priority="235" operator="equal">
      <formula>"No Formal Approach"</formula>
    </cfRule>
  </conditionalFormatting>
  <conditionalFormatting sqref="G6:G12">
    <cfRule type="cellIs" dxfId="1685" priority="226" operator="between">
      <formula>13</formula>
      <formula>15.9999</formula>
    </cfRule>
    <cfRule type="cellIs" dxfId="1684" priority="227" operator="between">
      <formula>10</formula>
      <formula>12.9999</formula>
    </cfRule>
    <cfRule type="cellIs" dxfId="1683" priority="228" operator="between">
      <formula>7</formula>
      <formula>9.9999</formula>
    </cfRule>
    <cfRule type="cellIs" dxfId="1682" priority="229" operator="between">
      <formula>4</formula>
      <formula>6.9999</formula>
    </cfRule>
    <cfRule type="cellIs" dxfId="1681" priority="230" operator="between">
      <formula>0.1</formula>
      <formula>3.9999</formula>
    </cfRule>
  </conditionalFormatting>
  <conditionalFormatting sqref="G14:G35">
    <cfRule type="cellIs" dxfId="1680" priority="221" operator="between">
      <formula>13</formula>
      <formula>15.9999</formula>
    </cfRule>
    <cfRule type="cellIs" dxfId="1679" priority="222" operator="between">
      <formula>10</formula>
      <formula>12.9999</formula>
    </cfRule>
    <cfRule type="cellIs" dxfId="1678" priority="223" operator="between">
      <formula>7</formula>
      <formula>9.9999</formula>
    </cfRule>
    <cfRule type="cellIs" dxfId="1677" priority="224" operator="between">
      <formula>4</formula>
      <formula>6.9999</formula>
    </cfRule>
    <cfRule type="cellIs" dxfId="1676" priority="225" operator="between">
      <formula>0.1</formula>
      <formula>3.9999</formula>
    </cfRule>
  </conditionalFormatting>
  <conditionalFormatting sqref="G37:G42">
    <cfRule type="cellIs" dxfId="1675" priority="216" operator="between">
      <formula>13</formula>
      <formula>15.9999</formula>
    </cfRule>
    <cfRule type="cellIs" dxfId="1674" priority="217" operator="between">
      <formula>10</formula>
      <formula>12.9999</formula>
    </cfRule>
    <cfRule type="cellIs" dxfId="1673" priority="218" operator="between">
      <formula>7</formula>
      <formula>9.9999</formula>
    </cfRule>
    <cfRule type="cellIs" dxfId="1672" priority="219" operator="between">
      <formula>4</formula>
      <formula>6.9999</formula>
    </cfRule>
    <cfRule type="cellIs" dxfId="1671" priority="220" operator="between">
      <formula>0.1</formula>
      <formula>3.9999</formula>
    </cfRule>
  </conditionalFormatting>
  <conditionalFormatting sqref="G44:G51">
    <cfRule type="cellIs" dxfId="1670" priority="211" operator="between">
      <formula>13</formula>
      <formula>15.9999</formula>
    </cfRule>
    <cfRule type="cellIs" dxfId="1669" priority="212" operator="between">
      <formula>10</formula>
      <formula>12.9999</formula>
    </cfRule>
    <cfRule type="cellIs" dxfId="1668" priority="213" operator="between">
      <formula>7</formula>
      <formula>9.9999</formula>
    </cfRule>
    <cfRule type="cellIs" dxfId="1667" priority="214" operator="between">
      <formula>4</formula>
      <formula>6.9999</formula>
    </cfRule>
    <cfRule type="cellIs" dxfId="1666" priority="215" operator="between">
      <formula>0.1</formula>
      <formula>3.9999</formula>
    </cfRule>
  </conditionalFormatting>
  <conditionalFormatting sqref="G53:G58">
    <cfRule type="cellIs" dxfId="1665" priority="206" operator="between">
      <formula>13</formula>
      <formula>15.9999</formula>
    </cfRule>
    <cfRule type="cellIs" dxfId="1664" priority="207" operator="between">
      <formula>10</formula>
      <formula>12.9999</formula>
    </cfRule>
    <cfRule type="cellIs" dxfId="1663" priority="208" operator="between">
      <formula>7</formula>
      <formula>9.9999</formula>
    </cfRule>
    <cfRule type="cellIs" dxfId="1662" priority="209" operator="between">
      <formula>4</formula>
      <formula>6.9999</formula>
    </cfRule>
    <cfRule type="cellIs" dxfId="1661" priority="210" operator="between">
      <formula>0.1</formula>
      <formula>3.9999</formula>
    </cfRule>
  </conditionalFormatting>
  <conditionalFormatting sqref="G60:G62">
    <cfRule type="cellIs" dxfId="1660" priority="201" operator="between">
      <formula>13</formula>
      <formula>15.9999</formula>
    </cfRule>
    <cfRule type="cellIs" dxfId="1659" priority="202" operator="between">
      <formula>10</formula>
      <formula>12.9999</formula>
    </cfRule>
    <cfRule type="cellIs" dxfId="1658" priority="203" operator="between">
      <formula>7</formula>
      <formula>9.9999</formula>
    </cfRule>
    <cfRule type="cellIs" dxfId="1657" priority="204" operator="between">
      <formula>4</formula>
      <formula>6.9999</formula>
    </cfRule>
    <cfRule type="cellIs" dxfId="1656" priority="205" operator="between">
      <formula>0.1</formula>
      <formula>3.9999</formula>
    </cfRule>
  </conditionalFormatting>
  <conditionalFormatting sqref="G64:G65">
    <cfRule type="cellIs" dxfId="1655" priority="196" operator="between">
      <formula>13</formula>
      <formula>15.9999</formula>
    </cfRule>
    <cfRule type="cellIs" dxfId="1654" priority="197" operator="between">
      <formula>10</formula>
      <formula>12.9999</formula>
    </cfRule>
    <cfRule type="cellIs" dxfId="1653" priority="198" operator="between">
      <formula>7</formula>
      <formula>9.9999</formula>
    </cfRule>
    <cfRule type="cellIs" dxfId="1652" priority="199" operator="between">
      <formula>4</formula>
      <formula>6.9999</formula>
    </cfRule>
    <cfRule type="cellIs" dxfId="1651" priority="200" operator="between">
      <formula>0.1</formula>
      <formula>3.9999</formula>
    </cfRule>
  </conditionalFormatting>
  <conditionalFormatting sqref="G67:G72">
    <cfRule type="cellIs" dxfId="1650" priority="191" operator="between">
      <formula>13</formula>
      <formula>15.9999</formula>
    </cfRule>
    <cfRule type="cellIs" dxfId="1649" priority="192" operator="between">
      <formula>10</formula>
      <formula>12.9999</formula>
    </cfRule>
    <cfRule type="cellIs" dxfId="1648" priority="193" operator="between">
      <formula>7</formula>
      <formula>9.9999</formula>
    </cfRule>
    <cfRule type="cellIs" dxfId="1647" priority="194" operator="between">
      <formula>4</formula>
      <formula>6.9999</formula>
    </cfRule>
    <cfRule type="cellIs" dxfId="1646" priority="195" operator="between">
      <formula>0.1</formula>
      <formula>3.9999</formula>
    </cfRule>
  </conditionalFormatting>
  <conditionalFormatting sqref="G74:G79">
    <cfRule type="cellIs" dxfId="1645" priority="186" operator="between">
      <formula>13</formula>
      <formula>15.9999</formula>
    </cfRule>
    <cfRule type="cellIs" dxfId="1644" priority="187" operator="between">
      <formula>10</formula>
      <formula>12.9999</formula>
    </cfRule>
    <cfRule type="cellIs" dxfId="1643" priority="188" operator="between">
      <formula>7</formula>
      <formula>9.9999</formula>
    </cfRule>
    <cfRule type="cellIs" dxfId="1642" priority="189" operator="between">
      <formula>4</formula>
      <formula>6.9999</formula>
    </cfRule>
    <cfRule type="cellIs" dxfId="1641" priority="190" operator="between">
      <formula>0.1</formula>
      <formula>3.9999</formula>
    </cfRule>
  </conditionalFormatting>
  <conditionalFormatting sqref="G81:G86">
    <cfRule type="cellIs" dxfId="1640" priority="181" operator="between">
      <formula>13</formula>
      <formula>15.9999</formula>
    </cfRule>
    <cfRule type="cellIs" dxfId="1639" priority="182" operator="between">
      <formula>10</formula>
      <formula>12.9999</formula>
    </cfRule>
    <cfRule type="cellIs" dxfId="1638" priority="183" operator="between">
      <formula>7</formula>
      <formula>9.9999</formula>
    </cfRule>
    <cfRule type="cellIs" dxfId="1637" priority="184" operator="between">
      <formula>4</formula>
      <formula>6.9999</formula>
    </cfRule>
    <cfRule type="cellIs" dxfId="1636" priority="185" operator="between">
      <formula>0.1</formula>
      <formula>3.9999</formula>
    </cfRule>
  </conditionalFormatting>
  <conditionalFormatting sqref="G88:G93">
    <cfRule type="cellIs" dxfId="1635" priority="176" operator="between">
      <formula>13</formula>
      <formula>15.9999</formula>
    </cfRule>
    <cfRule type="cellIs" dxfId="1634" priority="177" operator="between">
      <formula>10</formula>
      <formula>12.9999</formula>
    </cfRule>
    <cfRule type="cellIs" dxfId="1633" priority="178" operator="between">
      <formula>7</formula>
      <formula>9.9999</formula>
    </cfRule>
    <cfRule type="cellIs" dxfId="1632" priority="179" operator="between">
      <formula>4</formula>
      <formula>6.9999</formula>
    </cfRule>
    <cfRule type="cellIs" dxfId="1631" priority="180" operator="between">
      <formula>0.1</formula>
      <formula>3.9999</formula>
    </cfRule>
  </conditionalFormatting>
  <conditionalFormatting sqref="I6:I12">
    <cfRule type="cellIs" dxfId="1630" priority="171" operator="equal">
      <formula>"Improving"</formula>
    </cfRule>
    <cfRule type="cellIs" dxfId="1629" priority="172" operator="equal">
      <formula>"Optimising"</formula>
    </cfRule>
    <cfRule type="cellIs" dxfId="1628" priority="173" operator="equal">
      <formula>"Proactive"</formula>
    </cfRule>
    <cfRule type="cellIs" dxfId="1627" priority="174" operator="equal">
      <formula>"Reactive"</formula>
    </cfRule>
    <cfRule type="cellIs" dxfId="1626" priority="175" operator="equal">
      <formula>"No Formal Approach"</formula>
    </cfRule>
  </conditionalFormatting>
  <conditionalFormatting sqref="I14:I35">
    <cfRule type="cellIs" dxfId="1625" priority="166" operator="equal">
      <formula>"Improving"</formula>
    </cfRule>
    <cfRule type="cellIs" dxfId="1624" priority="167" operator="equal">
      <formula>"Optimising"</formula>
    </cfRule>
    <cfRule type="cellIs" dxfId="1623" priority="168" operator="equal">
      <formula>"Proactive"</formula>
    </cfRule>
    <cfRule type="cellIs" dxfId="1622" priority="169" operator="equal">
      <formula>"Reactive"</formula>
    </cfRule>
    <cfRule type="cellIs" dxfId="1621" priority="170" operator="equal">
      <formula>"No Formal Approach"</formula>
    </cfRule>
  </conditionalFormatting>
  <conditionalFormatting sqref="I37:I42">
    <cfRule type="cellIs" dxfId="1620" priority="161" operator="equal">
      <formula>"Improving"</formula>
    </cfRule>
    <cfRule type="cellIs" dxfId="1619" priority="162" operator="equal">
      <formula>"Optimising"</formula>
    </cfRule>
    <cfRule type="cellIs" dxfId="1618" priority="163" operator="equal">
      <formula>"Proactive"</formula>
    </cfRule>
    <cfRule type="cellIs" dxfId="1617" priority="164" operator="equal">
      <formula>"Reactive"</formula>
    </cfRule>
    <cfRule type="cellIs" dxfId="1616" priority="165" operator="equal">
      <formula>"No Formal Approach"</formula>
    </cfRule>
  </conditionalFormatting>
  <conditionalFormatting sqref="I44:I51">
    <cfRule type="cellIs" dxfId="1615" priority="156" operator="equal">
      <formula>"Improving"</formula>
    </cfRule>
    <cfRule type="cellIs" dxfId="1614" priority="157" operator="equal">
      <formula>"Optimising"</formula>
    </cfRule>
    <cfRule type="cellIs" dxfId="1613" priority="158" operator="equal">
      <formula>"Proactive"</formula>
    </cfRule>
    <cfRule type="cellIs" dxfId="1612" priority="159" operator="equal">
      <formula>"Reactive"</formula>
    </cfRule>
    <cfRule type="cellIs" dxfId="1611" priority="160" operator="equal">
      <formula>"No Formal Approach"</formula>
    </cfRule>
  </conditionalFormatting>
  <conditionalFormatting sqref="I53:I58">
    <cfRule type="cellIs" dxfId="1610" priority="151" operator="equal">
      <formula>"Improving"</formula>
    </cfRule>
    <cfRule type="cellIs" dxfId="1609" priority="152" operator="equal">
      <formula>"Optimising"</formula>
    </cfRule>
    <cfRule type="cellIs" dxfId="1608" priority="153" operator="equal">
      <formula>"Proactive"</formula>
    </cfRule>
    <cfRule type="cellIs" dxfId="1607" priority="154" operator="equal">
      <formula>"Reactive"</formula>
    </cfRule>
    <cfRule type="cellIs" dxfId="1606" priority="155" operator="equal">
      <formula>"No Formal Approach"</formula>
    </cfRule>
  </conditionalFormatting>
  <conditionalFormatting sqref="I60:I62">
    <cfRule type="cellIs" dxfId="1605" priority="146" operator="equal">
      <formula>"Improving"</formula>
    </cfRule>
    <cfRule type="cellIs" dxfId="1604" priority="147" operator="equal">
      <formula>"Optimising"</formula>
    </cfRule>
    <cfRule type="cellIs" dxfId="1603" priority="148" operator="equal">
      <formula>"Proactive"</formula>
    </cfRule>
    <cfRule type="cellIs" dxfId="1602" priority="149" operator="equal">
      <formula>"Reactive"</formula>
    </cfRule>
    <cfRule type="cellIs" dxfId="1601" priority="150" operator="equal">
      <formula>"No Formal Approach"</formula>
    </cfRule>
  </conditionalFormatting>
  <conditionalFormatting sqref="I64:I65">
    <cfRule type="cellIs" dxfId="1600" priority="141" operator="equal">
      <formula>"Improving"</formula>
    </cfRule>
    <cfRule type="cellIs" dxfId="1599" priority="142" operator="equal">
      <formula>"Optimising"</formula>
    </cfRule>
    <cfRule type="cellIs" dxfId="1598" priority="143" operator="equal">
      <formula>"Proactive"</formula>
    </cfRule>
    <cfRule type="cellIs" dxfId="1597" priority="144" operator="equal">
      <formula>"Reactive"</formula>
    </cfRule>
    <cfRule type="cellIs" dxfId="1596" priority="145" operator="equal">
      <formula>"No Formal Approach"</formula>
    </cfRule>
  </conditionalFormatting>
  <conditionalFormatting sqref="I67:I72">
    <cfRule type="cellIs" dxfId="1595" priority="136" operator="equal">
      <formula>"Improving"</formula>
    </cfRule>
    <cfRule type="cellIs" dxfId="1594" priority="137" operator="equal">
      <formula>"Optimising"</formula>
    </cfRule>
    <cfRule type="cellIs" dxfId="1593" priority="138" operator="equal">
      <formula>"Proactive"</formula>
    </cfRule>
    <cfRule type="cellIs" dxfId="1592" priority="139" operator="equal">
      <formula>"Reactive"</formula>
    </cfRule>
    <cfRule type="cellIs" dxfId="1591" priority="140" operator="equal">
      <formula>"No Formal Approach"</formula>
    </cfRule>
  </conditionalFormatting>
  <conditionalFormatting sqref="I74:I79">
    <cfRule type="cellIs" dxfId="1590" priority="131" operator="equal">
      <formula>"Improving"</formula>
    </cfRule>
    <cfRule type="cellIs" dxfId="1589" priority="132" operator="equal">
      <formula>"Optimising"</formula>
    </cfRule>
    <cfRule type="cellIs" dxfId="1588" priority="133" operator="equal">
      <formula>"Proactive"</formula>
    </cfRule>
    <cfRule type="cellIs" dxfId="1587" priority="134" operator="equal">
      <formula>"Reactive"</formula>
    </cfRule>
    <cfRule type="cellIs" dxfId="1586" priority="135" operator="equal">
      <formula>"No Formal Approach"</formula>
    </cfRule>
  </conditionalFormatting>
  <conditionalFormatting sqref="I81:I86">
    <cfRule type="cellIs" dxfId="1585" priority="126" operator="equal">
      <formula>"Improving"</formula>
    </cfRule>
    <cfRule type="cellIs" dxfId="1584" priority="127" operator="equal">
      <formula>"Optimising"</formula>
    </cfRule>
    <cfRule type="cellIs" dxfId="1583" priority="128" operator="equal">
      <formula>"Proactive"</formula>
    </cfRule>
    <cfRule type="cellIs" dxfId="1582" priority="129" operator="equal">
      <formula>"Reactive"</formula>
    </cfRule>
    <cfRule type="cellIs" dxfId="1581" priority="130" operator="equal">
      <formula>"No Formal Approach"</formula>
    </cfRule>
  </conditionalFormatting>
  <conditionalFormatting sqref="I88:I93">
    <cfRule type="cellIs" dxfId="1580" priority="121" operator="equal">
      <formula>"Improving"</formula>
    </cfRule>
    <cfRule type="cellIs" dxfId="1579" priority="122" operator="equal">
      <formula>"Optimising"</formula>
    </cfRule>
    <cfRule type="cellIs" dxfId="1578" priority="123" operator="equal">
      <formula>"Proactive"</formula>
    </cfRule>
    <cfRule type="cellIs" dxfId="1577" priority="124" operator="equal">
      <formula>"Reactive"</formula>
    </cfRule>
    <cfRule type="cellIs" dxfId="1576" priority="125" operator="equal">
      <formula>"No Formal Approach"</formula>
    </cfRule>
  </conditionalFormatting>
  <conditionalFormatting sqref="G13">
    <cfRule type="cellIs" dxfId="1575" priority="116" operator="between">
      <formula>13</formula>
      <formula>15.9999</formula>
    </cfRule>
    <cfRule type="cellIs" dxfId="1574" priority="117" operator="between">
      <formula>10</formula>
      <formula>12.9999</formula>
    </cfRule>
    <cfRule type="cellIs" dxfId="1573" priority="118" operator="between">
      <formula>7</formula>
      <formula>9.9999</formula>
    </cfRule>
    <cfRule type="cellIs" dxfId="1572" priority="119" operator="between">
      <formula>4</formula>
      <formula>6.9999</formula>
    </cfRule>
    <cfRule type="cellIs" dxfId="1571" priority="120" operator="between">
      <formula>0.1</formula>
      <formula>3.9999</formula>
    </cfRule>
  </conditionalFormatting>
  <conditionalFormatting sqref="I13">
    <cfRule type="cellIs" dxfId="1570" priority="111" operator="equal">
      <formula>"Improving"</formula>
    </cfRule>
    <cfRule type="cellIs" dxfId="1569" priority="112" operator="equal">
      <formula>"Optimising"</formula>
    </cfRule>
    <cfRule type="cellIs" dxfId="1568" priority="113" operator="equal">
      <formula>"Proactive"</formula>
    </cfRule>
    <cfRule type="cellIs" dxfId="1567" priority="114" operator="equal">
      <formula>"Reactive"</formula>
    </cfRule>
    <cfRule type="cellIs" dxfId="1566" priority="115" operator="equal">
      <formula>"No Formal Approach"</formula>
    </cfRule>
  </conditionalFormatting>
  <conditionalFormatting sqref="G36">
    <cfRule type="cellIs" dxfId="1565" priority="106" operator="between">
      <formula>13</formula>
      <formula>15.9999</formula>
    </cfRule>
    <cfRule type="cellIs" dxfId="1564" priority="107" operator="between">
      <formula>10</formula>
      <formula>12.9999</formula>
    </cfRule>
    <cfRule type="cellIs" dxfId="1563" priority="108" operator="between">
      <formula>7</formula>
      <formula>9.9999</formula>
    </cfRule>
    <cfRule type="cellIs" dxfId="1562" priority="109" operator="between">
      <formula>4</formula>
      <formula>6.9999</formula>
    </cfRule>
    <cfRule type="cellIs" dxfId="1561" priority="110" operator="between">
      <formula>0.1</formula>
      <formula>3.9999</formula>
    </cfRule>
  </conditionalFormatting>
  <conditionalFormatting sqref="I36">
    <cfRule type="cellIs" dxfId="1560" priority="101" operator="equal">
      <formula>"Improving"</formula>
    </cfRule>
    <cfRule type="cellIs" dxfId="1559" priority="102" operator="equal">
      <formula>"Optimising"</formula>
    </cfRule>
    <cfRule type="cellIs" dxfId="1558" priority="103" operator="equal">
      <formula>"Proactive"</formula>
    </cfRule>
    <cfRule type="cellIs" dxfId="1557" priority="104" operator="equal">
      <formula>"Reactive"</formula>
    </cfRule>
    <cfRule type="cellIs" dxfId="1556" priority="105" operator="equal">
      <formula>"No Formal Approach"</formula>
    </cfRule>
  </conditionalFormatting>
  <conditionalFormatting sqref="G43">
    <cfRule type="cellIs" dxfId="1555" priority="96" operator="between">
      <formula>13</formula>
      <formula>15.9999</formula>
    </cfRule>
    <cfRule type="cellIs" dxfId="1554" priority="97" operator="between">
      <formula>10</formula>
      <formula>12.9999</formula>
    </cfRule>
    <cfRule type="cellIs" dxfId="1553" priority="98" operator="between">
      <formula>7</formula>
      <formula>9.9999</formula>
    </cfRule>
    <cfRule type="cellIs" dxfId="1552" priority="99" operator="between">
      <formula>4</formula>
      <formula>6.9999</formula>
    </cfRule>
    <cfRule type="cellIs" dxfId="1551" priority="100" operator="between">
      <formula>0.1</formula>
      <formula>3.9999</formula>
    </cfRule>
  </conditionalFormatting>
  <conditionalFormatting sqref="I43">
    <cfRule type="cellIs" dxfId="1550" priority="91" operator="equal">
      <formula>"Improving"</formula>
    </cfRule>
    <cfRule type="cellIs" dxfId="1549" priority="92" operator="equal">
      <formula>"Optimising"</formula>
    </cfRule>
    <cfRule type="cellIs" dxfId="1548" priority="93" operator="equal">
      <formula>"Proactive"</formula>
    </cfRule>
    <cfRule type="cellIs" dxfId="1547" priority="94" operator="equal">
      <formula>"Reactive"</formula>
    </cfRule>
    <cfRule type="cellIs" dxfId="1546" priority="95" operator="equal">
      <formula>"No Formal Approach"</formula>
    </cfRule>
  </conditionalFormatting>
  <conditionalFormatting sqref="G52">
    <cfRule type="cellIs" dxfId="1545" priority="86" operator="between">
      <formula>13</formula>
      <formula>15.9999</formula>
    </cfRule>
    <cfRule type="cellIs" dxfId="1544" priority="87" operator="between">
      <formula>10</formula>
      <formula>12.9999</formula>
    </cfRule>
    <cfRule type="cellIs" dxfId="1543" priority="88" operator="between">
      <formula>7</formula>
      <formula>9.9999</formula>
    </cfRule>
    <cfRule type="cellIs" dxfId="1542" priority="89" operator="between">
      <formula>4</formula>
      <formula>6.9999</formula>
    </cfRule>
    <cfRule type="cellIs" dxfId="1541" priority="90" operator="between">
      <formula>0.1</formula>
      <formula>3.9999</formula>
    </cfRule>
  </conditionalFormatting>
  <conditionalFormatting sqref="I52">
    <cfRule type="cellIs" dxfId="1540" priority="81" operator="equal">
      <formula>"Improving"</formula>
    </cfRule>
    <cfRule type="cellIs" dxfId="1539" priority="82" operator="equal">
      <formula>"Optimising"</formula>
    </cfRule>
    <cfRule type="cellIs" dxfId="1538" priority="83" operator="equal">
      <formula>"Proactive"</formula>
    </cfRule>
    <cfRule type="cellIs" dxfId="1537" priority="84" operator="equal">
      <formula>"Reactive"</formula>
    </cfRule>
    <cfRule type="cellIs" dxfId="1536" priority="85" operator="equal">
      <formula>"No Formal Approach"</formula>
    </cfRule>
  </conditionalFormatting>
  <conditionalFormatting sqref="G59">
    <cfRule type="cellIs" dxfId="1535" priority="76" operator="between">
      <formula>13</formula>
      <formula>15.9999</formula>
    </cfRule>
    <cfRule type="cellIs" dxfId="1534" priority="77" operator="between">
      <formula>10</formula>
      <formula>12.9999</formula>
    </cfRule>
    <cfRule type="cellIs" dxfId="1533" priority="78" operator="between">
      <formula>7</formula>
      <formula>9.9999</formula>
    </cfRule>
    <cfRule type="cellIs" dxfId="1532" priority="79" operator="between">
      <formula>4</formula>
      <formula>6.9999</formula>
    </cfRule>
    <cfRule type="cellIs" dxfId="1531" priority="80" operator="between">
      <formula>0.1</formula>
      <formula>3.9999</formula>
    </cfRule>
  </conditionalFormatting>
  <conditionalFormatting sqref="I59">
    <cfRule type="cellIs" dxfId="1530" priority="71" operator="equal">
      <formula>"Improving"</formula>
    </cfRule>
    <cfRule type="cellIs" dxfId="1529" priority="72" operator="equal">
      <formula>"Optimising"</formula>
    </cfRule>
    <cfRule type="cellIs" dxfId="1528" priority="73" operator="equal">
      <formula>"Proactive"</formula>
    </cfRule>
    <cfRule type="cellIs" dxfId="1527" priority="74" operator="equal">
      <formula>"Reactive"</formula>
    </cfRule>
    <cfRule type="cellIs" dxfId="1526" priority="75" operator="equal">
      <formula>"No Formal Approach"</formula>
    </cfRule>
  </conditionalFormatting>
  <conditionalFormatting sqref="G63">
    <cfRule type="cellIs" dxfId="1525" priority="66" operator="between">
      <formula>13</formula>
      <formula>15.9999</formula>
    </cfRule>
    <cfRule type="cellIs" dxfId="1524" priority="67" operator="between">
      <formula>10</formula>
      <formula>12.9999</formula>
    </cfRule>
    <cfRule type="cellIs" dxfId="1523" priority="68" operator="between">
      <formula>7</formula>
      <formula>9.9999</formula>
    </cfRule>
    <cfRule type="cellIs" dxfId="1522" priority="69" operator="between">
      <formula>4</formula>
      <formula>6.9999</formula>
    </cfRule>
    <cfRule type="cellIs" dxfId="1521" priority="70" operator="between">
      <formula>0.1</formula>
      <formula>3.9999</formula>
    </cfRule>
  </conditionalFormatting>
  <conditionalFormatting sqref="I63">
    <cfRule type="cellIs" dxfId="1520" priority="61" operator="equal">
      <formula>"Improving"</formula>
    </cfRule>
    <cfRule type="cellIs" dxfId="1519" priority="62" operator="equal">
      <formula>"Optimising"</formula>
    </cfRule>
    <cfRule type="cellIs" dxfId="1518" priority="63" operator="equal">
      <formula>"Proactive"</formula>
    </cfRule>
    <cfRule type="cellIs" dxfId="1517" priority="64" operator="equal">
      <formula>"Reactive"</formula>
    </cfRule>
    <cfRule type="cellIs" dxfId="1516" priority="65" operator="equal">
      <formula>"No Formal Approach"</formula>
    </cfRule>
  </conditionalFormatting>
  <conditionalFormatting sqref="G66">
    <cfRule type="cellIs" dxfId="1515" priority="56" operator="between">
      <formula>13</formula>
      <formula>15.9999</formula>
    </cfRule>
    <cfRule type="cellIs" dxfId="1514" priority="57" operator="between">
      <formula>10</formula>
      <formula>12.9999</formula>
    </cfRule>
    <cfRule type="cellIs" dxfId="1513" priority="58" operator="between">
      <formula>7</formula>
      <formula>9.9999</formula>
    </cfRule>
    <cfRule type="cellIs" dxfId="1512" priority="59" operator="between">
      <formula>4</formula>
      <formula>6.9999</formula>
    </cfRule>
    <cfRule type="cellIs" dxfId="1511" priority="60" operator="between">
      <formula>0.1</formula>
      <formula>3.9999</formula>
    </cfRule>
  </conditionalFormatting>
  <conditionalFormatting sqref="I66">
    <cfRule type="cellIs" dxfId="1510" priority="51" operator="equal">
      <formula>"Improving"</formula>
    </cfRule>
    <cfRule type="cellIs" dxfId="1509" priority="52" operator="equal">
      <formula>"Optimising"</formula>
    </cfRule>
    <cfRule type="cellIs" dxfId="1508" priority="53" operator="equal">
      <formula>"Proactive"</formula>
    </cfRule>
    <cfRule type="cellIs" dxfId="1507" priority="54" operator="equal">
      <formula>"Reactive"</formula>
    </cfRule>
    <cfRule type="cellIs" dxfId="1506" priority="55" operator="equal">
      <formula>"No Formal Approach"</formula>
    </cfRule>
  </conditionalFormatting>
  <conditionalFormatting sqref="G73">
    <cfRule type="cellIs" dxfId="1505" priority="46" operator="between">
      <formula>13</formula>
      <formula>15.9999</formula>
    </cfRule>
    <cfRule type="cellIs" dxfId="1504" priority="47" operator="between">
      <formula>10</formula>
      <formula>12.9999</formula>
    </cfRule>
    <cfRule type="cellIs" dxfId="1503" priority="48" operator="between">
      <formula>7</formula>
      <formula>9.9999</formula>
    </cfRule>
    <cfRule type="cellIs" dxfId="1502" priority="49" operator="between">
      <formula>4</formula>
      <formula>6.9999</formula>
    </cfRule>
    <cfRule type="cellIs" dxfId="1501" priority="50" operator="between">
      <formula>0.1</formula>
      <formula>3.9999</formula>
    </cfRule>
  </conditionalFormatting>
  <conditionalFormatting sqref="I73">
    <cfRule type="cellIs" dxfId="1500" priority="41" operator="equal">
      <formula>"Improving"</formula>
    </cfRule>
    <cfRule type="cellIs" dxfId="1499" priority="42" operator="equal">
      <formula>"Optimising"</formula>
    </cfRule>
    <cfRule type="cellIs" dxfId="1498" priority="43" operator="equal">
      <formula>"Proactive"</formula>
    </cfRule>
    <cfRule type="cellIs" dxfId="1497" priority="44" operator="equal">
      <formula>"Reactive"</formula>
    </cfRule>
    <cfRule type="cellIs" dxfId="1496" priority="45" operator="equal">
      <formula>"No Formal Approach"</formula>
    </cfRule>
  </conditionalFormatting>
  <conditionalFormatting sqref="G80">
    <cfRule type="cellIs" dxfId="1495" priority="36" operator="between">
      <formula>13</formula>
      <formula>15.9999</formula>
    </cfRule>
    <cfRule type="cellIs" dxfId="1494" priority="37" operator="between">
      <formula>10</formula>
      <formula>12.9999</formula>
    </cfRule>
    <cfRule type="cellIs" dxfId="1493" priority="38" operator="between">
      <formula>7</formula>
      <formula>9.9999</formula>
    </cfRule>
    <cfRule type="cellIs" dxfId="1492" priority="39" operator="between">
      <formula>4</formula>
      <formula>6.9999</formula>
    </cfRule>
    <cfRule type="cellIs" dxfId="1491" priority="40" operator="between">
      <formula>0.1</formula>
      <formula>3.9999</formula>
    </cfRule>
  </conditionalFormatting>
  <conditionalFormatting sqref="I80">
    <cfRule type="cellIs" dxfId="1490" priority="31" operator="equal">
      <formula>"Improving"</formula>
    </cfRule>
    <cfRule type="cellIs" dxfId="1489" priority="32" operator="equal">
      <formula>"Optimising"</formula>
    </cfRule>
    <cfRule type="cellIs" dxfId="1488" priority="33" operator="equal">
      <formula>"Proactive"</formula>
    </cfRule>
    <cfRule type="cellIs" dxfId="1487" priority="34" operator="equal">
      <formula>"Reactive"</formula>
    </cfRule>
    <cfRule type="cellIs" dxfId="1486" priority="35" operator="equal">
      <formula>"No Formal Approach"</formula>
    </cfRule>
  </conditionalFormatting>
  <conditionalFormatting sqref="G87">
    <cfRule type="cellIs" dxfId="1485" priority="26" operator="between">
      <formula>13</formula>
      <formula>15.9999</formula>
    </cfRule>
    <cfRule type="cellIs" dxfId="1484" priority="27" operator="between">
      <formula>10</formula>
      <formula>12.9999</formula>
    </cfRule>
    <cfRule type="cellIs" dxfId="1483" priority="28" operator="between">
      <formula>7</formula>
      <formula>9.9999</formula>
    </cfRule>
    <cfRule type="cellIs" dxfId="1482" priority="29" operator="between">
      <formula>4</formula>
      <formula>6.9999</formula>
    </cfRule>
    <cfRule type="cellIs" dxfId="1481" priority="30" operator="between">
      <formula>0.1</formula>
      <formula>3.9999</formula>
    </cfRule>
  </conditionalFormatting>
  <conditionalFormatting sqref="I87">
    <cfRule type="cellIs" dxfId="1480" priority="21" operator="equal">
      <formula>"Improving"</formula>
    </cfRule>
    <cfRule type="cellIs" dxfId="1479" priority="22" operator="equal">
      <formula>"Optimising"</formula>
    </cfRule>
    <cfRule type="cellIs" dxfId="1478" priority="23" operator="equal">
      <formula>"Proactive"</formula>
    </cfRule>
    <cfRule type="cellIs" dxfId="1477" priority="24" operator="equal">
      <formula>"Reactive"</formula>
    </cfRule>
    <cfRule type="cellIs" dxfId="1476" priority="25" operator="equal">
      <formula>"No Formal Approach"</formula>
    </cfRule>
  </conditionalFormatting>
  <conditionalFormatting sqref="G94">
    <cfRule type="cellIs" dxfId="1475" priority="16" operator="between">
      <formula>13</formula>
      <formula>15.9999</formula>
    </cfRule>
    <cfRule type="cellIs" dxfId="1474" priority="17" operator="between">
      <formula>10</formula>
      <formula>12.9999</formula>
    </cfRule>
    <cfRule type="cellIs" dxfId="1473" priority="18" operator="between">
      <formula>7</formula>
      <formula>9.9999</formula>
    </cfRule>
    <cfRule type="cellIs" dxfId="1472" priority="19" operator="between">
      <formula>4</formula>
      <formula>6.9999</formula>
    </cfRule>
    <cfRule type="cellIs" dxfId="1471" priority="20" operator="between">
      <formula>0.1</formula>
      <formula>3.9999</formula>
    </cfRule>
  </conditionalFormatting>
  <conditionalFormatting sqref="I94">
    <cfRule type="cellIs" dxfId="1470" priority="11" operator="equal">
      <formula>"Improving"</formula>
    </cfRule>
    <cfRule type="cellIs" dxfId="1469" priority="12" operator="equal">
      <formula>"Optimising"</formula>
    </cfRule>
    <cfRule type="cellIs" dxfId="1468" priority="13" operator="equal">
      <formula>"Proactive"</formula>
    </cfRule>
    <cfRule type="cellIs" dxfId="1467" priority="14" operator="equal">
      <formula>"Reactive"</formula>
    </cfRule>
    <cfRule type="cellIs" dxfId="1466" priority="15" operator="equal">
      <formula>"No Formal Approach"</formula>
    </cfRule>
  </conditionalFormatting>
  <conditionalFormatting sqref="G95:G100">
    <cfRule type="cellIs" dxfId="1465" priority="6" operator="between">
      <formula>13</formula>
      <formula>15.9999</formula>
    </cfRule>
    <cfRule type="cellIs" dxfId="1464" priority="7" operator="between">
      <formula>10</formula>
      <formula>12.9999</formula>
    </cfRule>
    <cfRule type="cellIs" dxfId="1463" priority="8" operator="between">
      <formula>7</formula>
      <formula>9.9999</formula>
    </cfRule>
    <cfRule type="cellIs" dxfId="1462" priority="9" operator="between">
      <formula>4</formula>
      <formula>6.9999</formula>
    </cfRule>
    <cfRule type="cellIs" dxfId="1461" priority="10" operator="between">
      <formula>0.1</formula>
      <formula>3.9999</formula>
    </cfRule>
  </conditionalFormatting>
  <conditionalFormatting sqref="I95:I100">
    <cfRule type="cellIs" dxfId="1460" priority="1" operator="equal">
      <formula>"Improving"</formula>
    </cfRule>
    <cfRule type="cellIs" dxfId="1459" priority="2" operator="equal">
      <formula>"Optimising"</formula>
    </cfRule>
    <cfRule type="cellIs" dxfId="1458" priority="3" operator="equal">
      <formula>"Proactive"</formula>
    </cfRule>
    <cfRule type="cellIs" dxfId="1457" priority="4" operator="equal">
      <formula>"Reactive"</formula>
    </cfRule>
    <cfRule type="cellIs" dxfId="145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1'!S15</f>
        <v>Subject 12</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1455" priority="236" operator="between">
      <formula>13</formula>
      <formula>15.9999</formula>
    </cfRule>
    <cfRule type="cellIs" dxfId="1454" priority="237" operator="between">
      <formula>10</formula>
      <formula>12.9999</formula>
    </cfRule>
    <cfRule type="cellIs" dxfId="1453" priority="238" operator="between">
      <formula>7</formula>
      <formula>9.9999</formula>
    </cfRule>
    <cfRule type="cellIs" dxfId="1452" priority="239" operator="between">
      <formula>4</formula>
      <formula>6.9999</formula>
    </cfRule>
    <cfRule type="cellIs" dxfId="1451" priority="240" operator="between">
      <formula>0.1</formula>
      <formula>3.9999</formula>
    </cfRule>
  </conditionalFormatting>
  <conditionalFormatting sqref="I5">
    <cfRule type="cellIs" dxfId="1450" priority="231" operator="equal">
      <formula>"Improving"</formula>
    </cfRule>
    <cfRule type="cellIs" dxfId="1449" priority="232" operator="equal">
      <formula>"Optimising"</formula>
    </cfRule>
    <cfRule type="cellIs" dxfId="1448" priority="233" operator="equal">
      <formula>"Proactive"</formula>
    </cfRule>
    <cfRule type="cellIs" dxfId="1447" priority="234" operator="equal">
      <formula>"Reactive"</formula>
    </cfRule>
    <cfRule type="cellIs" dxfId="1446" priority="235" operator="equal">
      <formula>"No Formal Approach"</formula>
    </cfRule>
  </conditionalFormatting>
  <conditionalFormatting sqref="G6:G12">
    <cfRule type="cellIs" dxfId="1445" priority="226" operator="between">
      <formula>13</formula>
      <formula>15.9999</formula>
    </cfRule>
    <cfRule type="cellIs" dxfId="1444" priority="227" operator="between">
      <formula>10</formula>
      <formula>12.9999</formula>
    </cfRule>
    <cfRule type="cellIs" dxfId="1443" priority="228" operator="between">
      <formula>7</formula>
      <formula>9.9999</formula>
    </cfRule>
    <cfRule type="cellIs" dxfId="1442" priority="229" operator="between">
      <formula>4</formula>
      <formula>6.9999</formula>
    </cfRule>
    <cfRule type="cellIs" dxfId="1441" priority="230" operator="between">
      <formula>0.1</formula>
      <formula>3.9999</formula>
    </cfRule>
  </conditionalFormatting>
  <conditionalFormatting sqref="G14:G35">
    <cfRule type="cellIs" dxfId="1440" priority="221" operator="between">
      <formula>13</formula>
      <formula>15.9999</formula>
    </cfRule>
    <cfRule type="cellIs" dxfId="1439" priority="222" operator="between">
      <formula>10</formula>
      <formula>12.9999</formula>
    </cfRule>
    <cfRule type="cellIs" dxfId="1438" priority="223" operator="between">
      <formula>7</formula>
      <formula>9.9999</formula>
    </cfRule>
    <cfRule type="cellIs" dxfId="1437" priority="224" operator="between">
      <formula>4</formula>
      <formula>6.9999</formula>
    </cfRule>
    <cfRule type="cellIs" dxfId="1436" priority="225" operator="between">
      <formula>0.1</formula>
      <formula>3.9999</formula>
    </cfRule>
  </conditionalFormatting>
  <conditionalFormatting sqref="G37:G42">
    <cfRule type="cellIs" dxfId="1435" priority="216" operator="between">
      <formula>13</formula>
      <formula>15.9999</formula>
    </cfRule>
    <cfRule type="cellIs" dxfId="1434" priority="217" operator="between">
      <formula>10</formula>
      <formula>12.9999</formula>
    </cfRule>
    <cfRule type="cellIs" dxfId="1433" priority="218" operator="between">
      <formula>7</formula>
      <formula>9.9999</formula>
    </cfRule>
    <cfRule type="cellIs" dxfId="1432" priority="219" operator="between">
      <formula>4</formula>
      <formula>6.9999</formula>
    </cfRule>
    <cfRule type="cellIs" dxfId="1431" priority="220" operator="between">
      <formula>0.1</formula>
      <formula>3.9999</formula>
    </cfRule>
  </conditionalFormatting>
  <conditionalFormatting sqref="G44:G51">
    <cfRule type="cellIs" dxfId="1430" priority="211" operator="between">
      <formula>13</formula>
      <formula>15.9999</formula>
    </cfRule>
    <cfRule type="cellIs" dxfId="1429" priority="212" operator="between">
      <formula>10</formula>
      <formula>12.9999</formula>
    </cfRule>
    <cfRule type="cellIs" dxfId="1428" priority="213" operator="between">
      <formula>7</formula>
      <formula>9.9999</formula>
    </cfRule>
    <cfRule type="cellIs" dxfId="1427" priority="214" operator="between">
      <formula>4</formula>
      <formula>6.9999</formula>
    </cfRule>
    <cfRule type="cellIs" dxfId="1426" priority="215" operator="between">
      <formula>0.1</formula>
      <formula>3.9999</formula>
    </cfRule>
  </conditionalFormatting>
  <conditionalFormatting sqref="G53:G58">
    <cfRule type="cellIs" dxfId="1425" priority="206" operator="between">
      <formula>13</formula>
      <formula>15.9999</formula>
    </cfRule>
    <cfRule type="cellIs" dxfId="1424" priority="207" operator="between">
      <formula>10</formula>
      <formula>12.9999</formula>
    </cfRule>
    <cfRule type="cellIs" dxfId="1423" priority="208" operator="between">
      <formula>7</formula>
      <formula>9.9999</formula>
    </cfRule>
    <cfRule type="cellIs" dxfId="1422" priority="209" operator="between">
      <formula>4</formula>
      <formula>6.9999</formula>
    </cfRule>
    <cfRule type="cellIs" dxfId="1421" priority="210" operator="between">
      <formula>0.1</formula>
      <formula>3.9999</formula>
    </cfRule>
  </conditionalFormatting>
  <conditionalFormatting sqref="G60:G62">
    <cfRule type="cellIs" dxfId="1420" priority="201" operator="between">
      <formula>13</formula>
      <formula>15.9999</formula>
    </cfRule>
    <cfRule type="cellIs" dxfId="1419" priority="202" operator="between">
      <formula>10</formula>
      <formula>12.9999</formula>
    </cfRule>
    <cfRule type="cellIs" dxfId="1418" priority="203" operator="between">
      <formula>7</formula>
      <formula>9.9999</formula>
    </cfRule>
    <cfRule type="cellIs" dxfId="1417" priority="204" operator="between">
      <formula>4</formula>
      <formula>6.9999</formula>
    </cfRule>
    <cfRule type="cellIs" dxfId="1416" priority="205" operator="between">
      <formula>0.1</formula>
      <formula>3.9999</formula>
    </cfRule>
  </conditionalFormatting>
  <conditionalFormatting sqref="G64:G65">
    <cfRule type="cellIs" dxfId="1415" priority="196" operator="between">
      <formula>13</formula>
      <formula>15.9999</formula>
    </cfRule>
    <cfRule type="cellIs" dxfId="1414" priority="197" operator="between">
      <formula>10</formula>
      <formula>12.9999</formula>
    </cfRule>
    <cfRule type="cellIs" dxfId="1413" priority="198" operator="between">
      <formula>7</formula>
      <formula>9.9999</formula>
    </cfRule>
    <cfRule type="cellIs" dxfId="1412" priority="199" operator="between">
      <formula>4</formula>
      <formula>6.9999</formula>
    </cfRule>
    <cfRule type="cellIs" dxfId="1411" priority="200" operator="between">
      <formula>0.1</formula>
      <formula>3.9999</formula>
    </cfRule>
  </conditionalFormatting>
  <conditionalFormatting sqref="G67:G72">
    <cfRule type="cellIs" dxfId="1410" priority="191" operator="between">
      <formula>13</formula>
      <formula>15.9999</formula>
    </cfRule>
    <cfRule type="cellIs" dxfId="1409" priority="192" operator="between">
      <formula>10</formula>
      <formula>12.9999</formula>
    </cfRule>
    <cfRule type="cellIs" dxfId="1408" priority="193" operator="between">
      <formula>7</formula>
      <formula>9.9999</formula>
    </cfRule>
    <cfRule type="cellIs" dxfId="1407" priority="194" operator="between">
      <formula>4</formula>
      <formula>6.9999</formula>
    </cfRule>
    <cfRule type="cellIs" dxfId="1406" priority="195" operator="between">
      <formula>0.1</formula>
      <formula>3.9999</formula>
    </cfRule>
  </conditionalFormatting>
  <conditionalFormatting sqref="G74:G79">
    <cfRule type="cellIs" dxfId="1405" priority="186" operator="between">
      <formula>13</formula>
      <formula>15.9999</formula>
    </cfRule>
    <cfRule type="cellIs" dxfId="1404" priority="187" operator="between">
      <formula>10</formula>
      <formula>12.9999</formula>
    </cfRule>
    <cfRule type="cellIs" dxfId="1403" priority="188" operator="between">
      <formula>7</formula>
      <formula>9.9999</formula>
    </cfRule>
    <cfRule type="cellIs" dxfId="1402" priority="189" operator="between">
      <formula>4</formula>
      <formula>6.9999</formula>
    </cfRule>
    <cfRule type="cellIs" dxfId="1401" priority="190" operator="between">
      <formula>0.1</formula>
      <formula>3.9999</formula>
    </cfRule>
  </conditionalFormatting>
  <conditionalFormatting sqref="G81:G86">
    <cfRule type="cellIs" dxfId="1400" priority="181" operator="between">
      <formula>13</formula>
      <formula>15.9999</formula>
    </cfRule>
    <cfRule type="cellIs" dxfId="1399" priority="182" operator="between">
      <formula>10</formula>
      <formula>12.9999</formula>
    </cfRule>
    <cfRule type="cellIs" dxfId="1398" priority="183" operator="between">
      <formula>7</formula>
      <formula>9.9999</formula>
    </cfRule>
    <cfRule type="cellIs" dxfId="1397" priority="184" operator="between">
      <formula>4</formula>
      <formula>6.9999</formula>
    </cfRule>
    <cfRule type="cellIs" dxfId="1396" priority="185" operator="between">
      <formula>0.1</formula>
      <formula>3.9999</formula>
    </cfRule>
  </conditionalFormatting>
  <conditionalFormatting sqref="G88:G93">
    <cfRule type="cellIs" dxfId="1395" priority="176" operator="between">
      <formula>13</formula>
      <formula>15.9999</formula>
    </cfRule>
    <cfRule type="cellIs" dxfId="1394" priority="177" operator="between">
      <formula>10</formula>
      <formula>12.9999</formula>
    </cfRule>
    <cfRule type="cellIs" dxfId="1393" priority="178" operator="between">
      <formula>7</formula>
      <formula>9.9999</formula>
    </cfRule>
    <cfRule type="cellIs" dxfId="1392" priority="179" operator="between">
      <formula>4</formula>
      <formula>6.9999</formula>
    </cfRule>
    <cfRule type="cellIs" dxfId="1391" priority="180" operator="between">
      <formula>0.1</formula>
      <formula>3.9999</formula>
    </cfRule>
  </conditionalFormatting>
  <conditionalFormatting sqref="I6:I12">
    <cfRule type="cellIs" dxfId="1390" priority="171" operator="equal">
      <formula>"Improving"</formula>
    </cfRule>
    <cfRule type="cellIs" dxfId="1389" priority="172" operator="equal">
      <formula>"Optimising"</formula>
    </cfRule>
    <cfRule type="cellIs" dxfId="1388" priority="173" operator="equal">
      <formula>"Proactive"</formula>
    </cfRule>
    <cfRule type="cellIs" dxfId="1387" priority="174" operator="equal">
      <formula>"Reactive"</formula>
    </cfRule>
    <cfRule type="cellIs" dxfId="1386" priority="175" operator="equal">
      <formula>"No Formal Approach"</formula>
    </cfRule>
  </conditionalFormatting>
  <conditionalFormatting sqref="I14:I35">
    <cfRule type="cellIs" dxfId="1385" priority="166" operator="equal">
      <formula>"Improving"</formula>
    </cfRule>
    <cfRule type="cellIs" dxfId="1384" priority="167" operator="equal">
      <formula>"Optimising"</formula>
    </cfRule>
    <cfRule type="cellIs" dxfId="1383" priority="168" operator="equal">
      <formula>"Proactive"</formula>
    </cfRule>
    <cfRule type="cellIs" dxfId="1382" priority="169" operator="equal">
      <formula>"Reactive"</formula>
    </cfRule>
    <cfRule type="cellIs" dxfId="1381" priority="170" operator="equal">
      <formula>"No Formal Approach"</formula>
    </cfRule>
  </conditionalFormatting>
  <conditionalFormatting sqref="I37:I42">
    <cfRule type="cellIs" dxfId="1380" priority="161" operator="equal">
      <formula>"Improving"</formula>
    </cfRule>
    <cfRule type="cellIs" dxfId="1379" priority="162" operator="equal">
      <formula>"Optimising"</formula>
    </cfRule>
    <cfRule type="cellIs" dxfId="1378" priority="163" operator="equal">
      <formula>"Proactive"</formula>
    </cfRule>
    <cfRule type="cellIs" dxfId="1377" priority="164" operator="equal">
      <formula>"Reactive"</formula>
    </cfRule>
    <cfRule type="cellIs" dxfId="1376" priority="165" operator="equal">
      <formula>"No Formal Approach"</formula>
    </cfRule>
  </conditionalFormatting>
  <conditionalFormatting sqref="I44:I51">
    <cfRule type="cellIs" dxfId="1375" priority="156" operator="equal">
      <formula>"Improving"</formula>
    </cfRule>
    <cfRule type="cellIs" dxfId="1374" priority="157" operator="equal">
      <formula>"Optimising"</formula>
    </cfRule>
    <cfRule type="cellIs" dxfId="1373" priority="158" operator="equal">
      <formula>"Proactive"</formula>
    </cfRule>
    <cfRule type="cellIs" dxfId="1372" priority="159" operator="equal">
      <formula>"Reactive"</formula>
    </cfRule>
    <cfRule type="cellIs" dxfId="1371" priority="160" operator="equal">
      <formula>"No Formal Approach"</formula>
    </cfRule>
  </conditionalFormatting>
  <conditionalFormatting sqref="I53:I58">
    <cfRule type="cellIs" dxfId="1370" priority="151" operator="equal">
      <formula>"Improving"</formula>
    </cfRule>
    <cfRule type="cellIs" dxfId="1369" priority="152" operator="equal">
      <formula>"Optimising"</formula>
    </cfRule>
    <cfRule type="cellIs" dxfId="1368" priority="153" operator="equal">
      <formula>"Proactive"</formula>
    </cfRule>
    <cfRule type="cellIs" dxfId="1367" priority="154" operator="equal">
      <formula>"Reactive"</formula>
    </cfRule>
    <cfRule type="cellIs" dxfId="1366" priority="155" operator="equal">
      <formula>"No Formal Approach"</formula>
    </cfRule>
  </conditionalFormatting>
  <conditionalFormatting sqref="I60:I62">
    <cfRule type="cellIs" dxfId="1365" priority="146" operator="equal">
      <formula>"Improving"</formula>
    </cfRule>
    <cfRule type="cellIs" dxfId="1364" priority="147" operator="equal">
      <formula>"Optimising"</formula>
    </cfRule>
    <cfRule type="cellIs" dxfId="1363" priority="148" operator="equal">
      <formula>"Proactive"</formula>
    </cfRule>
    <cfRule type="cellIs" dxfId="1362" priority="149" operator="equal">
      <formula>"Reactive"</formula>
    </cfRule>
    <cfRule type="cellIs" dxfId="1361" priority="150" operator="equal">
      <formula>"No Formal Approach"</formula>
    </cfRule>
  </conditionalFormatting>
  <conditionalFormatting sqref="I64:I65">
    <cfRule type="cellIs" dxfId="1360" priority="141" operator="equal">
      <formula>"Improving"</formula>
    </cfRule>
    <cfRule type="cellIs" dxfId="1359" priority="142" operator="equal">
      <formula>"Optimising"</formula>
    </cfRule>
    <cfRule type="cellIs" dxfId="1358" priority="143" operator="equal">
      <formula>"Proactive"</formula>
    </cfRule>
    <cfRule type="cellIs" dxfId="1357" priority="144" operator="equal">
      <formula>"Reactive"</formula>
    </cfRule>
    <cfRule type="cellIs" dxfId="1356" priority="145" operator="equal">
      <formula>"No Formal Approach"</formula>
    </cfRule>
  </conditionalFormatting>
  <conditionalFormatting sqref="I67:I72">
    <cfRule type="cellIs" dxfId="1355" priority="136" operator="equal">
      <formula>"Improving"</formula>
    </cfRule>
    <cfRule type="cellIs" dxfId="1354" priority="137" operator="equal">
      <formula>"Optimising"</formula>
    </cfRule>
    <cfRule type="cellIs" dxfId="1353" priority="138" operator="equal">
      <formula>"Proactive"</formula>
    </cfRule>
    <cfRule type="cellIs" dxfId="1352" priority="139" operator="equal">
      <formula>"Reactive"</formula>
    </cfRule>
    <cfRule type="cellIs" dxfId="1351" priority="140" operator="equal">
      <formula>"No Formal Approach"</formula>
    </cfRule>
  </conditionalFormatting>
  <conditionalFormatting sqref="I74:I79">
    <cfRule type="cellIs" dxfId="1350" priority="131" operator="equal">
      <formula>"Improving"</formula>
    </cfRule>
    <cfRule type="cellIs" dxfId="1349" priority="132" operator="equal">
      <formula>"Optimising"</formula>
    </cfRule>
    <cfRule type="cellIs" dxfId="1348" priority="133" operator="equal">
      <formula>"Proactive"</formula>
    </cfRule>
    <cfRule type="cellIs" dxfId="1347" priority="134" operator="equal">
      <formula>"Reactive"</formula>
    </cfRule>
    <cfRule type="cellIs" dxfId="1346" priority="135" operator="equal">
      <formula>"No Formal Approach"</formula>
    </cfRule>
  </conditionalFormatting>
  <conditionalFormatting sqref="I81:I86">
    <cfRule type="cellIs" dxfId="1345" priority="126" operator="equal">
      <formula>"Improving"</formula>
    </cfRule>
    <cfRule type="cellIs" dxfId="1344" priority="127" operator="equal">
      <formula>"Optimising"</formula>
    </cfRule>
    <cfRule type="cellIs" dxfId="1343" priority="128" operator="equal">
      <formula>"Proactive"</formula>
    </cfRule>
    <cfRule type="cellIs" dxfId="1342" priority="129" operator="equal">
      <formula>"Reactive"</formula>
    </cfRule>
    <cfRule type="cellIs" dxfId="1341" priority="130" operator="equal">
      <formula>"No Formal Approach"</formula>
    </cfRule>
  </conditionalFormatting>
  <conditionalFormatting sqref="I88:I93">
    <cfRule type="cellIs" dxfId="1340" priority="121" operator="equal">
      <formula>"Improving"</formula>
    </cfRule>
    <cfRule type="cellIs" dxfId="1339" priority="122" operator="equal">
      <formula>"Optimising"</formula>
    </cfRule>
    <cfRule type="cellIs" dxfId="1338" priority="123" operator="equal">
      <formula>"Proactive"</formula>
    </cfRule>
    <cfRule type="cellIs" dxfId="1337" priority="124" operator="equal">
      <formula>"Reactive"</formula>
    </cfRule>
    <cfRule type="cellIs" dxfId="1336" priority="125" operator="equal">
      <formula>"No Formal Approach"</formula>
    </cfRule>
  </conditionalFormatting>
  <conditionalFormatting sqref="G13">
    <cfRule type="cellIs" dxfId="1335" priority="116" operator="between">
      <formula>13</formula>
      <formula>15.9999</formula>
    </cfRule>
    <cfRule type="cellIs" dxfId="1334" priority="117" operator="between">
      <formula>10</formula>
      <formula>12.9999</formula>
    </cfRule>
    <cfRule type="cellIs" dxfId="1333" priority="118" operator="between">
      <formula>7</formula>
      <formula>9.9999</formula>
    </cfRule>
    <cfRule type="cellIs" dxfId="1332" priority="119" operator="between">
      <formula>4</formula>
      <formula>6.9999</formula>
    </cfRule>
    <cfRule type="cellIs" dxfId="1331" priority="120" operator="between">
      <formula>0.1</formula>
      <formula>3.9999</formula>
    </cfRule>
  </conditionalFormatting>
  <conditionalFormatting sqref="I13">
    <cfRule type="cellIs" dxfId="1330" priority="111" operator="equal">
      <formula>"Improving"</formula>
    </cfRule>
    <cfRule type="cellIs" dxfId="1329" priority="112" operator="equal">
      <formula>"Optimising"</formula>
    </cfRule>
    <cfRule type="cellIs" dxfId="1328" priority="113" operator="equal">
      <formula>"Proactive"</formula>
    </cfRule>
    <cfRule type="cellIs" dxfId="1327" priority="114" operator="equal">
      <formula>"Reactive"</formula>
    </cfRule>
    <cfRule type="cellIs" dxfId="1326" priority="115" operator="equal">
      <formula>"No Formal Approach"</formula>
    </cfRule>
  </conditionalFormatting>
  <conditionalFormatting sqref="G36">
    <cfRule type="cellIs" dxfId="1325" priority="106" operator="between">
      <formula>13</formula>
      <formula>15.9999</formula>
    </cfRule>
    <cfRule type="cellIs" dxfId="1324" priority="107" operator="between">
      <formula>10</formula>
      <formula>12.9999</formula>
    </cfRule>
    <cfRule type="cellIs" dxfId="1323" priority="108" operator="between">
      <formula>7</formula>
      <formula>9.9999</formula>
    </cfRule>
    <cfRule type="cellIs" dxfId="1322" priority="109" operator="between">
      <formula>4</formula>
      <formula>6.9999</formula>
    </cfRule>
    <cfRule type="cellIs" dxfId="1321" priority="110" operator="between">
      <formula>0.1</formula>
      <formula>3.9999</formula>
    </cfRule>
  </conditionalFormatting>
  <conditionalFormatting sqref="I36">
    <cfRule type="cellIs" dxfId="1320" priority="101" operator="equal">
      <formula>"Improving"</formula>
    </cfRule>
    <cfRule type="cellIs" dxfId="1319" priority="102" operator="equal">
      <formula>"Optimising"</formula>
    </cfRule>
    <cfRule type="cellIs" dxfId="1318" priority="103" operator="equal">
      <formula>"Proactive"</formula>
    </cfRule>
    <cfRule type="cellIs" dxfId="1317" priority="104" operator="equal">
      <formula>"Reactive"</formula>
    </cfRule>
    <cfRule type="cellIs" dxfId="1316" priority="105" operator="equal">
      <formula>"No Formal Approach"</formula>
    </cfRule>
  </conditionalFormatting>
  <conditionalFormatting sqref="G43">
    <cfRule type="cellIs" dxfId="1315" priority="96" operator="between">
      <formula>13</formula>
      <formula>15.9999</formula>
    </cfRule>
    <cfRule type="cellIs" dxfId="1314" priority="97" operator="between">
      <formula>10</formula>
      <formula>12.9999</formula>
    </cfRule>
    <cfRule type="cellIs" dxfId="1313" priority="98" operator="between">
      <formula>7</formula>
      <formula>9.9999</formula>
    </cfRule>
    <cfRule type="cellIs" dxfId="1312" priority="99" operator="between">
      <formula>4</formula>
      <formula>6.9999</formula>
    </cfRule>
    <cfRule type="cellIs" dxfId="1311" priority="100" operator="between">
      <formula>0.1</formula>
      <formula>3.9999</formula>
    </cfRule>
  </conditionalFormatting>
  <conditionalFormatting sqref="I43">
    <cfRule type="cellIs" dxfId="1310" priority="91" operator="equal">
      <formula>"Improving"</formula>
    </cfRule>
    <cfRule type="cellIs" dxfId="1309" priority="92" operator="equal">
      <formula>"Optimising"</formula>
    </cfRule>
    <cfRule type="cellIs" dxfId="1308" priority="93" operator="equal">
      <formula>"Proactive"</formula>
    </cfRule>
    <cfRule type="cellIs" dxfId="1307" priority="94" operator="equal">
      <formula>"Reactive"</formula>
    </cfRule>
    <cfRule type="cellIs" dxfId="1306" priority="95" operator="equal">
      <formula>"No Formal Approach"</formula>
    </cfRule>
  </conditionalFormatting>
  <conditionalFormatting sqref="G52">
    <cfRule type="cellIs" dxfId="1305" priority="86" operator="between">
      <formula>13</formula>
      <formula>15.9999</formula>
    </cfRule>
    <cfRule type="cellIs" dxfId="1304" priority="87" operator="between">
      <formula>10</formula>
      <formula>12.9999</formula>
    </cfRule>
    <cfRule type="cellIs" dxfId="1303" priority="88" operator="between">
      <formula>7</formula>
      <formula>9.9999</formula>
    </cfRule>
    <cfRule type="cellIs" dxfId="1302" priority="89" operator="between">
      <formula>4</formula>
      <formula>6.9999</formula>
    </cfRule>
    <cfRule type="cellIs" dxfId="1301" priority="90" operator="between">
      <formula>0.1</formula>
      <formula>3.9999</formula>
    </cfRule>
  </conditionalFormatting>
  <conditionalFormatting sqref="I52">
    <cfRule type="cellIs" dxfId="1300" priority="81" operator="equal">
      <formula>"Improving"</formula>
    </cfRule>
    <cfRule type="cellIs" dxfId="1299" priority="82" operator="equal">
      <formula>"Optimising"</formula>
    </cfRule>
    <cfRule type="cellIs" dxfId="1298" priority="83" operator="equal">
      <formula>"Proactive"</formula>
    </cfRule>
    <cfRule type="cellIs" dxfId="1297" priority="84" operator="equal">
      <formula>"Reactive"</formula>
    </cfRule>
    <cfRule type="cellIs" dxfId="1296" priority="85" operator="equal">
      <formula>"No Formal Approach"</formula>
    </cfRule>
  </conditionalFormatting>
  <conditionalFormatting sqref="G59">
    <cfRule type="cellIs" dxfId="1295" priority="76" operator="between">
      <formula>13</formula>
      <formula>15.9999</formula>
    </cfRule>
    <cfRule type="cellIs" dxfId="1294" priority="77" operator="between">
      <formula>10</formula>
      <formula>12.9999</formula>
    </cfRule>
    <cfRule type="cellIs" dxfId="1293" priority="78" operator="between">
      <formula>7</formula>
      <formula>9.9999</formula>
    </cfRule>
    <cfRule type="cellIs" dxfId="1292" priority="79" operator="between">
      <formula>4</formula>
      <formula>6.9999</formula>
    </cfRule>
    <cfRule type="cellIs" dxfId="1291" priority="80" operator="between">
      <formula>0.1</formula>
      <formula>3.9999</formula>
    </cfRule>
  </conditionalFormatting>
  <conditionalFormatting sqref="I59">
    <cfRule type="cellIs" dxfId="1290" priority="71" operator="equal">
      <formula>"Improving"</formula>
    </cfRule>
    <cfRule type="cellIs" dxfId="1289" priority="72" operator="equal">
      <formula>"Optimising"</formula>
    </cfRule>
    <cfRule type="cellIs" dxfId="1288" priority="73" operator="equal">
      <formula>"Proactive"</formula>
    </cfRule>
    <cfRule type="cellIs" dxfId="1287" priority="74" operator="equal">
      <formula>"Reactive"</formula>
    </cfRule>
    <cfRule type="cellIs" dxfId="1286" priority="75" operator="equal">
      <formula>"No Formal Approach"</formula>
    </cfRule>
  </conditionalFormatting>
  <conditionalFormatting sqref="G63">
    <cfRule type="cellIs" dxfId="1285" priority="66" operator="between">
      <formula>13</formula>
      <formula>15.9999</formula>
    </cfRule>
    <cfRule type="cellIs" dxfId="1284" priority="67" operator="between">
      <formula>10</formula>
      <formula>12.9999</formula>
    </cfRule>
    <cfRule type="cellIs" dxfId="1283" priority="68" operator="between">
      <formula>7</formula>
      <formula>9.9999</formula>
    </cfRule>
    <cfRule type="cellIs" dxfId="1282" priority="69" operator="between">
      <formula>4</formula>
      <formula>6.9999</formula>
    </cfRule>
    <cfRule type="cellIs" dxfId="1281" priority="70" operator="between">
      <formula>0.1</formula>
      <formula>3.9999</formula>
    </cfRule>
  </conditionalFormatting>
  <conditionalFormatting sqref="I63">
    <cfRule type="cellIs" dxfId="1280" priority="61" operator="equal">
      <formula>"Improving"</formula>
    </cfRule>
    <cfRule type="cellIs" dxfId="1279" priority="62" operator="equal">
      <formula>"Optimising"</formula>
    </cfRule>
    <cfRule type="cellIs" dxfId="1278" priority="63" operator="equal">
      <formula>"Proactive"</formula>
    </cfRule>
    <cfRule type="cellIs" dxfId="1277" priority="64" operator="equal">
      <formula>"Reactive"</formula>
    </cfRule>
    <cfRule type="cellIs" dxfId="1276" priority="65" operator="equal">
      <formula>"No Formal Approach"</formula>
    </cfRule>
  </conditionalFormatting>
  <conditionalFormatting sqref="G66">
    <cfRule type="cellIs" dxfId="1275" priority="56" operator="between">
      <formula>13</formula>
      <formula>15.9999</formula>
    </cfRule>
    <cfRule type="cellIs" dxfId="1274" priority="57" operator="between">
      <formula>10</formula>
      <formula>12.9999</formula>
    </cfRule>
    <cfRule type="cellIs" dxfId="1273" priority="58" operator="between">
      <formula>7</formula>
      <formula>9.9999</formula>
    </cfRule>
    <cfRule type="cellIs" dxfId="1272" priority="59" operator="between">
      <formula>4</formula>
      <formula>6.9999</formula>
    </cfRule>
    <cfRule type="cellIs" dxfId="1271" priority="60" operator="between">
      <formula>0.1</formula>
      <formula>3.9999</formula>
    </cfRule>
  </conditionalFormatting>
  <conditionalFormatting sqref="I66">
    <cfRule type="cellIs" dxfId="1270" priority="51" operator="equal">
      <formula>"Improving"</formula>
    </cfRule>
    <cfRule type="cellIs" dxfId="1269" priority="52" operator="equal">
      <formula>"Optimising"</formula>
    </cfRule>
    <cfRule type="cellIs" dxfId="1268" priority="53" operator="equal">
      <formula>"Proactive"</formula>
    </cfRule>
    <cfRule type="cellIs" dxfId="1267" priority="54" operator="equal">
      <formula>"Reactive"</formula>
    </cfRule>
    <cfRule type="cellIs" dxfId="1266" priority="55" operator="equal">
      <formula>"No Formal Approach"</formula>
    </cfRule>
  </conditionalFormatting>
  <conditionalFormatting sqref="G73">
    <cfRule type="cellIs" dxfId="1265" priority="46" operator="between">
      <formula>13</formula>
      <formula>15.9999</formula>
    </cfRule>
    <cfRule type="cellIs" dxfId="1264" priority="47" operator="between">
      <formula>10</formula>
      <formula>12.9999</formula>
    </cfRule>
    <cfRule type="cellIs" dxfId="1263" priority="48" operator="between">
      <formula>7</formula>
      <formula>9.9999</formula>
    </cfRule>
    <cfRule type="cellIs" dxfId="1262" priority="49" operator="between">
      <formula>4</formula>
      <formula>6.9999</formula>
    </cfRule>
    <cfRule type="cellIs" dxfId="1261" priority="50" operator="between">
      <formula>0.1</formula>
      <formula>3.9999</formula>
    </cfRule>
  </conditionalFormatting>
  <conditionalFormatting sqref="I73">
    <cfRule type="cellIs" dxfId="1260" priority="41" operator="equal">
      <formula>"Improving"</formula>
    </cfRule>
    <cfRule type="cellIs" dxfId="1259" priority="42" operator="equal">
      <formula>"Optimising"</formula>
    </cfRule>
    <cfRule type="cellIs" dxfId="1258" priority="43" operator="equal">
      <formula>"Proactive"</formula>
    </cfRule>
    <cfRule type="cellIs" dxfId="1257" priority="44" operator="equal">
      <formula>"Reactive"</formula>
    </cfRule>
    <cfRule type="cellIs" dxfId="1256" priority="45" operator="equal">
      <formula>"No Formal Approach"</formula>
    </cfRule>
  </conditionalFormatting>
  <conditionalFormatting sqref="G80">
    <cfRule type="cellIs" dxfId="1255" priority="36" operator="between">
      <formula>13</formula>
      <formula>15.9999</formula>
    </cfRule>
    <cfRule type="cellIs" dxfId="1254" priority="37" operator="between">
      <formula>10</formula>
      <formula>12.9999</formula>
    </cfRule>
    <cfRule type="cellIs" dxfId="1253" priority="38" operator="between">
      <formula>7</formula>
      <formula>9.9999</formula>
    </cfRule>
    <cfRule type="cellIs" dxfId="1252" priority="39" operator="between">
      <formula>4</formula>
      <formula>6.9999</formula>
    </cfRule>
    <cfRule type="cellIs" dxfId="1251" priority="40" operator="between">
      <formula>0.1</formula>
      <formula>3.9999</formula>
    </cfRule>
  </conditionalFormatting>
  <conditionalFormatting sqref="I80">
    <cfRule type="cellIs" dxfId="1250" priority="31" operator="equal">
      <formula>"Improving"</formula>
    </cfRule>
    <cfRule type="cellIs" dxfId="1249" priority="32" operator="equal">
      <formula>"Optimising"</formula>
    </cfRule>
    <cfRule type="cellIs" dxfId="1248" priority="33" operator="equal">
      <formula>"Proactive"</formula>
    </cfRule>
    <cfRule type="cellIs" dxfId="1247" priority="34" operator="equal">
      <formula>"Reactive"</formula>
    </cfRule>
    <cfRule type="cellIs" dxfId="1246" priority="35" operator="equal">
      <formula>"No Formal Approach"</formula>
    </cfRule>
  </conditionalFormatting>
  <conditionalFormatting sqref="G87">
    <cfRule type="cellIs" dxfId="1245" priority="26" operator="between">
      <formula>13</formula>
      <formula>15.9999</formula>
    </cfRule>
    <cfRule type="cellIs" dxfId="1244" priority="27" operator="between">
      <formula>10</formula>
      <formula>12.9999</formula>
    </cfRule>
    <cfRule type="cellIs" dxfId="1243" priority="28" operator="between">
      <formula>7</formula>
      <formula>9.9999</formula>
    </cfRule>
    <cfRule type="cellIs" dxfId="1242" priority="29" operator="between">
      <formula>4</formula>
      <formula>6.9999</formula>
    </cfRule>
    <cfRule type="cellIs" dxfId="1241" priority="30" operator="between">
      <formula>0.1</formula>
      <formula>3.9999</formula>
    </cfRule>
  </conditionalFormatting>
  <conditionalFormatting sqref="I87">
    <cfRule type="cellIs" dxfId="1240" priority="21" operator="equal">
      <formula>"Improving"</formula>
    </cfRule>
    <cfRule type="cellIs" dxfId="1239" priority="22" operator="equal">
      <formula>"Optimising"</formula>
    </cfRule>
    <cfRule type="cellIs" dxfId="1238" priority="23" operator="equal">
      <formula>"Proactive"</formula>
    </cfRule>
    <cfRule type="cellIs" dxfId="1237" priority="24" operator="equal">
      <formula>"Reactive"</formula>
    </cfRule>
    <cfRule type="cellIs" dxfId="1236" priority="25" operator="equal">
      <formula>"No Formal Approach"</formula>
    </cfRule>
  </conditionalFormatting>
  <conditionalFormatting sqref="G94">
    <cfRule type="cellIs" dxfId="1235" priority="16" operator="between">
      <formula>13</formula>
      <formula>15.9999</formula>
    </cfRule>
    <cfRule type="cellIs" dxfId="1234" priority="17" operator="between">
      <formula>10</formula>
      <formula>12.9999</formula>
    </cfRule>
    <cfRule type="cellIs" dxfId="1233" priority="18" operator="between">
      <formula>7</formula>
      <formula>9.9999</formula>
    </cfRule>
    <cfRule type="cellIs" dxfId="1232" priority="19" operator="between">
      <formula>4</formula>
      <formula>6.9999</formula>
    </cfRule>
    <cfRule type="cellIs" dxfId="1231" priority="20" operator="between">
      <formula>0.1</formula>
      <formula>3.9999</formula>
    </cfRule>
  </conditionalFormatting>
  <conditionalFormatting sqref="I94">
    <cfRule type="cellIs" dxfId="1230" priority="11" operator="equal">
      <formula>"Improving"</formula>
    </cfRule>
    <cfRule type="cellIs" dxfId="1229" priority="12" operator="equal">
      <formula>"Optimising"</formula>
    </cfRule>
    <cfRule type="cellIs" dxfId="1228" priority="13" operator="equal">
      <formula>"Proactive"</formula>
    </cfRule>
    <cfRule type="cellIs" dxfId="1227" priority="14" operator="equal">
      <formula>"Reactive"</formula>
    </cfRule>
    <cfRule type="cellIs" dxfId="1226" priority="15" operator="equal">
      <formula>"No Formal Approach"</formula>
    </cfRule>
  </conditionalFormatting>
  <conditionalFormatting sqref="G95:G100">
    <cfRule type="cellIs" dxfId="1225" priority="6" operator="between">
      <formula>13</formula>
      <formula>15.9999</formula>
    </cfRule>
    <cfRule type="cellIs" dxfId="1224" priority="7" operator="between">
      <formula>10</formula>
      <formula>12.9999</formula>
    </cfRule>
    <cfRule type="cellIs" dxfId="1223" priority="8" operator="between">
      <formula>7</formula>
      <formula>9.9999</formula>
    </cfRule>
    <cfRule type="cellIs" dxfId="1222" priority="9" operator="between">
      <formula>4</formula>
      <formula>6.9999</formula>
    </cfRule>
    <cfRule type="cellIs" dxfId="1221" priority="10" operator="between">
      <formula>0.1</formula>
      <formula>3.9999</formula>
    </cfRule>
  </conditionalFormatting>
  <conditionalFormatting sqref="I95:I100">
    <cfRule type="cellIs" dxfId="1220" priority="1" operator="equal">
      <formula>"Improving"</formula>
    </cfRule>
    <cfRule type="cellIs" dxfId="1219" priority="2" operator="equal">
      <formula>"Optimising"</formula>
    </cfRule>
    <cfRule type="cellIs" dxfId="1218" priority="3" operator="equal">
      <formula>"Proactive"</formula>
    </cfRule>
    <cfRule type="cellIs" dxfId="1217" priority="4" operator="equal">
      <formula>"Reactive"</formula>
    </cfRule>
    <cfRule type="cellIs" dxfId="121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1'!T15</f>
        <v>Subject 13</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1215" priority="236" operator="between">
      <formula>13</formula>
      <formula>15.9999</formula>
    </cfRule>
    <cfRule type="cellIs" dxfId="1214" priority="237" operator="between">
      <formula>10</formula>
      <formula>12.9999</formula>
    </cfRule>
    <cfRule type="cellIs" dxfId="1213" priority="238" operator="between">
      <formula>7</formula>
      <formula>9.9999</formula>
    </cfRule>
    <cfRule type="cellIs" dxfId="1212" priority="239" operator="between">
      <formula>4</formula>
      <formula>6.9999</formula>
    </cfRule>
    <cfRule type="cellIs" dxfId="1211" priority="240" operator="between">
      <formula>0.1</formula>
      <formula>3.9999</formula>
    </cfRule>
  </conditionalFormatting>
  <conditionalFormatting sqref="I5">
    <cfRule type="cellIs" dxfId="1210" priority="231" operator="equal">
      <formula>"Improving"</formula>
    </cfRule>
    <cfRule type="cellIs" dxfId="1209" priority="232" operator="equal">
      <formula>"Optimising"</formula>
    </cfRule>
    <cfRule type="cellIs" dxfId="1208" priority="233" operator="equal">
      <formula>"Proactive"</formula>
    </cfRule>
    <cfRule type="cellIs" dxfId="1207" priority="234" operator="equal">
      <formula>"Reactive"</formula>
    </cfRule>
    <cfRule type="cellIs" dxfId="1206" priority="235" operator="equal">
      <formula>"No Formal Approach"</formula>
    </cfRule>
  </conditionalFormatting>
  <conditionalFormatting sqref="G6:G12">
    <cfRule type="cellIs" dxfId="1205" priority="226" operator="between">
      <formula>13</formula>
      <formula>15.9999</formula>
    </cfRule>
    <cfRule type="cellIs" dxfId="1204" priority="227" operator="between">
      <formula>10</formula>
      <formula>12.9999</formula>
    </cfRule>
    <cfRule type="cellIs" dxfId="1203" priority="228" operator="between">
      <formula>7</formula>
      <formula>9.9999</formula>
    </cfRule>
    <cfRule type="cellIs" dxfId="1202" priority="229" operator="between">
      <formula>4</formula>
      <formula>6.9999</formula>
    </cfRule>
    <cfRule type="cellIs" dxfId="1201" priority="230" operator="between">
      <formula>0.1</formula>
      <formula>3.9999</formula>
    </cfRule>
  </conditionalFormatting>
  <conditionalFormatting sqref="G14:G35">
    <cfRule type="cellIs" dxfId="1200" priority="221" operator="between">
      <formula>13</formula>
      <formula>15.9999</formula>
    </cfRule>
    <cfRule type="cellIs" dxfId="1199" priority="222" operator="between">
      <formula>10</formula>
      <formula>12.9999</formula>
    </cfRule>
    <cfRule type="cellIs" dxfId="1198" priority="223" operator="between">
      <formula>7</formula>
      <formula>9.9999</formula>
    </cfRule>
    <cfRule type="cellIs" dxfId="1197" priority="224" operator="between">
      <formula>4</formula>
      <formula>6.9999</formula>
    </cfRule>
    <cfRule type="cellIs" dxfId="1196" priority="225" operator="between">
      <formula>0.1</formula>
      <formula>3.9999</formula>
    </cfRule>
  </conditionalFormatting>
  <conditionalFormatting sqref="G37:G42">
    <cfRule type="cellIs" dxfId="1195" priority="216" operator="between">
      <formula>13</formula>
      <formula>15.9999</formula>
    </cfRule>
    <cfRule type="cellIs" dxfId="1194" priority="217" operator="between">
      <formula>10</formula>
      <formula>12.9999</formula>
    </cfRule>
    <cfRule type="cellIs" dxfId="1193" priority="218" operator="between">
      <formula>7</formula>
      <formula>9.9999</formula>
    </cfRule>
    <cfRule type="cellIs" dxfId="1192" priority="219" operator="between">
      <formula>4</formula>
      <formula>6.9999</formula>
    </cfRule>
    <cfRule type="cellIs" dxfId="1191" priority="220" operator="between">
      <formula>0.1</formula>
      <formula>3.9999</formula>
    </cfRule>
  </conditionalFormatting>
  <conditionalFormatting sqref="G44:G51">
    <cfRule type="cellIs" dxfId="1190" priority="211" operator="between">
      <formula>13</formula>
      <formula>15.9999</formula>
    </cfRule>
    <cfRule type="cellIs" dxfId="1189" priority="212" operator="between">
      <formula>10</formula>
      <formula>12.9999</formula>
    </cfRule>
    <cfRule type="cellIs" dxfId="1188" priority="213" operator="between">
      <formula>7</formula>
      <formula>9.9999</formula>
    </cfRule>
    <cfRule type="cellIs" dxfId="1187" priority="214" operator="between">
      <formula>4</formula>
      <formula>6.9999</formula>
    </cfRule>
    <cfRule type="cellIs" dxfId="1186" priority="215" operator="between">
      <formula>0.1</formula>
      <formula>3.9999</formula>
    </cfRule>
  </conditionalFormatting>
  <conditionalFormatting sqref="G53:G58">
    <cfRule type="cellIs" dxfId="1185" priority="206" operator="between">
      <formula>13</formula>
      <formula>15.9999</formula>
    </cfRule>
    <cfRule type="cellIs" dxfId="1184" priority="207" operator="between">
      <formula>10</formula>
      <formula>12.9999</formula>
    </cfRule>
    <cfRule type="cellIs" dxfId="1183" priority="208" operator="between">
      <formula>7</formula>
      <formula>9.9999</formula>
    </cfRule>
    <cfRule type="cellIs" dxfId="1182" priority="209" operator="between">
      <formula>4</formula>
      <formula>6.9999</formula>
    </cfRule>
    <cfRule type="cellIs" dxfId="1181" priority="210" operator="between">
      <formula>0.1</formula>
      <formula>3.9999</formula>
    </cfRule>
  </conditionalFormatting>
  <conditionalFormatting sqref="G60:G62">
    <cfRule type="cellIs" dxfId="1180" priority="201" operator="between">
      <formula>13</formula>
      <formula>15.9999</formula>
    </cfRule>
    <cfRule type="cellIs" dxfId="1179" priority="202" operator="between">
      <formula>10</formula>
      <formula>12.9999</formula>
    </cfRule>
    <cfRule type="cellIs" dxfId="1178" priority="203" operator="between">
      <formula>7</formula>
      <formula>9.9999</formula>
    </cfRule>
    <cfRule type="cellIs" dxfId="1177" priority="204" operator="between">
      <formula>4</formula>
      <formula>6.9999</formula>
    </cfRule>
    <cfRule type="cellIs" dxfId="1176" priority="205" operator="between">
      <formula>0.1</formula>
      <formula>3.9999</formula>
    </cfRule>
  </conditionalFormatting>
  <conditionalFormatting sqref="G64:G65">
    <cfRule type="cellIs" dxfId="1175" priority="196" operator="between">
      <formula>13</formula>
      <formula>15.9999</formula>
    </cfRule>
    <cfRule type="cellIs" dxfId="1174" priority="197" operator="between">
      <formula>10</formula>
      <formula>12.9999</formula>
    </cfRule>
    <cfRule type="cellIs" dxfId="1173" priority="198" operator="between">
      <formula>7</formula>
      <formula>9.9999</formula>
    </cfRule>
    <cfRule type="cellIs" dxfId="1172" priority="199" operator="between">
      <formula>4</formula>
      <formula>6.9999</formula>
    </cfRule>
    <cfRule type="cellIs" dxfId="1171" priority="200" operator="between">
      <formula>0.1</formula>
      <formula>3.9999</formula>
    </cfRule>
  </conditionalFormatting>
  <conditionalFormatting sqref="G67:G72">
    <cfRule type="cellIs" dxfId="1170" priority="191" operator="between">
      <formula>13</formula>
      <formula>15.9999</formula>
    </cfRule>
    <cfRule type="cellIs" dxfId="1169" priority="192" operator="between">
      <formula>10</formula>
      <formula>12.9999</formula>
    </cfRule>
    <cfRule type="cellIs" dxfId="1168" priority="193" operator="between">
      <formula>7</formula>
      <formula>9.9999</formula>
    </cfRule>
    <cfRule type="cellIs" dxfId="1167" priority="194" operator="between">
      <formula>4</formula>
      <formula>6.9999</formula>
    </cfRule>
    <cfRule type="cellIs" dxfId="1166" priority="195" operator="between">
      <formula>0.1</formula>
      <formula>3.9999</formula>
    </cfRule>
  </conditionalFormatting>
  <conditionalFormatting sqref="G74:G79">
    <cfRule type="cellIs" dxfId="1165" priority="186" operator="between">
      <formula>13</formula>
      <formula>15.9999</formula>
    </cfRule>
    <cfRule type="cellIs" dxfId="1164" priority="187" operator="between">
      <formula>10</formula>
      <formula>12.9999</formula>
    </cfRule>
    <cfRule type="cellIs" dxfId="1163" priority="188" operator="between">
      <formula>7</formula>
      <formula>9.9999</formula>
    </cfRule>
    <cfRule type="cellIs" dxfId="1162" priority="189" operator="between">
      <formula>4</formula>
      <formula>6.9999</formula>
    </cfRule>
    <cfRule type="cellIs" dxfId="1161" priority="190" operator="between">
      <formula>0.1</formula>
      <formula>3.9999</formula>
    </cfRule>
  </conditionalFormatting>
  <conditionalFormatting sqref="G81:G86">
    <cfRule type="cellIs" dxfId="1160" priority="181" operator="between">
      <formula>13</formula>
      <formula>15.9999</formula>
    </cfRule>
    <cfRule type="cellIs" dxfId="1159" priority="182" operator="between">
      <formula>10</formula>
      <formula>12.9999</formula>
    </cfRule>
    <cfRule type="cellIs" dxfId="1158" priority="183" operator="between">
      <formula>7</formula>
      <formula>9.9999</formula>
    </cfRule>
    <cfRule type="cellIs" dxfId="1157" priority="184" operator="between">
      <formula>4</formula>
      <formula>6.9999</formula>
    </cfRule>
    <cfRule type="cellIs" dxfId="1156" priority="185" operator="between">
      <formula>0.1</formula>
      <formula>3.9999</formula>
    </cfRule>
  </conditionalFormatting>
  <conditionalFormatting sqref="G88:G93">
    <cfRule type="cellIs" dxfId="1155" priority="176" operator="between">
      <formula>13</formula>
      <formula>15.9999</formula>
    </cfRule>
    <cfRule type="cellIs" dxfId="1154" priority="177" operator="between">
      <formula>10</formula>
      <formula>12.9999</formula>
    </cfRule>
    <cfRule type="cellIs" dxfId="1153" priority="178" operator="between">
      <formula>7</formula>
      <formula>9.9999</formula>
    </cfRule>
    <cfRule type="cellIs" dxfId="1152" priority="179" operator="between">
      <formula>4</formula>
      <formula>6.9999</formula>
    </cfRule>
    <cfRule type="cellIs" dxfId="1151" priority="180" operator="between">
      <formula>0.1</formula>
      <formula>3.9999</formula>
    </cfRule>
  </conditionalFormatting>
  <conditionalFormatting sqref="I6:I12">
    <cfRule type="cellIs" dxfId="1150" priority="171" operator="equal">
      <formula>"Improving"</formula>
    </cfRule>
    <cfRule type="cellIs" dxfId="1149" priority="172" operator="equal">
      <formula>"Optimising"</formula>
    </cfRule>
    <cfRule type="cellIs" dxfId="1148" priority="173" operator="equal">
      <formula>"Proactive"</formula>
    </cfRule>
    <cfRule type="cellIs" dxfId="1147" priority="174" operator="equal">
      <formula>"Reactive"</formula>
    </cfRule>
    <cfRule type="cellIs" dxfId="1146" priority="175" operator="equal">
      <formula>"No Formal Approach"</formula>
    </cfRule>
  </conditionalFormatting>
  <conditionalFormatting sqref="I14:I35">
    <cfRule type="cellIs" dxfId="1145" priority="166" operator="equal">
      <formula>"Improving"</formula>
    </cfRule>
    <cfRule type="cellIs" dxfId="1144" priority="167" operator="equal">
      <formula>"Optimising"</formula>
    </cfRule>
    <cfRule type="cellIs" dxfId="1143" priority="168" operator="equal">
      <formula>"Proactive"</formula>
    </cfRule>
    <cfRule type="cellIs" dxfId="1142" priority="169" operator="equal">
      <formula>"Reactive"</formula>
    </cfRule>
    <cfRule type="cellIs" dxfId="1141" priority="170" operator="equal">
      <formula>"No Formal Approach"</formula>
    </cfRule>
  </conditionalFormatting>
  <conditionalFormatting sqref="I37:I42">
    <cfRule type="cellIs" dxfId="1140" priority="161" operator="equal">
      <formula>"Improving"</formula>
    </cfRule>
    <cfRule type="cellIs" dxfId="1139" priority="162" operator="equal">
      <formula>"Optimising"</formula>
    </cfRule>
    <cfRule type="cellIs" dxfId="1138" priority="163" operator="equal">
      <formula>"Proactive"</formula>
    </cfRule>
    <cfRule type="cellIs" dxfId="1137" priority="164" operator="equal">
      <formula>"Reactive"</formula>
    </cfRule>
    <cfRule type="cellIs" dxfId="1136" priority="165" operator="equal">
      <formula>"No Formal Approach"</formula>
    </cfRule>
  </conditionalFormatting>
  <conditionalFormatting sqref="I44:I51">
    <cfRule type="cellIs" dxfId="1135" priority="156" operator="equal">
      <formula>"Improving"</formula>
    </cfRule>
    <cfRule type="cellIs" dxfId="1134" priority="157" operator="equal">
      <formula>"Optimising"</formula>
    </cfRule>
    <cfRule type="cellIs" dxfId="1133" priority="158" operator="equal">
      <formula>"Proactive"</formula>
    </cfRule>
    <cfRule type="cellIs" dxfId="1132" priority="159" operator="equal">
      <formula>"Reactive"</formula>
    </cfRule>
    <cfRule type="cellIs" dxfId="1131" priority="160" operator="equal">
      <formula>"No Formal Approach"</formula>
    </cfRule>
  </conditionalFormatting>
  <conditionalFormatting sqref="I53:I58">
    <cfRule type="cellIs" dxfId="1130" priority="151" operator="equal">
      <formula>"Improving"</formula>
    </cfRule>
    <cfRule type="cellIs" dxfId="1129" priority="152" operator="equal">
      <formula>"Optimising"</formula>
    </cfRule>
    <cfRule type="cellIs" dxfId="1128" priority="153" operator="equal">
      <formula>"Proactive"</formula>
    </cfRule>
    <cfRule type="cellIs" dxfId="1127" priority="154" operator="equal">
      <formula>"Reactive"</formula>
    </cfRule>
    <cfRule type="cellIs" dxfId="1126" priority="155" operator="equal">
      <formula>"No Formal Approach"</formula>
    </cfRule>
  </conditionalFormatting>
  <conditionalFormatting sqref="I60:I62">
    <cfRule type="cellIs" dxfId="1125" priority="146" operator="equal">
      <formula>"Improving"</formula>
    </cfRule>
    <cfRule type="cellIs" dxfId="1124" priority="147" operator="equal">
      <formula>"Optimising"</formula>
    </cfRule>
    <cfRule type="cellIs" dxfId="1123" priority="148" operator="equal">
      <formula>"Proactive"</formula>
    </cfRule>
    <cfRule type="cellIs" dxfId="1122" priority="149" operator="equal">
      <formula>"Reactive"</formula>
    </cfRule>
    <cfRule type="cellIs" dxfId="1121" priority="150" operator="equal">
      <formula>"No Formal Approach"</formula>
    </cfRule>
  </conditionalFormatting>
  <conditionalFormatting sqref="I64:I65">
    <cfRule type="cellIs" dxfId="1120" priority="141" operator="equal">
      <formula>"Improving"</formula>
    </cfRule>
    <cfRule type="cellIs" dxfId="1119" priority="142" operator="equal">
      <formula>"Optimising"</formula>
    </cfRule>
    <cfRule type="cellIs" dxfId="1118" priority="143" operator="equal">
      <formula>"Proactive"</formula>
    </cfRule>
    <cfRule type="cellIs" dxfId="1117" priority="144" operator="equal">
      <formula>"Reactive"</formula>
    </cfRule>
    <cfRule type="cellIs" dxfId="1116" priority="145" operator="equal">
      <formula>"No Formal Approach"</formula>
    </cfRule>
  </conditionalFormatting>
  <conditionalFormatting sqref="I67:I72">
    <cfRule type="cellIs" dxfId="1115" priority="136" operator="equal">
      <formula>"Improving"</formula>
    </cfRule>
    <cfRule type="cellIs" dxfId="1114" priority="137" operator="equal">
      <formula>"Optimising"</formula>
    </cfRule>
    <cfRule type="cellIs" dxfId="1113" priority="138" operator="equal">
      <formula>"Proactive"</formula>
    </cfRule>
    <cfRule type="cellIs" dxfId="1112" priority="139" operator="equal">
      <formula>"Reactive"</formula>
    </cfRule>
    <cfRule type="cellIs" dxfId="1111" priority="140" operator="equal">
      <formula>"No Formal Approach"</formula>
    </cfRule>
  </conditionalFormatting>
  <conditionalFormatting sqref="I74:I79">
    <cfRule type="cellIs" dxfId="1110" priority="131" operator="equal">
      <formula>"Improving"</formula>
    </cfRule>
    <cfRule type="cellIs" dxfId="1109" priority="132" operator="equal">
      <formula>"Optimising"</formula>
    </cfRule>
    <cfRule type="cellIs" dxfId="1108" priority="133" operator="equal">
      <formula>"Proactive"</formula>
    </cfRule>
    <cfRule type="cellIs" dxfId="1107" priority="134" operator="equal">
      <formula>"Reactive"</formula>
    </cfRule>
    <cfRule type="cellIs" dxfId="1106" priority="135" operator="equal">
      <formula>"No Formal Approach"</formula>
    </cfRule>
  </conditionalFormatting>
  <conditionalFormatting sqref="I81:I86">
    <cfRule type="cellIs" dxfId="1105" priority="126" operator="equal">
      <formula>"Improving"</formula>
    </cfRule>
    <cfRule type="cellIs" dxfId="1104" priority="127" operator="equal">
      <formula>"Optimising"</formula>
    </cfRule>
    <cfRule type="cellIs" dxfId="1103" priority="128" operator="equal">
      <formula>"Proactive"</formula>
    </cfRule>
    <cfRule type="cellIs" dxfId="1102" priority="129" operator="equal">
      <formula>"Reactive"</formula>
    </cfRule>
    <cfRule type="cellIs" dxfId="1101" priority="130" operator="equal">
      <formula>"No Formal Approach"</formula>
    </cfRule>
  </conditionalFormatting>
  <conditionalFormatting sqref="I88:I93">
    <cfRule type="cellIs" dxfId="1100" priority="121" operator="equal">
      <formula>"Improving"</formula>
    </cfRule>
    <cfRule type="cellIs" dxfId="1099" priority="122" operator="equal">
      <formula>"Optimising"</formula>
    </cfRule>
    <cfRule type="cellIs" dxfId="1098" priority="123" operator="equal">
      <formula>"Proactive"</formula>
    </cfRule>
    <cfRule type="cellIs" dxfId="1097" priority="124" operator="equal">
      <formula>"Reactive"</formula>
    </cfRule>
    <cfRule type="cellIs" dxfId="1096" priority="125" operator="equal">
      <formula>"No Formal Approach"</formula>
    </cfRule>
  </conditionalFormatting>
  <conditionalFormatting sqref="G13">
    <cfRule type="cellIs" dxfId="1095" priority="116" operator="between">
      <formula>13</formula>
      <formula>15.9999</formula>
    </cfRule>
    <cfRule type="cellIs" dxfId="1094" priority="117" operator="between">
      <formula>10</formula>
      <formula>12.9999</formula>
    </cfRule>
    <cfRule type="cellIs" dxfId="1093" priority="118" operator="between">
      <formula>7</formula>
      <formula>9.9999</formula>
    </cfRule>
    <cfRule type="cellIs" dxfId="1092" priority="119" operator="between">
      <formula>4</formula>
      <formula>6.9999</formula>
    </cfRule>
    <cfRule type="cellIs" dxfId="1091" priority="120" operator="between">
      <formula>0.1</formula>
      <formula>3.9999</formula>
    </cfRule>
  </conditionalFormatting>
  <conditionalFormatting sqref="I13">
    <cfRule type="cellIs" dxfId="1090" priority="111" operator="equal">
      <formula>"Improving"</formula>
    </cfRule>
    <cfRule type="cellIs" dxfId="1089" priority="112" operator="equal">
      <formula>"Optimising"</formula>
    </cfRule>
    <cfRule type="cellIs" dxfId="1088" priority="113" operator="equal">
      <formula>"Proactive"</formula>
    </cfRule>
    <cfRule type="cellIs" dxfId="1087" priority="114" operator="equal">
      <formula>"Reactive"</formula>
    </cfRule>
    <cfRule type="cellIs" dxfId="1086" priority="115" operator="equal">
      <formula>"No Formal Approach"</formula>
    </cfRule>
  </conditionalFormatting>
  <conditionalFormatting sqref="G36">
    <cfRule type="cellIs" dxfId="1085" priority="106" operator="between">
      <formula>13</formula>
      <formula>15.9999</formula>
    </cfRule>
    <cfRule type="cellIs" dxfId="1084" priority="107" operator="between">
      <formula>10</formula>
      <formula>12.9999</formula>
    </cfRule>
    <cfRule type="cellIs" dxfId="1083" priority="108" operator="between">
      <formula>7</formula>
      <formula>9.9999</formula>
    </cfRule>
    <cfRule type="cellIs" dxfId="1082" priority="109" operator="between">
      <formula>4</formula>
      <formula>6.9999</formula>
    </cfRule>
    <cfRule type="cellIs" dxfId="1081" priority="110" operator="between">
      <formula>0.1</formula>
      <formula>3.9999</formula>
    </cfRule>
  </conditionalFormatting>
  <conditionalFormatting sqref="I36">
    <cfRule type="cellIs" dxfId="1080" priority="101" operator="equal">
      <formula>"Improving"</formula>
    </cfRule>
    <cfRule type="cellIs" dxfId="1079" priority="102" operator="equal">
      <formula>"Optimising"</formula>
    </cfRule>
    <cfRule type="cellIs" dxfId="1078" priority="103" operator="equal">
      <formula>"Proactive"</formula>
    </cfRule>
    <cfRule type="cellIs" dxfId="1077" priority="104" operator="equal">
      <formula>"Reactive"</formula>
    </cfRule>
    <cfRule type="cellIs" dxfId="1076" priority="105" operator="equal">
      <formula>"No Formal Approach"</formula>
    </cfRule>
  </conditionalFormatting>
  <conditionalFormatting sqref="G43">
    <cfRule type="cellIs" dxfId="1075" priority="96" operator="between">
      <formula>13</formula>
      <formula>15.9999</formula>
    </cfRule>
    <cfRule type="cellIs" dxfId="1074" priority="97" operator="between">
      <formula>10</formula>
      <formula>12.9999</formula>
    </cfRule>
    <cfRule type="cellIs" dxfId="1073" priority="98" operator="between">
      <formula>7</formula>
      <formula>9.9999</formula>
    </cfRule>
    <cfRule type="cellIs" dxfId="1072" priority="99" operator="between">
      <formula>4</formula>
      <formula>6.9999</formula>
    </cfRule>
    <cfRule type="cellIs" dxfId="1071" priority="100" operator="between">
      <formula>0.1</formula>
      <formula>3.9999</formula>
    </cfRule>
  </conditionalFormatting>
  <conditionalFormatting sqref="I43">
    <cfRule type="cellIs" dxfId="1070" priority="91" operator="equal">
      <formula>"Improving"</formula>
    </cfRule>
    <cfRule type="cellIs" dxfId="1069" priority="92" operator="equal">
      <formula>"Optimising"</formula>
    </cfRule>
    <cfRule type="cellIs" dxfId="1068" priority="93" operator="equal">
      <formula>"Proactive"</formula>
    </cfRule>
    <cfRule type="cellIs" dxfId="1067" priority="94" operator="equal">
      <formula>"Reactive"</formula>
    </cfRule>
    <cfRule type="cellIs" dxfId="1066" priority="95" operator="equal">
      <formula>"No Formal Approach"</formula>
    </cfRule>
  </conditionalFormatting>
  <conditionalFormatting sqref="G52">
    <cfRule type="cellIs" dxfId="1065" priority="86" operator="between">
      <formula>13</formula>
      <formula>15.9999</formula>
    </cfRule>
    <cfRule type="cellIs" dxfId="1064" priority="87" operator="between">
      <formula>10</formula>
      <formula>12.9999</formula>
    </cfRule>
    <cfRule type="cellIs" dxfId="1063" priority="88" operator="between">
      <formula>7</formula>
      <formula>9.9999</formula>
    </cfRule>
    <cfRule type="cellIs" dxfId="1062" priority="89" operator="between">
      <formula>4</formula>
      <formula>6.9999</formula>
    </cfRule>
    <cfRule type="cellIs" dxfId="1061" priority="90" operator="between">
      <formula>0.1</formula>
      <formula>3.9999</formula>
    </cfRule>
  </conditionalFormatting>
  <conditionalFormatting sqref="I52">
    <cfRule type="cellIs" dxfId="1060" priority="81" operator="equal">
      <formula>"Improving"</formula>
    </cfRule>
    <cfRule type="cellIs" dxfId="1059" priority="82" operator="equal">
      <formula>"Optimising"</formula>
    </cfRule>
    <cfRule type="cellIs" dxfId="1058" priority="83" operator="equal">
      <formula>"Proactive"</formula>
    </cfRule>
    <cfRule type="cellIs" dxfId="1057" priority="84" operator="equal">
      <formula>"Reactive"</formula>
    </cfRule>
    <cfRule type="cellIs" dxfId="1056" priority="85" operator="equal">
      <formula>"No Formal Approach"</formula>
    </cfRule>
  </conditionalFormatting>
  <conditionalFormatting sqref="G59">
    <cfRule type="cellIs" dxfId="1055" priority="76" operator="between">
      <formula>13</formula>
      <formula>15.9999</formula>
    </cfRule>
    <cfRule type="cellIs" dxfId="1054" priority="77" operator="between">
      <formula>10</formula>
      <formula>12.9999</formula>
    </cfRule>
    <cfRule type="cellIs" dxfId="1053" priority="78" operator="between">
      <formula>7</formula>
      <formula>9.9999</formula>
    </cfRule>
    <cfRule type="cellIs" dxfId="1052" priority="79" operator="between">
      <formula>4</formula>
      <formula>6.9999</formula>
    </cfRule>
    <cfRule type="cellIs" dxfId="1051" priority="80" operator="between">
      <formula>0.1</formula>
      <formula>3.9999</formula>
    </cfRule>
  </conditionalFormatting>
  <conditionalFormatting sqref="I59">
    <cfRule type="cellIs" dxfId="1050" priority="71" operator="equal">
      <formula>"Improving"</formula>
    </cfRule>
    <cfRule type="cellIs" dxfId="1049" priority="72" operator="equal">
      <formula>"Optimising"</formula>
    </cfRule>
    <cfRule type="cellIs" dxfId="1048" priority="73" operator="equal">
      <formula>"Proactive"</formula>
    </cfRule>
    <cfRule type="cellIs" dxfId="1047" priority="74" operator="equal">
      <formula>"Reactive"</formula>
    </cfRule>
    <cfRule type="cellIs" dxfId="1046" priority="75" operator="equal">
      <formula>"No Formal Approach"</formula>
    </cfRule>
  </conditionalFormatting>
  <conditionalFormatting sqref="G63">
    <cfRule type="cellIs" dxfId="1045" priority="66" operator="between">
      <formula>13</formula>
      <formula>15.9999</formula>
    </cfRule>
    <cfRule type="cellIs" dxfId="1044" priority="67" operator="between">
      <formula>10</formula>
      <formula>12.9999</formula>
    </cfRule>
    <cfRule type="cellIs" dxfId="1043" priority="68" operator="between">
      <formula>7</formula>
      <formula>9.9999</formula>
    </cfRule>
    <cfRule type="cellIs" dxfId="1042" priority="69" operator="between">
      <formula>4</formula>
      <formula>6.9999</formula>
    </cfRule>
    <cfRule type="cellIs" dxfId="1041" priority="70" operator="between">
      <formula>0.1</formula>
      <formula>3.9999</formula>
    </cfRule>
  </conditionalFormatting>
  <conditionalFormatting sqref="I63">
    <cfRule type="cellIs" dxfId="1040" priority="61" operator="equal">
      <formula>"Improving"</formula>
    </cfRule>
    <cfRule type="cellIs" dxfId="1039" priority="62" operator="equal">
      <formula>"Optimising"</formula>
    </cfRule>
    <cfRule type="cellIs" dxfId="1038" priority="63" operator="equal">
      <formula>"Proactive"</formula>
    </cfRule>
    <cfRule type="cellIs" dxfId="1037" priority="64" operator="equal">
      <formula>"Reactive"</formula>
    </cfRule>
    <cfRule type="cellIs" dxfId="1036" priority="65" operator="equal">
      <formula>"No Formal Approach"</formula>
    </cfRule>
  </conditionalFormatting>
  <conditionalFormatting sqref="G66">
    <cfRule type="cellIs" dxfId="1035" priority="56" operator="between">
      <formula>13</formula>
      <formula>15.9999</formula>
    </cfRule>
    <cfRule type="cellIs" dxfId="1034" priority="57" operator="between">
      <formula>10</formula>
      <formula>12.9999</formula>
    </cfRule>
    <cfRule type="cellIs" dxfId="1033" priority="58" operator="between">
      <formula>7</formula>
      <formula>9.9999</formula>
    </cfRule>
    <cfRule type="cellIs" dxfId="1032" priority="59" operator="between">
      <formula>4</formula>
      <formula>6.9999</formula>
    </cfRule>
    <cfRule type="cellIs" dxfId="1031" priority="60" operator="between">
      <formula>0.1</formula>
      <formula>3.9999</formula>
    </cfRule>
  </conditionalFormatting>
  <conditionalFormatting sqref="I66">
    <cfRule type="cellIs" dxfId="1030" priority="51" operator="equal">
      <formula>"Improving"</formula>
    </cfRule>
    <cfRule type="cellIs" dxfId="1029" priority="52" operator="equal">
      <formula>"Optimising"</formula>
    </cfRule>
    <cfRule type="cellIs" dxfId="1028" priority="53" operator="equal">
      <formula>"Proactive"</formula>
    </cfRule>
    <cfRule type="cellIs" dxfId="1027" priority="54" operator="equal">
      <formula>"Reactive"</formula>
    </cfRule>
    <cfRule type="cellIs" dxfId="1026" priority="55" operator="equal">
      <formula>"No Formal Approach"</formula>
    </cfRule>
  </conditionalFormatting>
  <conditionalFormatting sqref="G73">
    <cfRule type="cellIs" dxfId="1025" priority="46" operator="between">
      <formula>13</formula>
      <formula>15.9999</formula>
    </cfRule>
    <cfRule type="cellIs" dxfId="1024" priority="47" operator="between">
      <formula>10</formula>
      <formula>12.9999</formula>
    </cfRule>
    <cfRule type="cellIs" dxfId="1023" priority="48" operator="between">
      <formula>7</formula>
      <formula>9.9999</formula>
    </cfRule>
    <cfRule type="cellIs" dxfId="1022" priority="49" operator="between">
      <formula>4</formula>
      <formula>6.9999</formula>
    </cfRule>
    <cfRule type="cellIs" dxfId="1021" priority="50" operator="between">
      <formula>0.1</formula>
      <formula>3.9999</formula>
    </cfRule>
  </conditionalFormatting>
  <conditionalFormatting sqref="I73">
    <cfRule type="cellIs" dxfId="1020" priority="41" operator="equal">
      <formula>"Improving"</formula>
    </cfRule>
    <cfRule type="cellIs" dxfId="1019" priority="42" operator="equal">
      <formula>"Optimising"</formula>
    </cfRule>
    <cfRule type="cellIs" dxfId="1018" priority="43" operator="equal">
      <formula>"Proactive"</formula>
    </cfRule>
    <cfRule type="cellIs" dxfId="1017" priority="44" operator="equal">
      <formula>"Reactive"</formula>
    </cfRule>
    <cfRule type="cellIs" dxfId="1016" priority="45" operator="equal">
      <formula>"No Formal Approach"</formula>
    </cfRule>
  </conditionalFormatting>
  <conditionalFormatting sqref="G80">
    <cfRule type="cellIs" dxfId="1015" priority="36" operator="between">
      <formula>13</formula>
      <formula>15.9999</formula>
    </cfRule>
    <cfRule type="cellIs" dxfId="1014" priority="37" operator="between">
      <formula>10</formula>
      <formula>12.9999</formula>
    </cfRule>
    <cfRule type="cellIs" dxfId="1013" priority="38" operator="between">
      <formula>7</formula>
      <formula>9.9999</formula>
    </cfRule>
    <cfRule type="cellIs" dxfId="1012" priority="39" operator="between">
      <formula>4</formula>
      <formula>6.9999</formula>
    </cfRule>
    <cfRule type="cellIs" dxfId="1011" priority="40" operator="between">
      <formula>0.1</formula>
      <formula>3.9999</formula>
    </cfRule>
  </conditionalFormatting>
  <conditionalFormatting sqref="I80">
    <cfRule type="cellIs" dxfId="1010" priority="31" operator="equal">
      <formula>"Improving"</formula>
    </cfRule>
    <cfRule type="cellIs" dxfId="1009" priority="32" operator="equal">
      <formula>"Optimising"</formula>
    </cfRule>
    <cfRule type="cellIs" dxfId="1008" priority="33" operator="equal">
      <formula>"Proactive"</formula>
    </cfRule>
    <cfRule type="cellIs" dxfId="1007" priority="34" operator="equal">
      <formula>"Reactive"</formula>
    </cfRule>
    <cfRule type="cellIs" dxfId="1006" priority="35" operator="equal">
      <formula>"No Formal Approach"</formula>
    </cfRule>
  </conditionalFormatting>
  <conditionalFormatting sqref="G87">
    <cfRule type="cellIs" dxfId="1005" priority="26" operator="between">
      <formula>13</formula>
      <formula>15.9999</formula>
    </cfRule>
    <cfRule type="cellIs" dxfId="1004" priority="27" operator="between">
      <formula>10</formula>
      <formula>12.9999</formula>
    </cfRule>
    <cfRule type="cellIs" dxfId="1003" priority="28" operator="between">
      <formula>7</formula>
      <formula>9.9999</formula>
    </cfRule>
    <cfRule type="cellIs" dxfId="1002" priority="29" operator="between">
      <formula>4</formula>
      <formula>6.9999</formula>
    </cfRule>
    <cfRule type="cellIs" dxfId="1001" priority="30" operator="between">
      <formula>0.1</formula>
      <formula>3.9999</formula>
    </cfRule>
  </conditionalFormatting>
  <conditionalFormatting sqref="I87">
    <cfRule type="cellIs" dxfId="1000" priority="21" operator="equal">
      <formula>"Improving"</formula>
    </cfRule>
    <cfRule type="cellIs" dxfId="999" priority="22" operator="equal">
      <formula>"Optimising"</formula>
    </cfRule>
    <cfRule type="cellIs" dxfId="998" priority="23" operator="equal">
      <formula>"Proactive"</formula>
    </cfRule>
    <cfRule type="cellIs" dxfId="997" priority="24" operator="equal">
      <formula>"Reactive"</formula>
    </cfRule>
    <cfRule type="cellIs" dxfId="996" priority="25" operator="equal">
      <formula>"No Formal Approach"</formula>
    </cfRule>
  </conditionalFormatting>
  <conditionalFormatting sqref="G94">
    <cfRule type="cellIs" dxfId="995" priority="16" operator="between">
      <formula>13</formula>
      <formula>15.9999</formula>
    </cfRule>
    <cfRule type="cellIs" dxfId="994" priority="17" operator="between">
      <formula>10</formula>
      <formula>12.9999</formula>
    </cfRule>
    <cfRule type="cellIs" dxfId="993" priority="18" operator="between">
      <formula>7</formula>
      <formula>9.9999</formula>
    </cfRule>
    <cfRule type="cellIs" dxfId="992" priority="19" operator="between">
      <formula>4</formula>
      <formula>6.9999</formula>
    </cfRule>
    <cfRule type="cellIs" dxfId="991" priority="20" operator="between">
      <formula>0.1</formula>
      <formula>3.9999</formula>
    </cfRule>
  </conditionalFormatting>
  <conditionalFormatting sqref="I94">
    <cfRule type="cellIs" dxfId="990" priority="11" operator="equal">
      <formula>"Improving"</formula>
    </cfRule>
    <cfRule type="cellIs" dxfId="989" priority="12" operator="equal">
      <formula>"Optimising"</formula>
    </cfRule>
    <cfRule type="cellIs" dxfId="988" priority="13" operator="equal">
      <formula>"Proactive"</formula>
    </cfRule>
    <cfRule type="cellIs" dxfId="987" priority="14" operator="equal">
      <formula>"Reactive"</formula>
    </cfRule>
    <cfRule type="cellIs" dxfId="986" priority="15" operator="equal">
      <formula>"No Formal Approach"</formula>
    </cfRule>
  </conditionalFormatting>
  <conditionalFormatting sqref="G95:G100">
    <cfRule type="cellIs" dxfId="985" priority="6" operator="between">
      <formula>13</formula>
      <formula>15.9999</formula>
    </cfRule>
    <cfRule type="cellIs" dxfId="984" priority="7" operator="between">
      <formula>10</formula>
      <formula>12.9999</formula>
    </cfRule>
    <cfRule type="cellIs" dxfId="983" priority="8" operator="between">
      <formula>7</formula>
      <formula>9.9999</formula>
    </cfRule>
    <cfRule type="cellIs" dxfId="982" priority="9" operator="between">
      <formula>4</formula>
      <formula>6.9999</formula>
    </cfRule>
    <cfRule type="cellIs" dxfId="981" priority="10" operator="between">
      <formula>0.1</formula>
      <formula>3.9999</formula>
    </cfRule>
  </conditionalFormatting>
  <conditionalFormatting sqref="I95:I100">
    <cfRule type="cellIs" dxfId="980" priority="1" operator="equal">
      <formula>"Improving"</formula>
    </cfRule>
    <cfRule type="cellIs" dxfId="979" priority="2" operator="equal">
      <formula>"Optimising"</formula>
    </cfRule>
    <cfRule type="cellIs" dxfId="978" priority="3" operator="equal">
      <formula>"Proactive"</formula>
    </cfRule>
    <cfRule type="cellIs" dxfId="977" priority="4" operator="equal">
      <formula>"Reactive"</formula>
    </cfRule>
    <cfRule type="cellIs" dxfId="97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66"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66"/>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1'!U15</f>
        <v>Subject 14</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4"/>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5"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5"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5"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5"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5"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5"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5"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5"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5"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5"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5"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5"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5"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5"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5"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5"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5"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5"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5"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5"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5"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5"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5"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5"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5"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5"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5"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5"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5"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5"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5"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5"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5"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5"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5"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5"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5"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5"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5"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5"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5"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5"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5"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5"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5"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5"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5"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5"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5"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5"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5"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5"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5"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5"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5"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5"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5"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5"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5"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5"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5"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5"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5"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5"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5"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5"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5"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5"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5"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5"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5"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5"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5"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5"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5"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5"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5"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5"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5"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5"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5"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5"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5"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5"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5"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975" priority="236" operator="between">
      <formula>13</formula>
      <formula>15.9999</formula>
    </cfRule>
    <cfRule type="cellIs" dxfId="974" priority="237" operator="between">
      <formula>10</formula>
      <formula>12.9999</formula>
    </cfRule>
    <cfRule type="cellIs" dxfId="973" priority="238" operator="between">
      <formula>7</formula>
      <formula>9.9999</formula>
    </cfRule>
    <cfRule type="cellIs" dxfId="972" priority="239" operator="between">
      <formula>4</formula>
      <formula>6.9999</formula>
    </cfRule>
    <cfRule type="cellIs" dxfId="971" priority="240" operator="between">
      <formula>0.1</formula>
      <formula>3.9999</formula>
    </cfRule>
  </conditionalFormatting>
  <conditionalFormatting sqref="I5">
    <cfRule type="cellIs" dxfId="970" priority="231" operator="equal">
      <formula>"Improving"</formula>
    </cfRule>
    <cfRule type="cellIs" dxfId="969" priority="232" operator="equal">
      <formula>"Optimising"</formula>
    </cfRule>
    <cfRule type="cellIs" dxfId="968" priority="233" operator="equal">
      <formula>"Proactive"</formula>
    </cfRule>
    <cfRule type="cellIs" dxfId="967" priority="234" operator="equal">
      <formula>"Reactive"</formula>
    </cfRule>
    <cfRule type="cellIs" dxfId="966" priority="235" operator="equal">
      <formula>"No Formal Approach"</formula>
    </cfRule>
  </conditionalFormatting>
  <conditionalFormatting sqref="G6:G12">
    <cfRule type="cellIs" dxfId="965" priority="226" operator="between">
      <formula>13</formula>
      <formula>15.9999</formula>
    </cfRule>
    <cfRule type="cellIs" dxfId="964" priority="227" operator="between">
      <formula>10</formula>
      <formula>12.9999</formula>
    </cfRule>
    <cfRule type="cellIs" dxfId="963" priority="228" operator="between">
      <formula>7</formula>
      <formula>9.9999</formula>
    </cfRule>
    <cfRule type="cellIs" dxfId="962" priority="229" operator="between">
      <formula>4</formula>
      <formula>6.9999</formula>
    </cfRule>
    <cfRule type="cellIs" dxfId="961" priority="230" operator="between">
      <formula>0.1</formula>
      <formula>3.9999</formula>
    </cfRule>
  </conditionalFormatting>
  <conditionalFormatting sqref="G14:G35">
    <cfRule type="cellIs" dxfId="960" priority="221" operator="between">
      <formula>13</formula>
      <formula>15.9999</formula>
    </cfRule>
    <cfRule type="cellIs" dxfId="959" priority="222" operator="between">
      <formula>10</formula>
      <formula>12.9999</formula>
    </cfRule>
    <cfRule type="cellIs" dxfId="958" priority="223" operator="between">
      <formula>7</formula>
      <formula>9.9999</formula>
    </cfRule>
    <cfRule type="cellIs" dxfId="957" priority="224" operator="between">
      <formula>4</formula>
      <formula>6.9999</formula>
    </cfRule>
    <cfRule type="cellIs" dxfId="956" priority="225" operator="between">
      <formula>0.1</formula>
      <formula>3.9999</formula>
    </cfRule>
  </conditionalFormatting>
  <conditionalFormatting sqref="G37:G42">
    <cfRule type="cellIs" dxfId="955" priority="216" operator="between">
      <formula>13</formula>
      <formula>15.9999</formula>
    </cfRule>
    <cfRule type="cellIs" dxfId="954" priority="217" operator="between">
      <formula>10</formula>
      <formula>12.9999</formula>
    </cfRule>
    <cfRule type="cellIs" dxfId="953" priority="218" operator="between">
      <formula>7</formula>
      <formula>9.9999</formula>
    </cfRule>
    <cfRule type="cellIs" dxfId="952" priority="219" operator="between">
      <formula>4</formula>
      <formula>6.9999</formula>
    </cfRule>
    <cfRule type="cellIs" dxfId="951" priority="220" operator="between">
      <formula>0.1</formula>
      <formula>3.9999</formula>
    </cfRule>
  </conditionalFormatting>
  <conditionalFormatting sqref="G44:G51">
    <cfRule type="cellIs" dxfId="950" priority="211" operator="between">
      <formula>13</formula>
      <formula>15.9999</formula>
    </cfRule>
    <cfRule type="cellIs" dxfId="949" priority="212" operator="between">
      <formula>10</formula>
      <formula>12.9999</formula>
    </cfRule>
    <cfRule type="cellIs" dxfId="948" priority="213" operator="between">
      <formula>7</formula>
      <formula>9.9999</formula>
    </cfRule>
    <cfRule type="cellIs" dxfId="947" priority="214" operator="between">
      <formula>4</formula>
      <formula>6.9999</formula>
    </cfRule>
    <cfRule type="cellIs" dxfId="946" priority="215" operator="between">
      <formula>0.1</formula>
      <formula>3.9999</formula>
    </cfRule>
  </conditionalFormatting>
  <conditionalFormatting sqref="G53:G58">
    <cfRule type="cellIs" dxfId="945" priority="206" operator="between">
      <formula>13</formula>
      <formula>15.9999</formula>
    </cfRule>
    <cfRule type="cellIs" dxfId="944" priority="207" operator="between">
      <formula>10</formula>
      <formula>12.9999</formula>
    </cfRule>
    <cfRule type="cellIs" dxfId="943" priority="208" operator="between">
      <formula>7</formula>
      <formula>9.9999</formula>
    </cfRule>
    <cfRule type="cellIs" dxfId="942" priority="209" operator="between">
      <formula>4</formula>
      <formula>6.9999</formula>
    </cfRule>
    <cfRule type="cellIs" dxfId="941" priority="210" operator="between">
      <formula>0.1</formula>
      <formula>3.9999</formula>
    </cfRule>
  </conditionalFormatting>
  <conditionalFormatting sqref="G60:G62">
    <cfRule type="cellIs" dxfId="940" priority="201" operator="between">
      <formula>13</formula>
      <formula>15.9999</formula>
    </cfRule>
    <cfRule type="cellIs" dxfId="939" priority="202" operator="between">
      <formula>10</formula>
      <formula>12.9999</formula>
    </cfRule>
    <cfRule type="cellIs" dxfId="938" priority="203" operator="between">
      <formula>7</formula>
      <formula>9.9999</formula>
    </cfRule>
    <cfRule type="cellIs" dxfId="937" priority="204" operator="between">
      <formula>4</formula>
      <formula>6.9999</formula>
    </cfRule>
    <cfRule type="cellIs" dxfId="936" priority="205" operator="between">
      <formula>0.1</formula>
      <formula>3.9999</formula>
    </cfRule>
  </conditionalFormatting>
  <conditionalFormatting sqref="G64:G65">
    <cfRule type="cellIs" dxfId="935" priority="196" operator="between">
      <formula>13</formula>
      <formula>15.9999</formula>
    </cfRule>
    <cfRule type="cellIs" dxfId="934" priority="197" operator="between">
      <formula>10</formula>
      <formula>12.9999</formula>
    </cfRule>
    <cfRule type="cellIs" dxfId="933" priority="198" operator="between">
      <formula>7</formula>
      <formula>9.9999</formula>
    </cfRule>
    <cfRule type="cellIs" dxfId="932" priority="199" operator="between">
      <formula>4</formula>
      <formula>6.9999</formula>
    </cfRule>
    <cfRule type="cellIs" dxfId="931" priority="200" operator="between">
      <formula>0.1</formula>
      <formula>3.9999</formula>
    </cfRule>
  </conditionalFormatting>
  <conditionalFormatting sqref="G67:G72">
    <cfRule type="cellIs" dxfId="930" priority="191" operator="between">
      <formula>13</formula>
      <formula>15.9999</formula>
    </cfRule>
    <cfRule type="cellIs" dxfId="929" priority="192" operator="between">
      <formula>10</formula>
      <formula>12.9999</formula>
    </cfRule>
    <cfRule type="cellIs" dxfId="928" priority="193" operator="between">
      <formula>7</formula>
      <formula>9.9999</formula>
    </cfRule>
    <cfRule type="cellIs" dxfId="927" priority="194" operator="between">
      <formula>4</formula>
      <formula>6.9999</formula>
    </cfRule>
    <cfRule type="cellIs" dxfId="926" priority="195" operator="between">
      <formula>0.1</formula>
      <formula>3.9999</formula>
    </cfRule>
  </conditionalFormatting>
  <conditionalFormatting sqref="G74:G79">
    <cfRule type="cellIs" dxfId="925" priority="186" operator="between">
      <formula>13</formula>
      <formula>15.9999</formula>
    </cfRule>
    <cfRule type="cellIs" dxfId="924" priority="187" operator="between">
      <formula>10</formula>
      <formula>12.9999</formula>
    </cfRule>
    <cfRule type="cellIs" dxfId="923" priority="188" operator="between">
      <formula>7</formula>
      <formula>9.9999</formula>
    </cfRule>
    <cfRule type="cellIs" dxfId="922" priority="189" operator="between">
      <formula>4</formula>
      <formula>6.9999</formula>
    </cfRule>
    <cfRule type="cellIs" dxfId="921" priority="190" operator="between">
      <formula>0.1</formula>
      <formula>3.9999</formula>
    </cfRule>
  </conditionalFormatting>
  <conditionalFormatting sqref="G81:G86">
    <cfRule type="cellIs" dxfId="920" priority="181" operator="between">
      <formula>13</formula>
      <formula>15.9999</formula>
    </cfRule>
    <cfRule type="cellIs" dxfId="919" priority="182" operator="between">
      <formula>10</formula>
      <formula>12.9999</formula>
    </cfRule>
    <cfRule type="cellIs" dxfId="918" priority="183" operator="between">
      <formula>7</formula>
      <formula>9.9999</formula>
    </cfRule>
    <cfRule type="cellIs" dxfId="917" priority="184" operator="between">
      <formula>4</formula>
      <formula>6.9999</formula>
    </cfRule>
    <cfRule type="cellIs" dxfId="916" priority="185" operator="between">
      <formula>0.1</formula>
      <formula>3.9999</formula>
    </cfRule>
  </conditionalFormatting>
  <conditionalFormatting sqref="G88:G93">
    <cfRule type="cellIs" dxfId="915" priority="176" operator="between">
      <formula>13</formula>
      <formula>15.9999</formula>
    </cfRule>
    <cfRule type="cellIs" dxfId="914" priority="177" operator="between">
      <formula>10</formula>
      <formula>12.9999</formula>
    </cfRule>
    <cfRule type="cellIs" dxfId="913" priority="178" operator="between">
      <formula>7</formula>
      <formula>9.9999</formula>
    </cfRule>
    <cfRule type="cellIs" dxfId="912" priority="179" operator="between">
      <formula>4</formula>
      <formula>6.9999</formula>
    </cfRule>
    <cfRule type="cellIs" dxfId="911" priority="180" operator="between">
      <formula>0.1</formula>
      <formula>3.9999</formula>
    </cfRule>
  </conditionalFormatting>
  <conditionalFormatting sqref="I6:I12">
    <cfRule type="cellIs" dxfId="910" priority="171" operator="equal">
      <formula>"Improving"</formula>
    </cfRule>
    <cfRule type="cellIs" dxfId="909" priority="172" operator="equal">
      <formula>"Optimising"</formula>
    </cfRule>
    <cfRule type="cellIs" dxfId="908" priority="173" operator="equal">
      <formula>"Proactive"</formula>
    </cfRule>
    <cfRule type="cellIs" dxfId="907" priority="174" operator="equal">
      <formula>"Reactive"</formula>
    </cfRule>
    <cfRule type="cellIs" dxfId="906" priority="175" operator="equal">
      <formula>"No Formal Approach"</formula>
    </cfRule>
  </conditionalFormatting>
  <conditionalFormatting sqref="I14:I35">
    <cfRule type="cellIs" dxfId="905" priority="166" operator="equal">
      <formula>"Improving"</formula>
    </cfRule>
    <cfRule type="cellIs" dxfId="904" priority="167" operator="equal">
      <formula>"Optimising"</formula>
    </cfRule>
    <cfRule type="cellIs" dxfId="903" priority="168" operator="equal">
      <formula>"Proactive"</formula>
    </cfRule>
    <cfRule type="cellIs" dxfId="902" priority="169" operator="equal">
      <formula>"Reactive"</formula>
    </cfRule>
    <cfRule type="cellIs" dxfId="901" priority="170" operator="equal">
      <formula>"No Formal Approach"</formula>
    </cfRule>
  </conditionalFormatting>
  <conditionalFormatting sqref="I37:I42">
    <cfRule type="cellIs" dxfId="900" priority="161" operator="equal">
      <formula>"Improving"</formula>
    </cfRule>
    <cfRule type="cellIs" dxfId="899" priority="162" operator="equal">
      <formula>"Optimising"</formula>
    </cfRule>
    <cfRule type="cellIs" dxfId="898" priority="163" operator="equal">
      <formula>"Proactive"</formula>
    </cfRule>
    <cfRule type="cellIs" dxfId="897" priority="164" operator="equal">
      <formula>"Reactive"</formula>
    </cfRule>
    <cfRule type="cellIs" dxfId="896" priority="165" operator="equal">
      <formula>"No Formal Approach"</formula>
    </cfRule>
  </conditionalFormatting>
  <conditionalFormatting sqref="I44:I51">
    <cfRule type="cellIs" dxfId="895" priority="156" operator="equal">
      <formula>"Improving"</formula>
    </cfRule>
    <cfRule type="cellIs" dxfId="894" priority="157" operator="equal">
      <formula>"Optimising"</formula>
    </cfRule>
    <cfRule type="cellIs" dxfId="893" priority="158" operator="equal">
      <formula>"Proactive"</formula>
    </cfRule>
    <cfRule type="cellIs" dxfId="892" priority="159" operator="equal">
      <formula>"Reactive"</formula>
    </cfRule>
    <cfRule type="cellIs" dxfId="891" priority="160" operator="equal">
      <formula>"No Formal Approach"</formula>
    </cfRule>
  </conditionalFormatting>
  <conditionalFormatting sqref="I53:I58">
    <cfRule type="cellIs" dxfId="890" priority="151" operator="equal">
      <formula>"Improving"</formula>
    </cfRule>
    <cfRule type="cellIs" dxfId="889" priority="152" operator="equal">
      <formula>"Optimising"</formula>
    </cfRule>
    <cfRule type="cellIs" dxfId="888" priority="153" operator="equal">
      <formula>"Proactive"</formula>
    </cfRule>
    <cfRule type="cellIs" dxfId="887" priority="154" operator="equal">
      <formula>"Reactive"</formula>
    </cfRule>
    <cfRule type="cellIs" dxfId="886" priority="155" operator="equal">
      <formula>"No Formal Approach"</formula>
    </cfRule>
  </conditionalFormatting>
  <conditionalFormatting sqref="I60:I62">
    <cfRule type="cellIs" dxfId="885" priority="146" operator="equal">
      <formula>"Improving"</formula>
    </cfRule>
    <cfRule type="cellIs" dxfId="884" priority="147" operator="equal">
      <formula>"Optimising"</formula>
    </cfRule>
    <cfRule type="cellIs" dxfId="883" priority="148" operator="equal">
      <formula>"Proactive"</formula>
    </cfRule>
    <cfRule type="cellIs" dxfId="882" priority="149" operator="equal">
      <formula>"Reactive"</formula>
    </cfRule>
    <cfRule type="cellIs" dxfId="881" priority="150" operator="equal">
      <formula>"No Formal Approach"</formula>
    </cfRule>
  </conditionalFormatting>
  <conditionalFormatting sqref="I64:I65">
    <cfRule type="cellIs" dxfId="880" priority="141" operator="equal">
      <formula>"Improving"</formula>
    </cfRule>
    <cfRule type="cellIs" dxfId="879" priority="142" operator="equal">
      <formula>"Optimising"</formula>
    </cfRule>
    <cfRule type="cellIs" dxfId="878" priority="143" operator="equal">
      <formula>"Proactive"</formula>
    </cfRule>
    <cfRule type="cellIs" dxfId="877" priority="144" operator="equal">
      <formula>"Reactive"</formula>
    </cfRule>
    <cfRule type="cellIs" dxfId="876" priority="145" operator="equal">
      <formula>"No Formal Approach"</formula>
    </cfRule>
  </conditionalFormatting>
  <conditionalFormatting sqref="I67:I72">
    <cfRule type="cellIs" dxfId="875" priority="136" operator="equal">
      <formula>"Improving"</formula>
    </cfRule>
    <cfRule type="cellIs" dxfId="874" priority="137" operator="equal">
      <formula>"Optimising"</formula>
    </cfRule>
    <cfRule type="cellIs" dxfId="873" priority="138" operator="equal">
      <formula>"Proactive"</formula>
    </cfRule>
    <cfRule type="cellIs" dxfId="872" priority="139" operator="equal">
      <formula>"Reactive"</formula>
    </cfRule>
    <cfRule type="cellIs" dxfId="871" priority="140" operator="equal">
      <formula>"No Formal Approach"</formula>
    </cfRule>
  </conditionalFormatting>
  <conditionalFormatting sqref="I74:I79">
    <cfRule type="cellIs" dxfId="870" priority="131" operator="equal">
      <formula>"Improving"</formula>
    </cfRule>
    <cfRule type="cellIs" dxfId="869" priority="132" operator="equal">
      <formula>"Optimising"</formula>
    </cfRule>
    <cfRule type="cellIs" dxfId="868" priority="133" operator="equal">
      <formula>"Proactive"</formula>
    </cfRule>
    <cfRule type="cellIs" dxfId="867" priority="134" operator="equal">
      <formula>"Reactive"</formula>
    </cfRule>
    <cfRule type="cellIs" dxfId="866" priority="135" operator="equal">
      <formula>"No Formal Approach"</formula>
    </cfRule>
  </conditionalFormatting>
  <conditionalFormatting sqref="I81:I86">
    <cfRule type="cellIs" dxfId="865" priority="126" operator="equal">
      <formula>"Improving"</formula>
    </cfRule>
    <cfRule type="cellIs" dxfId="864" priority="127" operator="equal">
      <formula>"Optimising"</formula>
    </cfRule>
    <cfRule type="cellIs" dxfId="863" priority="128" operator="equal">
      <formula>"Proactive"</formula>
    </cfRule>
    <cfRule type="cellIs" dxfId="862" priority="129" operator="equal">
      <formula>"Reactive"</formula>
    </cfRule>
    <cfRule type="cellIs" dxfId="861" priority="130" operator="equal">
      <formula>"No Formal Approach"</formula>
    </cfRule>
  </conditionalFormatting>
  <conditionalFormatting sqref="I88:I93">
    <cfRule type="cellIs" dxfId="860" priority="121" operator="equal">
      <formula>"Improving"</formula>
    </cfRule>
    <cfRule type="cellIs" dxfId="859" priority="122" operator="equal">
      <formula>"Optimising"</formula>
    </cfRule>
    <cfRule type="cellIs" dxfId="858" priority="123" operator="equal">
      <formula>"Proactive"</formula>
    </cfRule>
    <cfRule type="cellIs" dxfId="857" priority="124" operator="equal">
      <formula>"Reactive"</formula>
    </cfRule>
    <cfRule type="cellIs" dxfId="856" priority="125" operator="equal">
      <formula>"No Formal Approach"</formula>
    </cfRule>
  </conditionalFormatting>
  <conditionalFormatting sqref="G13">
    <cfRule type="cellIs" dxfId="855" priority="116" operator="between">
      <formula>13</formula>
      <formula>15.9999</formula>
    </cfRule>
    <cfRule type="cellIs" dxfId="854" priority="117" operator="between">
      <formula>10</formula>
      <formula>12.9999</formula>
    </cfRule>
    <cfRule type="cellIs" dxfId="853" priority="118" operator="between">
      <formula>7</formula>
      <formula>9.9999</formula>
    </cfRule>
    <cfRule type="cellIs" dxfId="852" priority="119" operator="between">
      <formula>4</formula>
      <formula>6.9999</formula>
    </cfRule>
    <cfRule type="cellIs" dxfId="851" priority="120" operator="between">
      <formula>0.1</formula>
      <formula>3.9999</formula>
    </cfRule>
  </conditionalFormatting>
  <conditionalFormatting sqref="I13">
    <cfRule type="cellIs" dxfId="850" priority="111" operator="equal">
      <formula>"Improving"</formula>
    </cfRule>
    <cfRule type="cellIs" dxfId="849" priority="112" operator="equal">
      <formula>"Optimising"</formula>
    </cfRule>
    <cfRule type="cellIs" dxfId="848" priority="113" operator="equal">
      <formula>"Proactive"</formula>
    </cfRule>
    <cfRule type="cellIs" dxfId="847" priority="114" operator="equal">
      <formula>"Reactive"</formula>
    </cfRule>
    <cfRule type="cellIs" dxfId="846" priority="115" operator="equal">
      <formula>"No Formal Approach"</formula>
    </cfRule>
  </conditionalFormatting>
  <conditionalFormatting sqref="G36">
    <cfRule type="cellIs" dxfId="845" priority="106" operator="between">
      <formula>13</formula>
      <formula>15.9999</formula>
    </cfRule>
    <cfRule type="cellIs" dxfId="844" priority="107" operator="between">
      <formula>10</formula>
      <formula>12.9999</formula>
    </cfRule>
    <cfRule type="cellIs" dxfId="843" priority="108" operator="between">
      <formula>7</formula>
      <formula>9.9999</formula>
    </cfRule>
    <cfRule type="cellIs" dxfId="842" priority="109" operator="between">
      <formula>4</formula>
      <formula>6.9999</formula>
    </cfRule>
    <cfRule type="cellIs" dxfId="841" priority="110" operator="between">
      <formula>0.1</formula>
      <formula>3.9999</formula>
    </cfRule>
  </conditionalFormatting>
  <conditionalFormatting sqref="I36">
    <cfRule type="cellIs" dxfId="840" priority="101" operator="equal">
      <formula>"Improving"</formula>
    </cfRule>
    <cfRule type="cellIs" dxfId="839" priority="102" operator="equal">
      <formula>"Optimising"</formula>
    </cfRule>
    <cfRule type="cellIs" dxfId="838" priority="103" operator="equal">
      <formula>"Proactive"</formula>
    </cfRule>
    <cfRule type="cellIs" dxfId="837" priority="104" operator="equal">
      <formula>"Reactive"</formula>
    </cfRule>
    <cfRule type="cellIs" dxfId="836" priority="105" operator="equal">
      <formula>"No Formal Approach"</formula>
    </cfRule>
  </conditionalFormatting>
  <conditionalFormatting sqref="G43">
    <cfRule type="cellIs" dxfId="835" priority="96" operator="between">
      <formula>13</formula>
      <formula>15.9999</formula>
    </cfRule>
    <cfRule type="cellIs" dxfId="834" priority="97" operator="between">
      <formula>10</formula>
      <formula>12.9999</formula>
    </cfRule>
    <cfRule type="cellIs" dxfId="833" priority="98" operator="between">
      <formula>7</formula>
      <formula>9.9999</formula>
    </cfRule>
    <cfRule type="cellIs" dxfId="832" priority="99" operator="between">
      <formula>4</formula>
      <formula>6.9999</formula>
    </cfRule>
    <cfRule type="cellIs" dxfId="831" priority="100" operator="between">
      <formula>0.1</formula>
      <formula>3.9999</formula>
    </cfRule>
  </conditionalFormatting>
  <conditionalFormatting sqref="I43">
    <cfRule type="cellIs" dxfId="830" priority="91" operator="equal">
      <formula>"Improving"</formula>
    </cfRule>
    <cfRule type="cellIs" dxfId="829" priority="92" operator="equal">
      <formula>"Optimising"</formula>
    </cfRule>
    <cfRule type="cellIs" dxfId="828" priority="93" operator="equal">
      <formula>"Proactive"</formula>
    </cfRule>
    <cfRule type="cellIs" dxfId="827" priority="94" operator="equal">
      <formula>"Reactive"</formula>
    </cfRule>
    <cfRule type="cellIs" dxfId="826" priority="95" operator="equal">
      <formula>"No Formal Approach"</formula>
    </cfRule>
  </conditionalFormatting>
  <conditionalFormatting sqref="G52">
    <cfRule type="cellIs" dxfId="825" priority="86" operator="between">
      <formula>13</formula>
      <formula>15.9999</formula>
    </cfRule>
    <cfRule type="cellIs" dxfId="824" priority="87" operator="between">
      <formula>10</formula>
      <formula>12.9999</formula>
    </cfRule>
    <cfRule type="cellIs" dxfId="823" priority="88" operator="between">
      <formula>7</formula>
      <formula>9.9999</formula>
    </cfRule>
    <cfRule type="cellIs" dxfId="822" priority="89" operator="between">
      <formula>4</formula>
      <formula>6.9999</formula>
    </cfRule>
    <cfRule type="cellIs" dxfId="821" priority="90" operator="between">
      <formula>0.1</formula>
      <formula>3.9999</formula>
    </cfRule>
  </conditionalFormatting>
  <conditionalFormatting sqref="I52">
    <cfRule type="cellIs" dxfId="820" priority="81" operator="equal">
      <formula>"Improving"</formula>
    </cfRule>
    <cfRule type="cellIs" dxfId="819" priority="82" operator="equal">
      <formula>"Optimising"</formula>
    </cfRule>
    <cfRule type="cellIs" dxfId="818" priority="83" operator="equal">
      <formula>"Proactive"</formula>
    </cfRule>
    <cfRule type="cellIs" dxfId="817" priority="84" operator="equal">
      <formula>"Reactive"</formula>
    </cfRule>
    <cfRule type="cellIs" dxfId="816" priority="85" operator="equal">
      <formula>"No Formal Approach"</formula>
    </cfRule>
  </conditionalFormatting>
  <conditionalFormatting sqref="G59">
    <cfRule type="cellIs" dxfId="815" priority="76" operator="between">
      <formula>13</formula>
      <formula>15.9999</formula>
    </cfRule>
    <cfRule type="cellIs" dxfId="814" priority="77" operator="between">
      <formula>10</formula>
      <formula>12.9999</formula>
    </cfRule>
    <cfRule type="cellIs" dxfId="813" priority="78" operator="between">
      <formula>7</formula>
      <formula>9.9999</formula>
    </cfRule>
    <cfRule type="cellIs" dxfId="812" priority="79" operator="between">
      <formula>4</formula>
      <formula>6.9999</formula>
    </cfRule>
    <cfRule type="cellIs" dxfId="811" priority="80" operator="between">
      <formula>0.1</formula>
      <formula>3.9999</formula>
    </cfRule>
  </conditionalFormatting>
  <conditionalFormatting sqref="I59">
    <cfRule type="cellIs" dxfId="810" priority="71" operator="equal">
      <formula>"Improving"</formula>
    </cfRule>
    <cfRule type="cellIs" dxfId="809" priority="72" operator="equal">
      <formula>"Optimising"</formula>
    </cfRule>
    <cfRule type="cellIs" dxfId="808" priority="73" operator="equal">
      <formula>"Proactive"</formula>
    </cfRule>
    <cfRule type="cellIs" dxfId="807" priority="74" operator="equal">
      <formula>"Reactive"</formula>
    </cfRule>
    <cfRule type="cellIs" dxfId="806" priority="75" operator="equal">
      <formula>"No Formal Approach"</formula>
    </cfRule>
  </conditionalFormatting>
  <conditionalFormatting sqref="G63">
    <cfRule type="cellIs" dxfId="805" priority="66" operator="between">
      <formula>13</formula>
      <formula>15.9999</formula>
    </cfRule>
    <cfRule type="cellIs" dxfId="804" priority="67" operator="between">
      <formula>10</formula>
      <formula>12.9999</formula>
    </cfRule>
    <cfRule type="cellIs" dxfId="803" priority="68" operator="between">
      <formula>7</formula>
      <formula>9.9999</formula>
    </cfRule>
    <cfRule type="cellIs" dxfId="802" priority="69" operator="between">
      <formula>4</formula>
      <formula>6.9999</formula>
    </cfRule>
    <cfRule type="cellIs" dxfId="801" priority="70" operator="between">
      <formula>0.1</formula>
      <formula>3.9999</formula>
    </cfRule>
  </conditionalFormatting>
  <conditionalFormatting sqref="I63">
    <cfRule type="cellIs" dxfId="800" priority="61" operator="equal">
      <formula>"Improving"</formula>
    </cfRule>
    <cfRule type="cellIs" dxfId="799" priority="62" operator="equal">
      <formula>"Optimising"</formula>
    </cfRule>
    <cfRule type="cellIs" dxfId="798" priority="63" operator="equal">
      <formula>"Proactive"</formula>
    </cfRule>
    <cfRule type="cellIs" dxfId="797" priority="64" operator="equal">
      <formula>"Reactive"</formula>
    </cfRule>
    <cfRule type="cellIs" dxfId="796" priority="65" operator="equal">
      <formula>"No Formal Approach"</formula>
    </cfRule>
  </conditionalFormatting>
  <conditionalFormatting sqref="G66">
    <cfRule type="cellIs" dxfId="795" priority="56" operator="between">
      <formula>13</formula>
      <formula>15.9999</formula>
    </cfRule>
    <cfRule type="cellIs" dxfId="794" priority="57" operator="between">
      <formula>10</formula>
      <formula>12.9999</formula>
    </cfRule>
    <cfRule type="cellIs" dxfId="793" priority="58" operator="between">
      <formula>7</formula>
      <formula>9.9999</formula>
    </cfRule>
    <cfRule type="cellIs" dxfId="792" priority="59" operator="between">
      <formula>4</formula>
      <formula>6.9999</formula>
    </cfRule>
    <cfRule type="cellIs" dxfId="791" priority="60" operator="between">
      <formula>0.1</formula>
      <formula>3.9999</formula>
    </cfRule>
  </conditionalFormatting>
  <conditionalFormatting sqref="I66">
    <cfRule type="cellIs" dxfId="790" priority="51" operator="equal">
      <formula>"Improving"</formula>
    </cfRule>
    <cfRule type="cellIs" dxfId="789" priority="52" operator="equal">
      <formula>"Optimising"</formula>
    </cfRule>
    <cfRule type="cellIs" dxfId="788" priority="53" operator="equal">
      <formula>"Proactive"</formula>
    </cfRule>
    <cfRule type="cellIs" dxfId="787" priority="54" operator="equal">
      <formula>"Reactive"</formula>
    </cfRule>
    <cfRule type="cellIs" dxfId="786" priority="55" operator="equal">
      <formula>"No Formal Approach"</formula>
    </cfRule>
  </conditionalFormatting>
  <conditionalFormatting sqref="G73">
    <cfRule type="cellIs" dxfId="785" priority="46" operator="between">
      <formula>13</formula>
      <formula>15.9999</formula>
    </cfRule>
    <cfRule type="cellIs" dxfId="784" priority="47" operator="between">
      <formula>10</formula>
      <formula>12.9999</formula>
    </cfRule>
    <cfRule type="cellIs" dxfId="783" priority="48" operator="between">
      <formula>7</formula>
      <formula>9.9999</formula>
    </cfRule>
    <cfRule type="cellIs" dxfId="782" priority="49" operator="between">
      <formula>4</formula>
      <formula>6.9999</formula>
    </cfRule>
    <cfRule type="cellIs" dxfId="781" priority="50" operator="between">
      <formula>0.1</formula>
      <formula>3.9999</formula>
    </cfRule>
  </conditionalFormatting>
  <conditionalFormatting sqref="I73">
    <cfRule type="cellIs" dxfId="780" priority="41" operator="equal">
      <formula>"Improving"</formula>
    </cfRule>
    <cfRule type="cellIs" dxfId="779" priority="42" operator="equal">
      <formula>"Optimising"</formula>
    </cfRule>
    <cfRule type="cellIs" dxfId="778" priority="43" operator="equal">
      <formula>"Proactive"</formula>
    </cfRule>
    <cfRule type="cellIs" dxfId="777" priority="44" operator="equal">
      <formula>"Reactive"</formula>
    </cfRule>
    <cfRule type="cellIs" dxfId="776" priority="45" operator="equal">
      <formula>"No Formal Approach"</formula>
    </cfRule>
  </conditionalFormatting>
  <conditionalFormatting sqref="G80">
    <cfRule type="cellIs" dxfId="775" priority="36" operator="between">
      <formula>13</formula>
      <formula>15.9999</formula>
    </cfRule>
    <cfRule type="cellIs" dxfId="774" priority="37" operator="between">
      <formula>10</formula>
      <formula>12.9999</formula>
    </cfRule>
    <cfRule type="cellIs" dxfId="773" priority="38" operator="between">
      <formula>7</formula>
      <formula>9.9999</formula>
    </cfRule>
    <cfRule type="cellIs" dxfId="772" priority="39" operator="between">
      <formula>4</formula>
      <formula>6.9999</formula>
    </cfRule>
    <cfRule type="cellIs" dxfId="771" priority="40" operator="between">
      <formula>0.1</formula>
      <formula>3.9999</formula>
    </cfRule>
  </conditionalFormatting>
  <conditionalFormatting sqref="I80">
    <cfRule type="cellIs" dxfId="770" priority="31" operator="equal">
      <formula>"Improving"</formula>
    </cfRule>
    <cfRule type="cellIs" dxfId="769" priority="32" operator="equal">
      <formula>"Optimising"</formula>
    </cfRule>
    <cfRule type="cellIs" dxfId="768" priority="33" operator="equal">
      <formula>"Proactive"</formula>
    </cfRule>
    <cfRule type="cellIs" dxfId="767" priority="34" operator="equal">
      <formula>"Reactive"</formula>
    </cfRule>
    <cfRule type="cellIs" dxfId="766" priority="35" operator="equal">
      <formula>"No Formal Approach"</formula>
    </cfRule>
  </conditionalFormatting>
  <conditionalFormatting sqref="G87">
    <cfRule type="cellIs" dxfId="765" priority="26" operator="between">
      <formula>13</formula>
      <formula>15.9999</formula>
    </cfRule>
    <cfRule type="cellIs" dxfId="764" priority="27" operator="between">
      <formula>10</formula>
      <formula>12.9999</formula>
    </cfRule>
    <cfRule type="cellIs" dxfId="763" priority="28" operator="between">
      <formula>7</formula>
      <formula>9.9999</formula>
    </cfRule>
    <cfRule type="cellIs" dxfId="762" priority="29" operator="between">
      <formula>4</formula>
      <formula>6.9999</formula>
    </cfRule>
    <cfRule type="cellIs" dxfId="761" priority="30" operator="between">
      <formula>0.1</formula>
      <formula>3.9999</formula>
    </cfRule>
  </conditionalFormatting>
  <conditionalFormatting sqref="I87">
    <cfRule type="cellIs" dxfId="760" priority="21" operator="equal">
      <formula>"Improving"</formula>
    </cfRule>
    <cfRule type="cellIs" dxfId="759" priority="22" operator="equal">
      <formula>"Optimising"</formula>
    </cfRule>
    <cfRule type="cellIs" dxfId="758" priority="23" operator="equal">
      <formula>"Proactive"</formula>
    </cfRule>
    <cfRule type="cellIs" dxfId="757" priority="24" operator="equal">
      <formula>"Reactive"</formula>
    </cfRule>
    <cfRule type="cellIs" dxfId="756" priority="25" operator="equal">
      <formula>"No Formal Approach"</formula>
    </cfRule>
  </conditionalFormatting>
  <conditionalFormatting sqref="G94">
    <cfRule type="cellIs" dxfId="755" priority="16" operator="between">
      <formula>13</formula>
      <formula>15.9999</formula>
    </cfRule>
    <cfRule type="cellIs" dxfId="754" priority="17" operator="between">
      <formula>10</formula>
      <formula>12.9999</formula>
    </cfRule>
    <cfRule type="cellIs" dxfId="753" priority="18" operator="between">
      <formula>7</formula>
      <formula>9.9999</formula>
    </cfRule>
    <cfRule type="cellIs" dxfId="752" priority="19" operator="between">
      <formula>4</formula>
      <formula>6.9999</formula>
    </cfRule>
    <cfRule type="cellIs" dxfId="751" priority="20" operator="between">
      <formula>0.1</formula>
      <formula>3.9999</formula>
    </cfRule>
  </conditionalFormatting>
  <conditionalFormatting sqref="I94">
    <cfRule type="cellIs" dxfId="750" priority="11" operator="equal">
      <formula>"Improving"</formula>
    </cfRule>
    <cfRule type="cellIs" dxfId="749" priority="12" operator="equal">
      <formula>"Optimising"</formula>
    </cfRule>
    <cfRule type="cellIs" dxfId="748" priority="13" operator="equal">
      <formula>"Proactive"</formula>
    </cfRule>
    <cfRule type="cellIs" dxfId="747" priority="14" operator="equal">
      <formula>"Reactive"</formula>
    </cfRule>
    <cfRule type="cellIs" dxfId="746" priority="15" operator="equal">
      <formula>"No Formal Approach"</formula>
    </cfRule>
  </conditionalFormatting>
  <conditionalFormatting sqref="G95:G100">
    <cfRule type="cellIs" dxfId="745" priority="6" operator="between">
      <formula>13</formula>
      <formula>15.9999</formula>
    </cfRule>
    <cfRule type="cellIs" dxfId="744" priority="7" operator="between">
      <formula>10</formula>
      <formula>12.9999</formula>
    </cfRule>
    <cfRule type="cellIs" dxfId="743" priority="8" operator="between">
      <formula>7</formula>
      <formula>9.9999</formula>
    </cfRule>
    <cfRule type="cellIs" dxfId="742" priority="9" operator="between">
      <formula>4</formula>
      <formula>6.9999</formula>
    </cfRule>
    <cfRule type="cellIs" dxfId="741" priority="10" operator="between">
      <formula>0.1</formula>
      <formula>3.9999</formula>
    </cfRule>
  </conditionalFormatting>
  <conditionalFormatting sqref="I95:I100">
    <cfRule type="cellIs" dxfId="740" priority="1" operator="equal">
      <formula>"Improving"</formula>
    </cfRule>
    <cfRule type="cellIs" dxfId="739" priority="2" operator="equal">
      <formula>"Optimising"</formula>
    </cfRule>
    <cfRule type="cellIs" dxfId="738" priority="3" operator="equal">
      <formula>"Proactive"</formula>
    </cfRule>
    <cfRule type="cellIs" dxfId="737" priority="4" operator="equal">
      <formula>"Reactive"</formula>
    </cfRule>
    <cfRule type="cellIs" dxfId="736" priority="5" operator="equal">
      <formula>"No Formal Approach"</formula>
    </cfRule>
  </conditionalFormatting>
  <dataValidations count="3">
    <dataValidation type="list" allowBlank="1" showInputMessage="1" showErrorMessage="1" sqref="K37:K42 K44:K51 K53:K58 K5:K12 K60:K62 K64:K65 K67:K72 K14:K35 K74:K79 K81:K86 K88:K93 K95:K100">
      <formula1>Finding_Type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101">
      <formula1>"Opportunity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B1:N102"/>
  <sheetViews>
    <sheetView zoomScaleNormal="100" workbookViewId="0">
      <pane xSplit="4" ySplit="4" topLeftCell="E5" activePane="bottomRight" state="frozen"/>
      <selection pane="topRight" activeCell="F1" sqref="F1"/>
      <selection pane="bottomLeft" activeCell="A5" sqref="A5"/>
      <selection pane="bottomRight" activeCell="B4" sqref="B4"/>
    </sheetView>
  </sheetViews>
  <sheetFormatPr defaultColWidth="8.88671875" defaultRowHeight="14.4" x14ac:dyDescent="0.3"/>
  <cols>
    <col min="1" max="1" width="0.88671875" style="270" customWidth="1"/>
    <col min="2" max="2" width="17.109375" style="20" customWidth="1"/>
    <col min="3" max="3" width="4.44140625" style="31" customWidth="1"/>
    <col min="4" max="4" width="35.33203125" style="34" customWidth="1"/>
    <col min="5" max="6" width="55.109375" style="44" customWidth="1"/>
    <col min="7" max="7" width="10.44140625" style="42" customWidth="1"/>
    <col min="8" max="8" width="10.44140625" style="42" hidden="1" customWidth="1"/>
    <col min="9" max="9" width="10.44140625" style="42" customWidth="1"/>
    <col min="10" max="10" width="10.44140625" style="42" hidden="1" customWidth="1"/>
    <col min="11" max="11" width="24.44140625" style="70" bestFit="1" customWidth="1"/>
    <col min="12" max="13" width="60.33203125" style="21" customWidth="1"/>
    <col min="14" max="14" width="30.33203125" style="21" customWidth="1"/>
    <col min="15" max="16384" width="8.88671875" style="270"/>
  </cols>
  <sheetData>
    <row r="1" spans="2:14" ht="8.4" customHeight="1" x14ac:dyDescent="0.3">
      <c r="B1" s="20" t="s">
        <v>18</v>
      </c>
      <c r="E1" s="44" t="s">
        <v>18</v>
      </c>
      <c r="F1" s="44" t="s">
        <v>18</v>
      </c>
    </row>
    <row r="2" spans="2:14" ht="30.6" customHeight="1" x14ac:dyDescent="0.3">
      <c r="B2" s="367"/>
      <c r="C2" s="367"/>
      <c r="D2" s="135" t="s">
        <v>517</v>
      </c>
      <c r="E2" s="136" t="str">
        <f>"Account: "&amp;'Report (OMMi) - Var 1'!E5</f>
        <v>Account: A Big Important Account</v>
      </c>
      <c r="F2" s="137" t="str">
        <f>'Report (OMMi) - Var 1'!V15</f>
        <v>Subject 15</v>
      </c>
      <c r="G2" s="372"/>
      <c r="H2" s="373"/>
      <c r="I2" s="373"/>
      <c r="J2" s="373"/>
      <c r="K2" s="373"/>
      <c r="L2" s="373"/>
      <c r="M2" s="373"/>
      <c r="N2" s="374"/>
    </row>
    <row r="3" spans="2:14" s="17" customFormat="1" ht="12.75" customHeight="1" x14ac:dyDescent="0.3">
      <c r="B3" s="114" t="s">
        <v>18</v>
      </c>
      <c r="C3" s="115"/>
      <c r="D3" s="116"/>
      <c r="E3" s="370" t="s">
        <v>34</v>
      </c>
      <c r="F3" s="371"/>
      <c r="G3" s="368" t="s">
        <v>420</v>
      </c>
      <c r="H3" s="369"/>
      <c r="I3" s="369"/>
      <c r="J3" s="268"/>
      <c r="K3" s="121"/>
      <c r="L3" s="121"/>
      <c r="M3" s="122"/>
      <c r="N3" s="122"/>
    </row>
    <row r="4" spans="2:14" s="118" customFormat="1" ht="28.2" x14ac:dyDescent="0.3">
      <c r="B4" s="81" t="s">
        <v>19</v>
      </c>
      <c r="C4" s="81" t="s">
        <v>31</v>
      </c>
      <c r="D4" s="119" t="s">
        <v>0</v>
      </c>
      <c r="E4" s="81" t="s">
        <v>428</v>
      </c>
      <c r="F4" s="81" t="s">
        <v>429</v>
      </c>
      <c r="G4" s="125" t="s">
        <v>1</v>
      </c>
      <c r="H4" s="125" t="s">
        <v>515</v>
      </c>
      <c r="I4" s="125" t="s">
        <v>516</v>
      </c>
      <c r="J4" s="125" t="s">
        <v>451</v>
      </c>
      <c r="K4" s="126" t="s">
        <v>388</v>
      </c>
      <c r="L4" s="126" t="s">
        <v>423</v>
      </c>
      <c r="M4" s="126" t="s">
        <v>422</v>
      </c>
      <c r="N4" s="126" t="s">
        <v>663</v>
      </c>
    </row>
    <row r="5" spans="2:14" s="30" customFormat="1" ht="30.6" x14ac:dyDescent="0.3">
      <c r="B5" s="127" t="s">
        <v>436</v>
      </c>
      <c r="C5" s="58">
        <v>1</v>
      </c>
      <c r="D5" s="117" t="s">
        <v>552</v>
      </c>
      <c r="E5" s="113" t="s">
        <v>566</v>
      </c>
      <c r="F5" s="113" t="s">
        <v>588</v>
      </c>
      <c r="G5" s="123"/>
      <c r="H5" s="138" t="e">
        <f>VLOOKUP($G5,LookUps!$B$4:$C$19,2)</f>
        <v>#N/A</v>
      </c>
      <c r="I5" s="138" t="str">
        <f>IFERROR(VLOOKUP($G5,LookUps!$B$4:$D$19,3),"")</f>
        <v/>
      </c>
      <c r="J5" s="141" t="str">
        <f>IF($G5=1,1,IF($G5=2,1,IF($G5=3,1,IF($G5=4,2,IF($G5=5,2,IF($G5=6,2,IF($G5=7,3,IF($G5=8,3,IF($G5=9,3,IF($G5=10,4,IF($G5=11,4,IF($G5=12,4,IF($G5=13,5,IF($G5=14,5,IF($G5=15,5,"")))))))))))))))</f>
        <v/>
      </c>
      <c r="K5" s="105"/>
      <c r="L5" s="120"/>
      <c r="M5" s="120"/>
      <c r="N5" s="269" t="str">
        <f>IF(OR($G5=1,$G5=2,$G5=3,$G5=4,$G5=5,$G5=6),'20k Cross Ref (DSSubject)'!$BU4,"")</f>
        <v/>
      </c>
    </row>
    <row r="6" spans="2:14" s="30" customFormat="1" ht="91.8" x14ac:dyDescent="0.3">
      <c r="B6" s="127" t="s">
        <v>436</v>
      </c>
      <c r="C6" s="58">
        <v>2</v>
      </c>
      <c r="D6" s="117" t="s">
        <v>437</v>
      </c>
      <c r="E6" s="124" t="s">
        <v>567</v>
      </c>
      <c r="F6" s="124" t="s">
        <v>589</v>
      </c>
      <c r="G6" s="123"/>
      <c r="H6" s="138" t="e">
        <f>VLOOKUP($G6,LookUps!$B$4:$C$19,2)</f>
        <v>#N/A</v>
      </c>
      <c r="I6" s="138" t="str">
        <f>IFERROR(VLOOKUP($G6,LookUps!$B$4:$D$19,3),"")</f>
        <v/>
      </c>
      <c r="J6" s="141" t="str">
        <f t="shared" ref="J6:J65" si="0">IF($G6=1,1,IF($G6=2,1,IF($G6=3,1,IF($G6=4,2,IF($G6=5,2,IF($G6=6,2,IF($G6=7,3,IF($G6=8,3,IF($G6=9,3,IF($G6=10,4,IF($G6=11,4,IF($G6=12,4,IF($G6=13,5,IF($G6=14,5,IF($G6=15,5,"")))))))))))))))</f>
        <v/>
      </c>
      <c r="K6" s="105"/>
      <c r="L6" s="120"/>
      <c r="M6" s="120"/>
      <c r="N6" s="269" t="str">
        <f>IF(OR($G6=1,$G6=2,$G6=3,$G6=4,$G6=5,$G6=6),'20k Cross Ref (DSSubject)'!$BU5,"")</f>
        <v/>
      </c>
    </row>
    <row r="7" spans="2:14" s="30" customFormat="1" ht="30.6" x14ac:dyDescent="0.3">
      <c r="B7" s="127" t="s">
        <v>433</v>
      </c>
      <c r="C7" s="58">
        <v>3</v>
      </c>
      <c r="D7" s="117" t="s">
        <v>553</v>
      </c>
      <c r="E7" s="124" t="s">
        <v>550</v>
      </c>
      <c r="F7" s="124" t="s">
        <v>590</v>
      </c>
      <c r="G7" s="123"/>
      <c r="H7" s="138" t="e">
        <f>VLOOKUP($G7,LookUps!$B$4:$C$19,2)</f>
        <v>#N/A</v>
      </c>
      <c r="I7" s="138" t="str">
        <f>IFERROR(VLOOKUP($G7,LookUps!$B$4:$D$19,3),"")</f>
        <v/>
      </c>
      <c r="J7" s="141" t="str">
        <f t="shared" si="0"/>
        <v/>
      </c>
      <c r="K7" s="105"/>
      <c r="L7" s="120"/>
      <c r="M7" s="120"/>
      <c r="N7" s="269" t="str">
        <f>IF(OR($G7=1,$G7=2,$G7=3,$G7=4,$G7=5,$G7=6),'20k Cross Ref (DSSubject)'!$BU6,"")</f>
        <v/>
      </c>
    </row>
    <row r="8" spans="2:14" s="30" customFormat="1" ht="102" x14ac:dyDescent="0.3">
      <c r="B8" s="127" t="s">
        <v>434</v>
      </c>
      <c r="C8" s="58">
        <v>4</v>
      </c>
      <c r="D8" s="117" t="s">
        <v>554</v>
      </c>
      <c r="E8" s="124" t="s">
        <v>680</v>
      </c>
      <c r="F8" s="124" t="s">
        <v>591</v>
      </c>
      <c r="G8" s="123"/>
      <c r="H8" s="138" t="e">
        <f>VLOOKUP($G8,LookUps!$B$4:$C$19,2)</f>
        <v>#N/A</v>
      </c>
      <c r="I8" s="138" t="str">
        <f>IFERROR(VLOOKUP($G8,LookUps!$B$4:$D$19,3),"")</f>
        <v/>
      </c>
      <c r="J8" s="141" t="str">
        <f t="shared" si="0"/>
        <v/>
      </c>
      <c r="K8" s="105"/>
      <c r="L8" s="120"/>
      <c r="M8" s="120"/>
      <c r="N8" s="269" t="str">
        <f>IF(OR($G8=1,$G8=2,$G8=3,$G8=4,$G8=5,$G8=6),'20k Cross Ref (DSSubject)'!$BU7,"")</f>
        <v/>
      </c>
    </row>
    <row r="9" spans="2:14" s="30" customFormat="1" ht="61.2" x14ac:dyDescent="0.3">
      <c r="B9" s="127" t="s">
        <v>434</v>
      </c>
      <c r="C9" s="58">
        <v>5</v>
      </c>
      <c r="D9" s="117" t="s">
        <v>543</v>
      </c>
      <c r="E9" s="124" t="s">
        <v>548</v>
      </c>
      <c r="F9" s="124" t="s">
        <v>592</v>
      </c>
      <c r="G9" s="123"/>
      <c r="H9" s="138" t="e">
        <f>VLOOKUP($G9,LookUps!$B$4:$C$19,2)</f>
        <v>#N/A</v>
      </c>
      <c r="I9" s="138" t="str">
        <f>IFERROR(VLOOKUP($G9,LookUps!$B$4:$D$19,3),"")</f>
        <v/>
      </c>
      <c r="J9" s="141" t="str">
        <f t="shared" si="0"/>
        <v/>
      </c>
      <c r="K9" s="105"/>
      <c r="L9" s="120"/>
      <c r="M9" s="120"/>
      <c r="N9" s="269" t="str">
        <f>IF(OR($G9=1,$G9=2,$G9=3,$G9=4,$G9=5,$G9=6),'20k Cross Ref (DSSubject)'!$BU8,"")</f>
        <v/>
      </c>
    </row>
    <row r="10" spans="2:14" s="30" customFormat="1" x14ac:dyDescent="0.3">
      <c r="B10" s="127" t="s">
        <v>434</v>
      </c>
      <c r="C10" s="58">
        <v>6</v>
      </c>
      <c r="D10" s="117" t="s">
        <v>551</v>
      </c>
      <c r="E10" s="124" t="s">
        <v>438</v>
      </c>
      <c r="F10" s="124" t="s">
        <v>593</v>
      </c>
      <c r="G10" s="123"/>
      <c r="H10" s="138" t="e">
        <f>VLOOKUP($G10,LookUps!$B$4:$C$19,2)</f>
        <v>#N/A</v>
      </c>
      <c r="I10" s="138" t="str">
        <f>IFERROR(VLOOKUP($G10,LookUps!$B$4:$D$19,3),"")</f>
        <v/>
      </c>
      <c r="J10" s="141" t="str">
        <f t="shared" si="0"/>
        <v/>
      </c>
      <c r="K10" s="105"/>
      <c r="L10" s="120"/>
      <c r="M10" s="120"/>
      <c r="N10" s="269" t="str">
        <f>IF(OR($G10=1,$G10=2,$G10=3,$G10=4,$G10=5,$G10=6),'20k Cross Ref (DSSubject)'!$BU9,"")</f>
        <v/>
      </c>
    </row>
    <row r="11" spans="2:14" s="30" customFormat="1" ht="61.2" x14ac:dyDescent="0.3">
      <c r="B11" s="127" t="s">
        <v>435</v>
      </c>
      <c r="C11" s="58">
        <v>7</v>
      </c>
      <c r="D11" s="117" t="s">
        <v>555</v>
      </c>
      <c r="E11" s="124" t="s">
        <v>568</v>
      </c>
      <c r="F11" s="124" t="s">
        <v>594</v>
      </c>
      <c r="G11" s="123"/>
      <c r="H11" s="138" t="e">
        <f>VLOOKUP($G11,LookUps!$B$4:$C$19,2)</f>
        <v>#N/A</v>
      </c>
      <c r="I11" s="138" t="str">
        <f>IFERROR(VLOOKUP($G11,LookUps!$B$4:$D$19,3),"")</f>
        <v/>
      </c>
      <c r="J11" s="141" t="str">
        <f t="shared" si="0"/>
        <v/>
      </c>
      <c r="K11" s="105"/>
      <c r="L11" s="120"/>
      <c r="M11" s="120"/>
      <c r="N11" s="269" t="str">
        <f>IF(OR($G11=1,$G11=2,$G11=3,$G11=4,$G11=5,$G11=6),'20k Cross Ref (DSSubject)'!$BU10,"")</f>
        <v/>
      </c>
    </row>
    <row r="12" spans="2:14" s="30" customFormat="1" ht="81.599999999999994" x14ac:dyDescent="0.3">
      <c r="B12" s="127" t="s">
        <v>435</v>
      </c>
      <c r="C12" s="58">
        <v>8</v>
      </c>
      <c r="D12" s="117" t="s">
        <v>822</v>
      </c>
      <c r="E12" s="124" t="s">
        <v>574</v>
      </c>
      <c r="F12" s="124" t="s">
        <v>600</v>
      </c>
      <c r="G12" s="123"/>
      <c r="H12" s="138" t="e">
        <f>VLOOKUP($G12,LookUps!$B$4:$C$19,2)</f>
        <v>#N/A</v>
      </c>
      <c r="I12" s="138" t="str">
        <f>IFERROR(VLOOKUP($G12,LookUps!$B$4:$D$19,3),"")</f>
        <v/>
      </c>
      <c r="J12" s="141" t="str">
        <f t="shared" si="0"/>
        <v/>
      </c>
      <c r="K12" s="105"/>
      <c r="L12" s="120"/>
      <c r="M12" s="120"/>
      <c r="N12" s="269" t="str">
        <f>IF(OR($G12=1,$G12=2,$G12=3,$G12=4,$G12=5,$G12=6),'20k Cross Ref (DSSubject)'!$BU11,"")</f>
        <v/>
      </c>
    </row>
    <row r="13" spans="2:14" s="30" customFormat="1" ht="81.599999999999994" x14ac:dyDescent="0.3">
      <c r="B13" s="127" t="s">
        <v>651</v>
      </c>
      <c r="C13" s="58">
        <v>9</v>
      </c>
      <c r="D13" s="117" t="s">
        <v>806</v>
      </c>
      <c r="E13" s="124" t="s">
        <v>805</v>
      </c>
      <c r="F13" s="124" t="s">
        <v>775</v>
      </c>
      <c r="G13" s="249" t="str">
        <f>IFERROR(TRUNC(AVERAGE($G14:$G15),2), "")</f>
        <v/>
      </c>
      <c r="H13" s="247"/>
      <c r="I13" s="248" t="str">
        <f>IFERROR(VLOOKUP($G13,LookUps!$B$4:$D$19,3),"")</f>
        <v/>
      </c>
      <c r="J13" s="242"/>
      <c r="K13" s="250"/>
      <c r="L13" s="250"/>
      <c r="M13" s="250"/>
      <c r="N13" s="251" t="str">
        <f>IF(OR($G13=1,$G13=2,$G13=3,$G13=4,$G13=5,$G13=6),'20k Cross Ref (DSSubject)'!$BU12,"")</f>
        <v/>
      </c>
    </row>
    <row r="14" spans="2:14" s="30" customFormat="1" ht="20.399999999999999" x14ac:dyDescent="0.3">
      <c r="B14" s="127" t="s">
        <v>651</v>
      </c>
      <c r="C14" s="58">
        <v>10</v>
      </c>
      <c r="D14" s="117" t="s">
        <v>807</v>
      </c>
      <c r="E14" s="124" t="s">
        <v>777</v>
      </c>
      <c r="F14" s="124" t="s">
        <v>777</v>
      </c>
      <c r="G14" s="123"/>
      <c r="H14" s="138" t="e">
        <f>VLOOKUP($G14,LookUps!$B$4:$C$19,2)</f>
        <v>#N/A</v>
      </c>
      <c r="I14" s="138" t="str">
        <f>IFERROR(VLOOKUP($G14,LookUps!$B$4:$D$19,3),"")</f>
        <v/>
      </c>
      <c r="J14" s="141" t="str">
        <f t="shared" si="0"/>
        <v/>
      </c>
      <c r="K14" s="105"/>
      <c r="L14" s="120"/>
      <c r="M14" s="120"/>
      <c r="N14" s="269" t="str">
        <f>IF(OR($G14=1,$G14=2,$G14=3,$G14=4,$G14=5,$G14=6),'20k Cross Ref (DSSubject)'!$BU13,"")</f>
        <v/>
      </c>
    </row>
    <row r="15" spans="2:14" s="30" customFormat="1" ht="20.399999999999999" x14ac:dyDescent="0.3">
      <c r="B15" s="127" t="s">
        <v>651</v>
      </c>
      <c r="C15" s="58">
        <v>11</v>
      </c>
      <c r="D15" s="117" t="s">
        <v>808</v>
      </c>
      <c r="E15" s="124" t="s">
        <v>777</v>
      </c>
      <c r="F15" s="124" t="s">
        <v>777</v>
      </c>
      <c r="G15" s="123"/>
      <c r="H15" s="138" t="e">
        <f>VLOOKUP($G15,LookUps!$B$4:$C$19,2)</f>
        <v>#N/A</v>
      </c>
      <c r="I15" s="138" t="str">
        <f>IFERROR(VLOOKUP($G15,LookUps!$B$4:$D$19,3),"")</f>
        <v/>
      </c>
      <c r="J15" s="141" t="str">
        <f t="shared" si="0"/>
        <v/>
      </c>
      <c r="K15" s="105"/>
      <c r="L15" s="120"/>
      <c r="M15" s="120"/>
      <c r="N15" s="269" t="str">
        <f>IF(OR($G15=1,$G15=2,$G15=3,$G15=4,$G15=5,$G15=6),'20k Cross Ref (DSSubject)'!$BU14,"")</f>
        <v/>
      </c>
    </row>
    <row r="16" spans="2:14" s="30" customFormat="1" ht="61.2" x14ac:dyDescent="0.3">
      <c r="B16" s="127" t="s">
        <v>830</v>
      </c>
      <c r="C16" s="58">
        <v>12</v>
      </c>
      <c r="D16" s="117" t="s">
        <v>557</v>
      </c>
      <c r="E16" s="124" t="s">
        <v>569</v>
      </c>
      <c r="F16" s="124" t="s">
        <v>595</v>
      </c>
      <c r="G16" s="123"/>
      <c r="H16" s="138" t="e">
        <f>VLOOKUP($G16,LookUps!$B$4:$C$19,2)</f>
        <v>#N/A</v>
      </c>
      <c r="I16" s="138" t="str">
        <f>IFERROR(VLOOKUP($G16,LookUps!$B$4:$D$19,3),"")</f>
        <v/>
      </c>
      <c r="J16" s="141" t="str">
        <f t="shared" si="0"/>
        <v/>
      </c>
      <c r="K16" s="105"/>
      <c r="L16" s="120"/>
      <c r="M16" s="120"/>
      <c r="N16" s="269" t="str">
        <f>IF(OR($G16=1,$G16=2,$G16=3,$G16=4,$G16=5,$G16=6),'20k Cross Ref (DSSubject)'!$BU15,"")</f>
        <v/>
      </c>
    </row>
    <row r="17" spans="2:14" s="30" customFormat="1" ht="71.400000000000006" x14ac:dyDescent="0.3">
      <c r="B17" s="127" t="s">
        <v>830</v>
      </c>
      <c r="C17" s="58">
        <v>13</v>
      </c>
      <c r="D17" s="117" t="s">
        <v>449</v>
      </c>
      <c r="E17" s="124" t="s">
        <v>570</v>
      </c>
      <c r="F17" s="124" t="s">
        <v>596</v>
      </c>
      <c r="G17" s="123"/>
      <c r="H17" s="138" t="e">
        <f>VLOOKUP($G17,LookUps!$B$4:$C$19,2)</f>
        <v>#N/A</v>
      </c>
      <c r="I17" s="138" t="str">
        <f>IFERROR(VLOOKUP($G17,LookUps!$B$4:$D$19,3),"")</f>
        <v/>
      </c>
      <c r="J17" s="141" t="str">
        <f t="shared" si="0"/>
        <v/>
      </c>
      <c r="K17" s="105"/>
      <c r="L17" s="120"/>
      <c r="M17" s="120"/>
      <c r="N17" s="269" t="str">
        <f>IF(OR($G17=1,$G17=2,$G17=3,$G17=4,$G17=5,$G17=6),'20k Cross Ref (DSSubject)'!$BU16,"")</f>
        <v/>
      </c>
    </row>
    <row r="18" spans="2:14" s="30" customFormat="1" ht="91.8" x14ac:dyDescent="0.3">
      <c r="B18" s="127" t="s">
        <v>830</v>
      </c>
      <c r="C18" s="58">
        <v>14</v>
      </c>
      <c r="D18" s="117" t="s">
        <v>439</v>
      </c>
      <c r="E18" s="124" t="s">
        <v>571</v>
      </c>
      <c r="F18" s="124" t="s">
        <v>597</v>
      </c>
      <c r="G18" s="123"/>
      <c r="H18" s="138" t="e">
        <f>VLOOKUP($G18,LookUps!$B$4:$C$19,2)</f>
        <v>#N/A</v>
      </c>
      <c r="I18" s="138" t="str">
        <f>IFERROR(VLOOKUP($G18,LookUps!$B$4:$D$19,3),"")</f>
        <v/>
      </c>
      <c r="J18" s="141" t="str">
        <f t="shared" si="0"/>
        <v/>
      </c>
      <c r="K18" s="105"/>
      <c r="L18" s="120"/>
      <c r="M18" s="120"/>
      <c r="N18" s="269" t="str">
        <f>IF(OR($G18=1,$G18=2,$G18=3,$G18=4,$G18=5,$G18=6),'20k Cross Ref (DSSubject)'!$BU17,"")</f>
        <v/>
      </c>
    </row>
    <row r="19" spans="2:14" s="30" customFormat="1" ht="81.599999999999994" x14ac:dyDescent="0.3">
      <c r="B19" s="127" t="s">
        <v>830</v>
      </c>
      <c r="C19" s="58">
        <v>15</v>
      </c>
      <c r="D19" s="117" t="s">
        <v>440</v>
      </c>
      <c r="E19" s="124" t="s">
        <v>572</v>
      </c>
      <c r="F19" s="124" t="s">
        <v>598</v>
      </c>
      <c r="G19" s="123"/>
      <c r="H19" s="138" t="e">
        <f>VLOOKUP($G19,LookUps!$B$4:$C$19,2)</f>
        <v>#N/A</v>
      </c>
      <c r="I19" s="138" t="str">
        <f>IFERROR(VLOOKUP($G19,LookUps!$B$4:$D$19,3),"")</f>
        <v/>
      </c>
      <c r="J19" s="141" t="str">
        <f t="shared" si="0"/>
        <v/>
      </c>
      <c r="K19" s="105"/>
      <c r="L19" s="120"/>
      <c r="M19" s="120"/>
      <c r="N19" s="269" t="str">
        <f>IF(OR($G19=1,$G19=2,$G19=3,$G19=4,$G19=5,$G19=6),'20k Cross Ref (DSSubject)'!$BU18,"")</f>
        <v/>
      </c>
    </row>
    <row r="20" spans="2:14" s="30" customFormat="1" ht="61.2" x14ac:dyDescent="0.3">
      <c r="B20" s="127" t="s">
        <v>830</v>
      </c>
      <c r="C20" s="58">
        <v>16</v>
      </c>
      <c r="D20" s="117" t="s">
        <v>441</v>
      </c>
      <c r="E20" s="124" t="s">
        <v>573</v>
      </c>
      <c r="F20" s="124" t="s">
        <v>599</v>
      </c>
      <c r="G20" s="123"/>
      <c r="H20" s="138" t="e">
        <f>VLOOKUP($G20,LookUps!$B$4:$C$19,2)</f>
        <v>#N/A</v>
      </c>
      <c r="I20" s="138" t="str">
        <f>IFERROR(VLOOKUP($G20,LookUps!$B$4:$D$19,3),"")</f>
        <v/>
      </c>
      <c r="J20" s="141" t="str">
        <f t="shared" si="0"/>
        <v/>
      </c>
      <c r="K20" s="105"/>
      <c r="L20" s="120"/>
      <c r="M20" s="120"/>
      <c r="N20" s="269" t="str">
        <f>IF(OR($G20=1,$G20=2,$G20=3,$G20=4,$G20=5,$G20=6),'20k Cross Ref (DSSubject)'!$BU19,"")</f>
        <v/>
      </c>
    </row>
    <row r="21" spans="2:14" s="30" customFormat="1" ht="61.2" x14ac:dyDescent="0.3">
      <c r="B21" s="127" t="s">
        <v>830</v>
      </c>
      <c r="C21" s="58">
        <v>17</v>
      </c>
      <c r="D21" s="117" t="s">
        <v>442</v>
      </c>
      <c r="E21" s="124" t="s">
        <v>575</v>
      </c>
      <c r="F21" s="124" t="s">
        <v>601</v>
      </c>
      <c r="G21" s="123"/>
      <c r="H21" s="138" t="e">
        <f>VLOOKUP($G21,LookUps!$B$4:$C$19,2)</f>
        <v>#N/A</v>
      </c>
      <c r="I21" s="138" t="str">
        <f>IFERROR(VLOOKUP($G21,LookUps!$B$4:$D$19,3),"")</f>
        <v/>
      </c>
      <c r="J21" s="141" t="str">
        <f t="shared" si="0"/>
        <v/>
      </c>
      <c r="K21" s="105"/>
      <c r="L21" s="120"/>
      <c r="M21" s="120"/>
      <c r="N21" s="269" t="str">
        <f>IF(OR($G21=1,$G21=2,$G21=3,$G21=4,$G21=5,$G21=6),'20k Cross Ref (DSSubject)'!$BU20,"")</f>
        <v/>
      </c>
    </row>
    <row r="22" spans="2:14" s="30" customFormat="1" ht="51" x14ac:dyDescent="0.3">
      <c r="B22" s="127" t="s">
        <v>830</v>
      </c>
      <c r="C22" s="58">
        <v>18</v>
      </c>
      <c r="D22" s="117" t="s">
        <v>551</v>
      </c>
      <c r="E22" s="124" t="s">
        <v>576</v>
      </c>
      <c r="F22" s="124" t="s">
        <v>602</v>
      </c>
      <c r="G22" s="123"/>
      <c r="H22" s="138" t="e">
        <f>VLOOKUP($G22,LookUps!$B$4:$C$19,2)</f>
        <v>#N/A</v>
      </c>
      <c r="I22" s="138" t="str">
        <f>IFERROR(VLOOKUP($G22,LookUps!$B$4:$D$19,3),"")</f>
        <v/>
      </c>
      <c r="J22" s="141" t="str">
        <f t="shared" si="0"/>
        <v/>
      </c>
      <c r="K22" s="105"/>
      <c r="L22" s="120"/>
      <c r="M22" s="120"/>
      <c r="N22" s="269" t="str">
        <f>IF(OR($G22=1,$G22=2,$G22=3,$G22=4,$G22=5,$G22=6),'20k Cross Ref (DSSubject)'!$BU21,"")</f>
        <v/>
      </c>
    </row>
    <row r="23" spans="2:14" s="30" customFormat="1" ht="71.400000000000006" x14ac:dyDescent="0.3">
      <c r="B23" s="127" t="s">
        <v>826</v>
      </c>
      <c r="C23" s="58">
        <v>19</v>
      </c>
      <c r="D23" s="117" t="s">
        <v>614</v>
      </c>
      <c r="E23" s="124" t="s">
        <v>583</v>
      </c>
      <c r="F23" s="124" t="s">
        <v>609</v>
      </c>
      <c r="G23" s="123"/>
      <c r="H23" s="138" t="e">
        <f>VLOOKUP($G23,LookUps!$B$4:$C$19,2)</f>
        <v>#N/A</v>
      </c>
      <c r="I23" s="138" t="str">
        <f>IFERROR(VLOOKUP($G23,LookUps!$B$4:$D$19,3),"")</f>
        <v/>
      </c>
      <c r="J23" s="141" t="str">
        <f t="shared" si="0"/>
        <v/>
      </c>
      <c r="K23" s="105"/>
      <c r="L23" s="120"/>
      <c r="M23" s="120"/>
      <c r="N23" s="269" t="str">
        <f>IF(OR($G23=1,$G23=2,$G23=3,$G23=4,$G23=5,$G23=6),'20k Cross Ref (DSSubject)'!$BU22,"")</f>
        <v/>
      </c>
    </row>
    <row r="24" spans="2:14" s="30" customFormat="1" ht="40.799999999999997" x14ac:dyDescent="0.3">
      <c r="B24" s="127" t="s">
        <v>826</v>
      </c>
      <c r="C24" s="58">
        <v>20</v>
      </c>
      <c r="D24" s="117" t="s">
        <v>615</v>
      </c>
      <c r="E24" s="124" t="s">
        <v>584</v>
      </c>
      <c r="F24" s="124" t="s">
        <v>610</v>
      </c>
      <c r="G24" s="123"/>
      <c r="H24" s="138" t="e">
        <f>VLOOKUP($G24,LookUps!$B$4:$C$19,2)</f>
        <v>#N/A</v>
      </c>
      <c r="I24" s="138" t="str">
        <f>IFERROR(VLOOKUP($G24,LookUps!$B$4:$D$19,3),"")</f>
        <v/>
      </c>
      <c r="J24" s="141" t="str">
        <f t="shared" si="0"/>
        <v/>
      </c>
      <c r="K24" s="105"/>
      <c r="L24" s="120"/>
      <c r="M24" s="120"/>
      <c r="N24" s="269" t="str">
        <f>IF(OR($G24=1,$G24=2,$G24=3,$G24=4,$G24=5,$G24=6),'20k Cross Ref (DSSubject)'!$BU23,"")</f>
        <v/>
      </c>
    </row>
    <row r="25" spans="2:14" s="30" customFormat="1" ht="27.6" x14ac:dyDescent="0.3">
      <c r="B25" s="127" t="s">
        <v>826</v>
      </c>
      <c r="C25" s="58">
        <v>21</v>
      </c>
      <c r="D25" s="117" t="s">
        <v>565</v>
      </c>
      <c r="E25" s="124" t="s">
        <v>581</v>
      </c>
      <c r="F25" s="124" t="s">
        <v>607</v>
      </c>
      <c r="G25" s="123"/>
      <c r="H25" s="138" t="e">
        <f>VLOOKUP($G25,LookUps!$B$4:$C$19,2)</f>
        <v>#N/A</v>
      </c>
      <c r="I25" s="138" t="str">
        <f>IFERROR(VLOOKUP($G25,LookUps!$B$4:$D$19,3),"")</f>
        <v/>
      </c>
      <c r="J25" s="141" t="str">
        <f t="shared" si="0"/>
        <v/>
      </c>
      <c r="K25" s="105"/>
      <c r="L25" s="120"/>
      <c r="M25" s="120"/>
      <c r="N25" s="269" t="str">
        <f>IF(OR($G25=1,$G25=2,$G25=3,$G25=4,$G25=5,$G25=6),'20k Cross Ref (DSSubject)'!$BU24,"")</f>
        <v/>
      </c>
    </row>
    <row r="26" spans="2:14" s="30" customFormat="1" ht="61.2" x14ac:dyDescent="0.3">
      <c r="B26" s="127" t="s">
        <v>826</v>
      </c>
      <c r="C26" s="58">
        <v>22</v>
      </c>
      <c r="D26" s="117" t="s">
        <v>551</v>
      </c>
      <c r="E26" s="124" t="s">
        <v>585</v>
      </c>
      <c r="F26" s="124" t="s">
        <v>611</v>
      </c>
      <c r="G26" s="123"/>
      <c r="H26" s="138" t="e">
        <f>VLOOKUP($G26,LookUps!$B$4:$C$19,2)</f>
        <v>#N/A</v>
      </c>
      <c r="I26" s="138" t="str">
        <f>IFERROR(VLOOKUP($G26,LookUps!$B$4:$D$19,3),"")</f>
        <v/>
      </c>
      <c r="J26" s="141" t="str">
        <f t="shared" si="0"/>
        <v/>
      </c>
      <c r="K26" s="105"/>
      <c r="L26" s="120"/>
      <c r="M26" s="120"/>
      <c r="N26" s="269" t="str">
        <f>IF(OR($G26=1,$G26=2,$G26=3,$G26=4,$G26=5,$G26=6),'20k Cross Ref (DSSubject)'!$BU25,"")</f>
        <v/>
      </c>
    </row>
    <row r="27" spans="2:14" s="30" customFormat="1" ht="81.599999999999994" x14ac:dyDescent="0.3">
      <c r="B27" s="127" t="s">
        <v>661</v>
      </c>
      <c r="C27" s="58">
        <v>23</v>
      </c>
      <c r="D27" s="117" t="s">
        <v>556</v>
      </c>
      <c r="E27" s="124" t="s">
        <v>577</v>
      </c>
      <c r="F27" s="124" t="s">
        <v>603</v>
      </c>
      <c r="G27" s="123"/>
      <c r="H27" s="138" t="e">
        <f>VLOOKUP($G27,LookUps!$B$4:$C$19,2)</f>
        <v>#N/A</v>
      </c>
      <c r="I27" s="138" t="str">
        <f>IFERROR(VLOOKUP($G27,LookUps!$B$4:$D$19,3),"")</f>
        <v/>
      </c>
      <c r="J27" s="141" t="str">
        <f t="shared" si="0"/>
        <v/>
      </c>
      <c r="K27" s="105"/>
      <c r="L27" s="120"/>
      <c r="M27" s="120"/>
      <c r="N27" s="269" t="str">
        <f>IF(OR($G27=1,$G27=2,$G27=3,$G27=4,$G27=5,$G27=6),'20k Cross Ref (DSSubject)'!$BU26,"")</f>
        <v/>
      </c>
    </row>
    <row r="28" spans="2:14" s="30" customFormat="1" ht="102" x14ac:dyDescent="0.3">
      <c r="B28" s="127" t="s">
        <v>661</v>
      </c>
      <c r="C28" s="58">
        <v>24</v>
      </c>
      <c r="D28" s="117" t="s">
        <v>558</v>
      </c>
      <c r="E28" s="124" t="s">
        <v>578</v>
      </c>
      <c r="F28" s="124" t="s">
        <v>604</v>
      </c>
      <c r="G28" s="123"/>
      <c r="H28" s="138" t="e">
        <f>VLOOKUP($G28,LookUps!$B$4:$C$19,2)</f>
        <v>#N/A</v>
      </c>
      <c r="I28" s="138" t="str">
        <f>IFERROR(VLOOKUP($G28,LookUps!$B$4:$D$19,3),"")</f>
        <v/>
      </c>
      <c r="J28" s="141" t="str">
        <f t="shared" si="0"/>
        <v/>
      </c>
      <c r="K28" s="105"/>
      <c r="L28" s="120"/>
      <c r="M28" s="120"/>
      <c r="N28" s="269" t="str">
        <f>IF(OR($G28=1,$G28=2,$G28=3,$G28=4,$G28=5,$G28=6),'20k Cross Ref (DSSubject)'!$BU27,"")</f>
        <v/>
      </c>
    </row>
    <row r="29" spans="2:14" s="30" customFormat="1" ht="40.799999999999997" x14ac:dyDescent="0.3">
      <c r="B29" s="127" t="s">
        <v>661</v>
      </c>
      <c r="C29" s="58">
        <v>25</v>
      </c>
      <c r="D29" s="117" t="s">
        <v>563</v>
      </c>
      <c r="E29" s="124" t="s">
        <v>579</v>
      </c>
      <c r="F29" s="124" t="s">
        <v>605</v>
      </c>
      <c r="G29" s="123"/>
      <c r="H29" s="138" t="e">
        <f>VLOOKUP($G29,LookUps!$B$4:$C$19,2)</f>
        <v>#N/A</v>
      </c>
      <c r="I29" s="138" t="str">
        <f>IFERROR(VLOOKUP($G29,LookUps!$B$4:$D$19,3),"")</f>
        <v/>
      </c>
      <c r="J29" s="141" t="str">
        <f t="shared" si="0"/>
        <v/>
      </c>
      <c r="K29" s="105"/>
      <c r="L29" s="120"/>
      <c r="M29" s="120"/>
      <c r="N29" s="269" t="str">
        <f>IF(OR($G29=1,$G29=2,$G29=3,$G29=4,$G29=5,$G29=6),'20k Cross Ref (DSSubject)'!$BU28,"")</f>
        <v/>
      </c>
    </row>
    <row r="30" spans="2:14" s="30" customFormat="1" ht="27.6" x14ac:dyDescent="0.3">
      <c r="B30" s="127" t="s">
        <v>661</v>
      </c>
      <c r="C30" s="58">
        <v>26</v>
      </c>
      <c r="D30" s="117" t="s">
        <v>559</v>
      </c>
      <c r="E30" s="124" t="s">
        <v>580</v>
      </c>
      <c r="F30" s="124" t="s">
        <v>606</v>
      </c>
      <c r="G30" s="123"/>
      <c r="H30" s="138" t="e">
        <f>VLOOKUP($G30,LookUps!$B$4:$C$19,2)</f>
        <v>#N/A</v>
      </c>
      <c r="I30" s="138" t="str">
        <f>IFERROR(VLOOKUP($G30,LookUps!$B$4:$D$19,3),"")</f>
        <v/>
      </c>
      <c r="J30" s="141" t="str">
        <f t="shared" si="0"/>
        <v/>
      </c>
      <c r="K30" s="105"/>
      <c r="L30" s="120"/>
      <c r="M30" s="120"/>
      <c r="N30" s="269" t="str">
        <f>IF(OR($G30=1,$G30=2,$G30=3,$G30=4,$G30=5,$G30=6),'20k Cross Ref (DSSubject)'!$BU29,"")</f>
        <v/>
      </c>
    </row>
    <row r="31" spans="2:14" s="30" customFormat="1" ht="27.6" x14ac:dyDescent="0.3">
      <c r="B31" s="127" t="s">
        <v>661</v>
      </c>
      <c r="C31" s="58">
        <v>27</v>
      </c>
      <c r="D31" s="117" t="s">
        <v>564</v>
      </c>
      <c r="E31" s="124" t="s">
        <v>581</v>
      </c>
      <c r="F31" s="124" t="s">
        <v>607</v>
      </c>
      <c r="G31" s="123"/>
      <c r="H31" s="138" t="e">
        <f>VLOOKUP($G31,LookUps!$B$4:$C$19,2)</f>
        <v>#N/A</v>
      </c>
      <c r="I31" s="138" t="str">
        <f>IFERROR(VLOOKUP($G31,LookUps!$B$4:$D$19,3),"")</f>
        <v/>
      </c>
      <c r="J31" s="141" t="str">
        <f t="shared" si="0"/>
        <v/>
      </c>
      <c r="K31" s="105"/>
      <c r="L31" s="120"/>
      <c r="M31" s="120"/>
      <c r="N31" s="269" t="str">
        <f>IF(OR($G31=1,$G31=2,$G31=3,$G31=4,$G31=5,$G31=6),'20k Cross Ref (DSSubject)'!$BU30,"")</f>
        <v/>
      </c>
    </row>
    <row r="32" spans="2:14" s="30" customFormat="1" ht="20.399999999999999" x14ac:dyDescent="0.3">
      <c r="B32" s="127" t="s">
        <v>661</v>
      </c>
      <c r="C32" s="58">
        <v>28</v>
      </c>
      <c r="D32" s="117" t="s">
        <v>551</v>
      </c>
      <c r="E32" s="124" t="s">
        <v>582</v>
      </c>
      <c r="F32" s="124" t="s">
        <v>608</v>
      </c>
      <c r="G32" s="123"/>
      <c r="H32" s="138" t="e">
        <f>VLOOKUP($G32,LookUps!$B$4:$C$19,2)</f>
        <v>#N/A</v>
      </c>
      <c r="I32" s="138" t="str">
        <f>IFERROR(VLOOKUP($G32,LookUps!$B$4:$D$19,3),"")</f>
        <v/>
      </c>
      <c r="J32" s="141" t="str">
        <f t="shared" si="0"/>
        <v/>
      </c>
      <c r="K32" s="105"/>
      <c r="L32" s="120"/>
      <c r="M32" s="120"/>
      <c r="N32" s="269" t="str">
        <f>IF(OR($G32=1,$G32=2,$G32=3,$G32=4,$G32=5,$G32=6),'20k Cross Ref (DSSubject)'!$BU31,"")</f>
        <v/>
      </c>
    </row>
    <row r="33" spans="2:14" s="30" customFormat="1" ht="112.2" x14ac:dyDescent="0.3">
      <c r="B33" s="127" t="s">
        <v>831</v>
      </c>
      <c r="C33" s="58">
        <v>29</v>
      </c>
      <c r="D33" s="117" t="s">
        <v>560</v>
      </c>
      <c r="E33" s="124" t="s">
        <v>586</v>
      </c>
      <c r="F33" s="124" t="s">
        <v>612</v>
      </c>
      <c r="G33" s="123"/>
      <c r="H33" s="138" t="e">
        <f>VLOOKUP($G33,LookUps!$B$4:$C$19,2)</f>
        <v>#N/A</v>
      </c>
      <c r="I33" s="138" t="str">
        <f>IFERROR(VLOOKUP($G33,LookUps!$B$4:$D$19,3),"")</f>
        <v/>
      </c>
      <c r="J33" s="141" t="str">
        <f t="shared" si="0"/>
        <v/>
      </c>
      <c r="K33" s="105"/>
      <c r="L33" s="120"/>
      <c r="M33" s="120"/>
      <c r="N33" s="269" t="str">
        <f>IF(OR($G33=1,$G33=2,$G33=3,$G33=4,$G33=5,$G33=6),'20k Cross Ref (DSSubject)'!$BU32,"")</f>
        <v/>
      </c>
    </row>
    <row r="34" spans="2:14" s="30" customFormat="1" ht="132.6" x14ac:dyDescent="0.3">
      <c r="B34" s="127" t="s">
        <v>833</v>
      </c>
      <c r="C34" s="58">
        <v>30</v>
      </c>
      <c r="D34" s="117" t="s">
        <v>561</v>
      </c>
      <c r="E34" s="124" t="s">
        <v>681</v>
      </c>
      <c r="F34" s="124" t="s">
        <v>613</v>
      </c>
      <c r="G34" s="123"/>
      <c r="H34" s="138" t="e">
        <f>VLOOKUP($G34,LookUps!$B$4:$C$19,2)</f>
        <v>#N/A</v>
      </c>
      <c r="I34" s="138" t="str">
        <f>IFERROR(VLOOKUP($G34,LookUps!$B$4:$D$19,3),"")</f>
        <v/>
      </c>
      <c r="J34" s="141" t="str">
        <f t="shared" si="0"/>
        <v/>
      </c>
      <c r="K34" s="105"/>
      <c r="L34" s="120"/>
      <c r="M34" s="120"/>
      <c r="N34" s="269" t="str">
        <f>IF(OR($G34=1,$G34=2,$G34=3,$G34=4,$G34=5,$G34=6),'20k Cross Ref (DSSubject)'!$BU33,"")</f>
        <v/>
      </c>
    </row>
    <row r="35" spans="2:14" s="30" customFormat="1" ht="51" x14ac:dyDescent="0.3">
      <c r="B35" s="127" t="s">
        <v>833</v>
      </c>
      <c r="C35" s="58">
        <v>31</v>
      </c>
      <c r="D35" s="117" t="s">
        <v>562</v>
      </c>
      <c r="E35" s="124" t="s">
        <v>587</v>
      </c>
      <c r="F35" s="124" t="s">
        <v>444</v>
      </c>
      <c r="G35" s="123"/>
      <c r="H35" s="138" t="e">
        <f>VLOOKUP($G35,LookUps!$B$4:$C$19,2)</f>
        <v>#N/A</v>
      </c>
      <c r="I35" s="138" t="str">
        <f>IFERROR(VLOOKUP($G35,LookUps!$B$4:$D$19,3),"")</f>
        <v/>
      </c>
      <c r="J35" s="141" t="str">
        <f t="shared" si="0"/>
        <v/>
      </c>
      <c r="K35" s="105"/>
      <c r="L35" s="120"/>
      <c r="M35" s="120"/>
      <c r="N35" s="269" t="str">
        <f>IF(OR($G35=1,$G35=2,$G35=3,$G35=4,$G35=5,$G35=6),'20k Cross Ref (DSSubject)'!$BU34,"")</f>
        <v/>
      </c>
    </row>
    <row r="36" spans="2:14" s="30" customFormat="1" ht="91.8" x14ac:dyDescent="0.3">
      <c r="B36" s="127" t="s">
        <v>836</v>
      </c>
      <c r="C36" s="58">
        <v>32</v>
      </c>
      <c r="D36" s="117" t="s">
        <v>778</v>
      </c>
      <c r="E36" s="124" t="s">
        <v>774</v>
      </c>
      <c r="F36" s="124" t="s">
        <v>775</v>
      </c>
      <c r="G36" s="249" t="str">
        <f>IFERROR(TRUNC(AVERAGE($G37:$G42),2), "")</f>
        <v/>
      </c>
      <c r="H36" s="247"/>
      <c r="I36" s="248" t="str">
        <f>IFERROR(VLOOKUP($G36,LookUps!$B$4:$D$19,3),"")</f>
        <v/>
      </c>
      <c r="J36" s="242"/>
      <c r="K36" s="250"/>
      <c r="L36" s="250"/>
      <c r="M36" s="250"/>
      <c r="N36" s="251" t="str">
        <f>IF(OR($G36=1,$G36=2,$G36=3,$G36=4,$G36=5,$G36=6),'20k Cross Ref (DSSubject)'!$BU35,"")</f>
        <v/>
      </c>
    </row>
    <row r="37" spans="2:14" s="30" customFormat="1" ht="20.399999999999999" x14ac:dyDescent="0.3">
      <c r="B37" s="127" t="s">
        <v>836</v>
      </c>
      <c r="C37" s="58">
        <v>33</v>
      </c>
      <c r="D37" s="117" t="s">
        <v>776</v>
      </c>
      <c r="E37" s="124" t="s">
        <v>777</v>
      </c>
      <c r="F37" s="124" t="s">
        <v>777</v>
      </c>
      <c r="G37" s="123"/>
      <c r="H37" s="138" t="e">
        <f>VLOOKUP($G37,LookUps!$B$4:$C$19,2)</f>
        <v>#N/A</v>
      </c>
      <c r="I37" s="138" t="str">
        <f>IFERROR(VLOOKUP($G37,LookUps!$B$4:$D$19,3),"")</f>
        <v/>
      </c>
      <c r="J37" s="141" t="str">
        <f t="shared" si="0"/>
        <v/>
      </c>
      <c r="K37" s="105"/>
      <c r="L37" s="120"/>
      <c r="M37" s="120"/>
      <c r="N37" s="269" t="str">
        <f>IF(OR($G37=1,$G37=2,$G37=3,$G37=4,$G37=5,$G37=6),'20k Cross Ref (DSSubject)'!$BU36,"")</f>
        <v/>
      </c>
    </row>
    <row r="38" spans="2:14" s="30" customFormat="1" ht="27.6" x14ac:dyDescent="0.3">
      <c r="B38" s="127" t="s">
        <v>836</v>
      </c>
      <c r="C38" s="58">
        <v>34</v>
      </c>
      <c r="D38" s="117" t="s">
        <v>779</v>
      </c>
      <c r="E38" s="124" t="s">
        <v>777</v>
      </c>
      <c r="F38" s="124" t="s">
        <v>777</v>
      </c>
      <c r="G38" s="123"/>
      <c r="H38" s="138" t="e">
        <f>VLOOKUP($G38,LookUps!$B$4:$C$19,2)</f>
        <v>#N/A</v>
      </c>
      <c r="I38" s="138" t="str">
        <f>IFERROR(VLOOKUP($G38,LookUps!$B$4:$D$19,3),"")</f>
        <v/>
      </c>
      <c r="J38" s="141" t="str">
        <f t="shared" si="0"/>
        <v/>
      </c>
      <c r="K38" s="105"/>
      <c r="L38" s="120"/>
      <c r="M38" s="120"/>
      <c r="N38" s="269" t="str">
        <f>IF(OR($G38=1,$G38=2,$G38=3,$G38=4,$G38=5,$G38=6),'20k Cross Ref (DSSubject)'!$BU37,"")</f>
        <v/>
      </c>
    </row>
    <row r="39" spans="2:14" s="30" customFormat="1" ht="27.6" x14ac:dyDescent="0.3">
      <c r="B39" s="127" t="s">
        <v>836</v>
      </c>
      <c r="C39" s="58">
        <v>35</v>
      </c>
      <c r="D39" s="117" t="s">
        <v>780</v>
      </c>
      <c r="E39" s="124" t="s">
        <v>777</v>
      </c>
      <c r="F39" s="124" t="s">
        <v>777</v>
      </c>
      <c r="G39" s="123"/>
      <c r="H39" s="138" t="e">
        <f>VLOOKUP($G39,LookUps!$B$4:$C$19,2)</f>
        <v>#N/A</v>
      </c>
      <c r="I39" s="138" t="str">
        <f>IFERROR(VLOOKUP($G39,LookUps!$B$4:$D$19,3),"")</f>
        <v/>
      </c>
      <c r="J39" s="141" t="str">
        <f t="shared" si="0"/>
        <v/>
      </c>
      <c r="K39" s="105"/>
      <c r="L39" s="120"/>
      <c r="M39" s="120"/>
      <c r="N39" s="269" t="str">
        <f>IF(OR($G39=1,$G39=2,$G39=3,$G39=4,$G39=5,$G39=6),'20k Cross Ref (DSSubject)'!$BU38,"")</f>
        <v/>
      </c>
    </row>
    <row r="40" spans="2:14" s="30" customFormat="1" ht="27.6" x14ac:dyDescent="0.3">
      <c r="B40" s="127" t="s">
        <v>836</v>
      </c>
      <c r="C40" s="58">
        <v>36</v>
      </c>
      <c r="D40" s="117" t="s">
        <v>781</v>
      </c>
      <c r="E40" s="124" t="s">
        <v>777</v>
      </c>
      <c r="F40" s="124" t="s">
        <v>777</v>
      </c>
      <c r="G40" s="123"/>
      <c r="H40" s="138" t="e">
        <f>VLOOKUP($G40,LookUps!$B$4:$C$19,2)</f>
        <v>#N/A</v>
      </c>
      <c r="I40" s="138" t="str">
        <f>IFERROR(VLOOKUP($G40,LookUps!$B$4:$D$19,3),"")</f>
        <v/>
      </c>
      <c r="J40" s="141" t="str">
        <f t="shared" si="0"/>
        <v/>
      </c>
      <c r="K40" s="105"/>
      <c r="L40" s="120"/>
      <c r="M40" s="120"/>
      <c r="N40" s="269" t="str">
        <f>IF(OR($G40=1,$G40=2,$G40=3,$G40=4,$G40=5,$G40=6),'20k Cross Ref (DSSubject)'!$BU39,"")</f>
        <v/>
      </c>
    </row>
    <row r="41" spans="2:14" s="30" customFormat="1" ht="20.399999999999999" x14ac:dyDescent="0.3">
      <c r="B41" s="127" t="s">
        <v>836</v>
      </c>
      <c r="C41" s="58">
        <v>37</v>
      </c>
      <c r="D41" s="117" t="s">
        <v>782</v>
      </c>
      <c r="E41" s="124" t="s">
        <v>777</v>
      </c>
      <c r="F41" s="124" t="s">
        <v>777</v>
      </c>
      <c r="G41" s="123"/>
      <c r="H41" s="138" t="e">
        <f>VLOOKUP($G41,LookUps!$B$4:$C$19,2)</f>
        <v>#N/A</v>
      </c>
      <c r="I41" s="138" t="str">
        <f>IFERROR(VLOOKUP($G41,LookUps!$B$4:$D$19,3),"")</f>
        <v/>
      </c>
      <c r="J41" s="141" t="str">
        <f t="shared" si="0"/>
        <v/>
      </c>
      <c r="K41" s="105"/>
      <c r="L41" s="120"/>
      <c r="M41" s="120"/>
      <c r="N41" s="269" t="str">
        <f>IF(OR($G41=1,$G41=2,$G41=3,$G41=4,$G41=5,$G41=6),'20k Cross Ref (DSSubject)'!$BU40,"")</f>
        <v/>
      </c>
    </row>
    <row r="42" spans="2:14" s="30" customFormat="1" ht="41.4" x14ac:dyDescent="0.3">
      <c r="B42" s="127" t="s">
        <v>836</v>
      </c>
      <c r="C42" s="58">
        <v>38</v>
      </c>
      <c r="D42" s="117" t="s">
        <v>783</v>
      </c>
      <c r="E42" s="124" t="s">
        <v>777</v>
      </c>
      <c r="F42" s="124" t="s">
        <v>777</v>
      </c>
      <c r="G42" s="123"/>
      <c r="H42" s="138" t="e">
        <f>VLOOKUP($G42,LookUps!$B$4:$C$19,2)</f>
        <v>#N/A</v>
      </c>
      <c r="I42" s="138" t="str">
        <f>IFERROR(VLOOKUP($G42,LookUps!$B$4:$D$19,3),"")</f>
        <v/>
      </c>
      <c r="J42" s="141" t="str">
        <f t="shared" si="0"/>
        <v/>
      </c>
      <c r="K42" s="105"/>
      <c r="L42" s="120"/>
      <c r="M42" s="120"/>
      <c r="N42" s="269" t="str">
        <f>IF(OR($G42=1,$G42=2,$G42=3,$G42=4,$G42=5,$G42=6),'20k Cross Ref (DSSubject)'!$BU41,"")</f>
        <v/>
      </c>
    </row>
    <row r="43" spans="2:14" s="30" customFormat="1" ht="224.4" x14ac:dyDescent="0.3">
      <c r="B43" s="127" t="s">
        <v>837</v>
      </c>
      <c r="C43" s="58">
        <v>39</v>
      </c>
      <c r="D43" s="117" t="s">
        <v>785</v>
      </c>
      <c r="E43" s="124" t="s">
        <v>784</v>
      </c>
      <c r="F43" s="124" t="s">
        <v>775</v>
      </c>
      <c r="G43" s="249" t="str">
        <f>IFERROR(TRUNC(AVERAGE($G44:$G51),2), "")</f>
        <v/>
      </c>
      <c r="H43" s="247"/>
      <c r="I43" s="248" t="str">
        <f>IFERROR(VLOOKUP($G43,LookUps!$B$4:$D$19,3),"")</f>
        <v/>
      </c>
      <c r="J43" s="242"/>
      <c r="K43" s="250"/>
      <c r="L43" s="250"/>
      <c r="M43" s="250"/>
      <c r="N43" s="251" t="str">
        <f>IF(OR($G43=1,$G43=2,$G43=3,$G43=4,$G43=5,$G43=6),'20k Cross Ref (DSSubject)'!$BU42,"")</f>
        <v/>
      </c>
    </row>
    <row r="44" spans="2:14" s="30" customFormat="1" x14ac:dyDescent="0.3">
      <c r="B44" s="127" t="s">
        <v>837</v>
      </c>
      <c r="C44" s="58">
        <v>40</v>
      </c>
      <c r="D44" s="117" t="s">
        <v>786</v>
      </c>
      <c r="E44" s="124" t="s">
        <v>777</v>
      </c>
      <c r="F44" s="124" t="s">
        <v>777</v>
      </c>
      <c r="G44" s="123"/>
      <c r="H44" s="138" t="e">
        <f>VLOOKUP($G44,LookUps!$B$4:$C$19,2)</f>
        <v>#N/A</v>
      </c>
      <c r="I44" s="138" t="str">
        <f>IFERROR(VLOOKUP($G44,LookUps!$B$4:$D$19,3),"")</f>
        <v/>
      </c>
      <c r="J44" s="141" t="str">
        <f t="shared" si="0"/>
        <v/>
      </c>
      <c r="K44" s="105"/>
      <c r="L44" s="120"/>
      <c r="M44" s="120"/>
      <c r="N44" s="269" t="str">
        <f>IF(OR($G44=1,$G44=2,$G44=3,$G44=4,$G44=5,$G44=6),'20k Cross Ref (DSSubject)'!$BU43,"")</f>
        <v/>
      </c>
    </row>
    <row r="45" spans="2:14" s="30" customFormat="1" x14ac:dyDescent="0.3">
      <c r="B45" s="127" t="s">
        <v>837</v>
      </c>
      <c r="C45" s="58">
        <v>41</v>
      </c>
      <c r="D45" s="117" t="s">
        <v>787</v>
      </c>
      <c r="E45" s="124" t="s">
        <v>777</v>
      </c>
      <c r="F45" s="124" t="s">
        <v>777</v>
      </c>
      <c r="G45" s="123"/>
      <c r="H45" s="138" t="e">
        <f>VLOOKUP($G45,LookUps!$B$4:$C$19,2)</f>
        <v>#N/A</v>
      </c>
      <c r="I45" s="138" t="str">
        <f>IFERROR(VLOOKUP($G45,LookUps!$B$4:$D$19,3),"")</f>
        <v/>
      </c>
      <c r="J45" s="141" t="str">
        <f t="shared" si="0"/>
        <v/>
      </c>
      <c r="K45" s="105"/>
      <c r="L45" s="120"/>
      <c r="M45" s="120"/>
      <c r="N45" s="269" t="str">
        <f>IF(OR($G45=1,$G45=2,$G45=3,$G45=4,$G45=5,$G45=6),'20k Cross Ref (DSSubject)'!$BU44,"")</f>
        <v/>
      </c>
    </row>
    <row r="46" spans="2:14" s="30" customFormat="1" x14ac:dyDescent="0.3">
      <c r="B46" s="127" t="s">
        <v>837</v>
      </c>
      <c r="C46" s="58">
        <v>42</v>
      </c>
      <c r="D46" s="117" t="s">
        <v>788</v>
      </c>
      <c r="E46" s="124" t="s">
        <v>777</v>
      </c>
      <c r="F46" s="124" t="s">
        <v>777</v>
      </c>
      <c r="G46" s="123"/>
      <c r="H46" s="138" t="e">
        <f>VLOOKUP($G46,LookUps!$B$4:$C$19,2)</f>
        <v>#N/A</v>
      </c>
      <c r="I46" s="138" t="str">
        <f>IFERROR(VLOOKUP($G46,LookUps!$B$4:$D$19,3),"")</f>
        <v/>
      </c>
      <c r="J46" s="141" t="str">
        <f t="shared" si="0"/>
        <v/>
      </c>
      <c r="K46" s="105"/>
      <c r="L46" s="120"/>
      <c r="M46" s="120"/>
      <c r="N46" s="269" t="str">
        <f>IF(OR($G46=1,$G46=2,$G46=3,$G46=4,$G46=5,$G46=6),'20k Cross Ref (DSSubject)'!$BU45,"")</f>
        <v/>
      </c>
    </row>
    <row r="47" spans="2:14" s="30" customFormat="1" x14ac:dyDescent="0.3">
      <c r="B47" s="127" t="s">
        <v>837</v>
      </c>
      <c r="C47" s="58">
        <v>43</v>
      </c>
      <c r="D47" s="117" t="s">
        <v>789</v>
      </c>
      <c r="E47" s="124" t="s">
        <v>777</v>
      </c>
      <c r="F47" s="124" t="s">
        <v>777</v>
      </c>
      <c r="G47" s="123"/>
      <c r="H47" s="138" t="e">
        <f>VLOOKUP($G47,LookUps!$B$4:$C$19,2)</f>
        <v>#N/A</v>
      </c>
      <c r="I47" s="138" t="str">
        <f>IFERROR(VLOOKUP($G47,LookUps!$B$4:$D$19,3),"")</f>
        <v/>
      </c>
      <c r="J47" s="141" t="str">
        <f t="shared" si="0"/>
        <v/>
      </c>
      <c r="K47" s="105"/>
      <c r="L47" s="120"/>
      <c r="M47" s="120"/>
      <c r="N47" s="269" t="str">
        <f>IF(OR($G47=1,$G47=2,$G47=3,$G47=4,$G47=5,$G47=6),'20k Cross Ref (DSSubject)'!$BU46,"")</f>
        <v/>
      </c>
    </row>
    <row r="48" spans="2:14" s="30" customFormat="1" x14ac:dyDescent="0.3">
      <c r="B48" s="127" t="s">
        <v>837</v>
      </c>
      <c r="C48" s="58">
        <v>44</v>
      </c>
      <c r="D48" s="117" t="s">
        <v>790</v>
      </c>
      <c r="E48" s="124" t="s">
        <v>777</v>
      </c>
      <c r="F48" s="124" t="s">
        <v>777</v>
      </c>
      <c r="G48" s="123"/>
      <c r="H48" s="138" t="e">
        <f>VLOOKUP($G48,LookUps!$B$4:$C$19,2)</f>
        <v>#N/A</v>
      </c>
      <c r="I48" s="138" t="str">
        <f>IFERROR(VLOOKUP($G48,LookUps!$B$4:$D$19,3),"")</f>
        <v/>
      </c>
      <c r="J48" s="141" t="str">
        <f t="shared" si="0"/>
        <v/>
      </c>
      <c r="K48" s="105"/>
      <c r="L48" s="120"/>
      <c r="M48" s="120"/>
      <c r="N48" s="269" t="str">
        <f>IF(OR($G48=1,$G48=2,$G48=3,$G48=4,$G48=5,$G48=6),'20k Cross Ref (DSSubject)'!$BU47,"")</f>
        <v/>
      </c>
    </row>
    <row r="49" spans="2:14" s="30" customFormat="1" x14ac:dyDescent="0.3">
      <c r="B49" s="127" t="s">
        <v>837</v>
      </c>
      <c r="C49" s="58">
        <v>45</v>
      </c>
      <c r="D49" s="117" t="s">
        <v>701</v>
      </c>
      <c r="E49" s="124" t="s">
        <v>777</v>
      </c>
      <c r="F49" s="124" t="s">
        <v>777</v>
      </c>
      <c r="G49" s="123"/>
      <c r="H49" s="138" t="e">
        <f>VLOOKUP($G49,LookUps!$B$4:$C$19,2)</f>
        <v>#N/A</v>
      </c>
      <c r="I49" s="138" t="str">
        <f>IFERROR(VLOOKUP($G49,LookUps!$B$4:$D$19,3),"")</f>
        <v/>
      </c>
      <c r="J49" s="141" t="str">
        <f t="shared" si="0"/>
        <v/>
      </c>
      <c r="K49" s="105"/>
      <c r="L49" s="120"/>
      <c r="M49" s="120"/>
      <c r="N49" s="269" t="str">
        <f>IF(OR($G49=1,$G49=2,$G49=3,$G49=4,$G49=5,$G49=6),'20k Cross Ref (DSSubject)'!$BU48,"")</f>
        <v/>
      </c>
    </row>
    <row r="50" spans="2:14" s="30" customFormat="1" ht="41.4" x14ac:dyDescent="0.3">
      <c r="B50" s="127" t="s">
        <v>837</v>
      </c>
      <c r="C50" s="58">
        <v>46</v>
      </c>
      <c r="D50" s="117" t="s">
        <v>791</v>
      </c>
      <c r="E50" s="124" t="s">
        <v>777</v>
      </c>
      <c r="F50" s="124" t="s">
        <v>777</v>
      </c>
      <c r="G50" s="123"/>
      <c r="H50" s="138" t="e">
        <f>VLOOKUP($G50,LookUps!$B$4:$C$19,2)</f>
        <v>#N/A</v>
      </c>
      <c r="I50" s="138" t="str">
        <f>IFERROR(VLOOKUP($G50,LookUps!$B$4:$D$19,3),"")</f>
        <v/>
      </c>
      <c r="J50" s="141" t="str">
        <f t="shared" si="0"/>
        <v/>
      </c>
      <c r="K50" s="105"/>
      <c r="L50" s="120"/>
      <c r="M50" s="120"/>
      <c r="N50" s="269" t="str">
        <f>IF(OR($G50=1,$G50=2,$G50=3,$G50=4,$G50=5,$G50=6),'20k Cross Ref (DSSubject)'!$BU49,"")</f>
        <v/>
      </c>
    </row>
    <row r="51" spans="2:14" s="30" customFormat="1" ht="41.4" x14ac:dyDescent="0.3">
      <c r="B51" s="127" t="s">
        <v>837</v>
      </c>
      <c r="C51" s="58">
        <v>47</v>
      </c>
      <c r="D51" s="117" t="s">
        <v>792</v>
      </c>
      <c r="E51" s="124" t="s">
        <v>777</v>
      </c>
      <c r="F51" s="124" t="s">
        <v>777</v>
      </c>
      <c r="G51" s="123"/>
      <c r="H51" s="138" t="e">
        <f>VLOOKUP($G51,LookUps!$B$4:$C$19,2)</f>
        <v>#N/A</v>
      </c>
      <c r="I51" s="138" t="str">
        <f>IFERROR(VLOOKUP($G51,LookUps!$B$4:$D$19,3),"")</f>
        <v/>
      </c>
      <c r="J51" s="141" t="str">
        <f t="shared" si="0"/>
        <v/>
      </c>
      <c r="K51" s="105"/>
      <c r="L51" s="120"/>
      <c r="M51" s="120"/>
      <c r="N51" s="269" t="str">
        <f>IF(OR($G51=1,$G51=2,$G51=3,$G51=4,$G51=5,$G51=6),'20k Cross Ref (DSSubject)'!$BU50,"")</f>
        <v/>
      </c>
    </row>
    <row r="52" spans="2:14" s="30" customFormat="1" ht="112.2" x14ac:dyDescent="0.3">
      <c r="B52" s="127" t="s">
        <v>838</v>
      </c>
      <c r="C52" s="58">
        <v>48</v>
      </c>
      <c r="D52" s="117" t="s">
        <v>793</v>
      </c>
      <c r="E52" s="124" t="s">
        <v>820</v>
      </c>
      <c r="F52" s="124" t="s">
        <v>775</v>
      </c>
      <c r="G52" s="249" t="str">
        <f>IFERROR(TRUNC(AVERAGE($G53:$G58),2), "")</f>
        <v/>
      </c>
      <c r="H52" s="247"/>
      <c r="I52" s="248" t="str">
        <f>IFERROR(VLOOKUP($G52,LookUps!$B$4:$D$19,3),"")</f>
        <v/>
      </c>
      <c r="J52" s="242"/>
      <c r="K52" s="250"/>
      <c r="L52" s="250"/>
      <c r="M52" s="250"/>
      <c r="N52" s="251" t="str">
        <f>IF(OR($G52=1,$G52=2,$G52=3,$G52=4,$G52=5,$G52=6),'20k Cross Ref (DSSubject)'!$BU51,"")</f>
        <v/>
      </c>
    </row>
    <row r="53" spans="2:14" s="30" customFormat="1" ht="20.399999999999999" x14ac:dyDescent="0.3">
      <c r="B53" s="127" t="s">
        <v>838</v>
      </c>
      <c r="C53" s="58">
        <v>49</v>
      </c>
      <c r="D53" s="117" t="s">
        <v>794</v>
      </c>
      <c r="E53" s="124" t="s">
        <v>777</v>
      </c>
      <c r="F53" s="124" t="s">
        <v>777</v>
      </c>
      <c r="G53" s="123"/>
      <c r="H53" s="138" t="e">
        <f>VLOOKUP($G53,LookUps!$B$4:$C$19,2)</f>
        <v>#N/A</v>
      </c>
      <c r="I53" s="138" t="str">
        <f>IFERROR(VLOOKUP($G53,LookUps!$B$4:$D$19,3),"")</f>
        <v/>
      </c>
      <c r="J53" s="141" t="str">
        <f t="shared" si="0"/>
        <v/>
      </c>
      <c r="K53" s="105"/>
      <c r="L53" s="120"/>
      <c r="M53" s="120"/>
      <c r="N53" s="269" t="str">
        <f>IF(OR($G53=1,$G53=2,$G53=3,$G53=4,$G53=5,$G53=6),'20k Cross Ref (DSSubject)'!$BU52,"")</f>
        <v/>
      </c>
    </row>
    <row r="54" spans="2:14" s="30" customFormat="1" ht="20.399999999999999" x14ac:dyDescent="0.3">
      <c r="B54" s="127" t="s">
        <v>838</v>
      </c>
      <c r="C54" s="58">
        <v>50</v>
      </c>
      <c r="D54" s="117" t="s">
        <v>795</v>
      </c>
      <c r="E54" s="124" t="s">
        <v>777</v>
      </c>
      <c r="F54" s="124" t="s">
        <v>777</v>
      </c>
      <c r="G54" s="123"/>
      <c r="H54" s="138" t="e">
        <f>VLOOKUP($G54,LookUps!$B$4:$C$19,2)</f>
        <v>#N/A</v>
      </c>
      <c r="I54" s="138" t="str">
        <f>IFERROR(VLOOKUP($G54,LookUps!$B$4:$D$19,3),"")</f>
        <v/>
      </c>
      <c r="J54" s="141" t="str">
        <f t="shared" si="0"/>
        <v/>
      </c>
      <c r="K54" s="105"/>
      <c r="L54" s="120"/>
      <c r="M54" s="120"/>
      <c r="N54" s="269" t="str">
        <f>IF(OR($G54=1,$G54=2,$G54=3,$G54=4,$G54=5,$G54=6),'20k Cross Ref (DSSubject)'!$BU53,"")</f>
        <v/>
      </c>
    </row>
    <row r="55" spans="2:14" s="30" customFormat="1" ht="20.399999999999999" x14ac:dyDescent="0.3">
      <c r="B55" s="127" t="s">
        <v>838</v>
      </c>
      <c r="C55" s="58">
        <v>51</v>
      </c>
      <c r="D55" s="117" t="s">
        <v>796</v>
      </c>
      <c r="E55" s="124" t="s">
        <v>777</v>
      </c>
      <c r="F55" s="124" t="s">
        <v>777</v>
      </c>
      <c r="G55" s="123"/>
      <c r="H55" s="138" t="e">
        <f>VLOOKUP($G55,LookUps!$B$4:$C$19,2)</f>
        <v>#N/A</v>
      </c>
      <c r="I55" s="138" t="str">
        <f>IFERROR(VLOOKUP($G55,LookUps!$B$4:$D$19,3),"")</f>
        <v/>
      </c>
      <c r="J55" s="141" t="str">
        <f t="shared" si="0"/>
        <v/>
      </c>
      <c r="K55" s="105"/>
      <c r="L55" s="120"/>
      <c r="M55" s="120"/>
      <c r="N55" s="269" t="str">
        <f>IF(OR($G55=1,$G55=2,$G55=3,$G55=4,$G55=5,$G55=6),'20k Cross Ref (DSSubject)'!$BU54,"")</f>
        <v/>
      </c>
    </row>
    <row r="56" spans="2:14" s="30" customFormat="1" ht="20.399999999999999" x14ac:dyDescent="0.3">
      <c r="B56" s="127" t="s">
        <v>838</v>
      </c>
      <c r="C56" s="58">
        <v>52</v>
      </c>
      <c r="D56" s="117" t="s">
        <v>797</v>
      </c>
      <c r="E56" s="124" t="s">
        <v>777</v>
      </c>
      <c r="F56" s="124" t="s">
        <v>777</v>
      </c>
      <c r="G56" s="123"/>
      <c r="H56" s="138" t="e">
        <f>VLOOKUP($G56,LookUps!$B$4:$C$19,2)</f>
        <v>#N/A</v>
      </c>
      <c r="I56" s="138" t="str">
        <f>IFERROR(VLOOKUP($G56,LookUps!$B$4:$D$19,3),"")</f>
        <v/>
      </c>
      <c r="J56" s="141" t="str">
        <f t="shared" si="0"/>
        <v/>
      </c>
      <c r="K56" s="105"/>
      <c r="L56" s="120"/>
      <c r="M56" s="120"/>
      <c r="N56" s="269" t="str">
        <f>IF(OR($G56=1,$G56=2,$G56=3,$G56=4,$G56=5,$G56=6),'20k Cross Ref (DSSubject)'!$BU55,"")</f>
        <v/>
      </c>
    </row>
    <row r="57" spans="2:14" s="30" customFormat="1" ht="27.6" x14ac:dyDescent="0.3">
      <c r="B57" s="127" t="s">
        <v>838</v>
      </c>
      <c r="C57" s="58">
        <v>53</v>
      </c>
      <c r="D57" s="117" t="s">
        <v>798</v>
      </c>
      <c r="E57" s="124" t="s">
        <v>777</v>
      </c>
      <c r="F57" s="124" t="s">
        <v>777</v>
      </c>
      <c r="G57" s="123"/>
      <c r="H57" s="138" t="e">
        <f>VLOOKUP($G57,LookUps!$B$4:$C$19,2)</f>
        <v>#N/A</v>
      </c>
      <c r="I57" s="138" t="str">
        <f>IFERROR(VLOOKUP($G57,LookUps!$B$4:$D$19,3),"")</f>
        <v/>
      </c>
      <c r="J57" s="141" t="str">
        <f t="shared" si="0"/>
        <v/>
      </c>
      <c r="K57" s="105"/>
      <c r="L57" s="120"/>
      <c r="M57" s="120"/>
      <c r="N57" s="269" t="str">
        <f>IF(OR($G57=1,$G57=2,$G57=3,$G57=4,$G57=5,$G57=6),'20k Cross Ref (DSSubject)'!$BU56,"")</f>
        <v/>
      </c>
    </row>
    <row r="58" spans="2:14" s="30" customFormat="1" ht="27.6" x14ac:dyDescent="0.3">
      <c r="B58" s="127" t="s">
        <v>838</v>
      </c>
      <c r="C58" s="58">
        <v>54</v>
      </c>
      <c r="D58" s="117" t="s">
        <v>799</v>
      </c>
      <c r="E58" s="124" t="s">
        <v>777</v>
      </c>
      <c r="F58" s="124" t="s">
        <v>777</v>
      </c>
      <c r="G58" s="123"/>
      <c r="H58" s="138" t="e">
        <f>VLOOKUP($G58,LookUps!$B$4:$C$19,2)</f>
        <v>#N/A</v>
      </c>
      <c r="I58" s="138" t="str">
        <f>IFERROR(VLOOKUP($G58,LookUps!$B$4:$D$19,3),"")</f>
        <v/>
      </c>
      <c r="J58" s="141" t="str">
        <f t="shared" si="0"/>
        <v/>
      </c>
      <c r="K58" s="105"/>
      <c r="L58" s="120"/>
      <c r="M58" s="120"/>
      <c r="N58" s="269" t="str">
        <f>IF(OR($G58=1,$G58=2,$G58=3,$G58=4,$G58=5,$G58=6),'20k Cross Ref (DSSubject)'!$BU57,"")</f>
        <v/>
      </c>
    </row>
    <row r="59" spans="2:14" s="30" customFormat="1" ht="91.8" x14ac:dyDescent="0.3">
      <c r="B59" s="127" t="s">
        <v>839</v>
      </c>
      <c r="C59" s="58">
        <v>55</v>
      </c>
      <c r="D59" s="117" t="s">
        <v>800</v>
      </c>
      <c r="E59" s="124" t="s">
        <v>801</v>
      </c>
      <c r="F59" s="124" t="s">
        <v>775</v>
      </c>
      <c r="G59" s="249" t="str">
        <f>IFERROR(TRUNC(AVERAGE($G60:$G62),2), "")</f>
        <v/>
      </c>
      <c r="H59" s="247"/>
      <c r="I59" s="248" t="str">
        <f>IFERROR(VLOOKUP($G59,LookUps!$B$4:$D$19,3),"")</f>
        <v/>
      </c>
      <c r="J59" s="242"/>
      <c r="K59" s="250"/>
      <c r="L59" s="250"/>
      <c r="M59" s="250"/>
      <c r="N59" s="251" t="str">
        <f>IF(OR($G59=1,$G59=2,$G59=3,$G59=4,$G59=5,$G59=6),'20k Cross Ref (DSSubject)'!$BU58,"")</f>
        <v/>
      </c>
    </row>
    <row r="60" spans="2:14" s="30" customFormat="1" x14ac:dyDescent="0.3">
      <c r="B60" s="127" t="s">
        <v>839</v>
      </c>
      <c r="C60" s="58">
        <v>56</v>
      </c>
      <c r="D60" s="117" t="s">
        <v>802</v>
      </c>
      <c r="E60" s="124" t="s">
        <v>777</v>
      </c>
      <c r="F60" s="124" t="s">
        <v>777</v>
      </c>
      <c r="G60" s="123"/>
      <c r="H60" s="138" t="e">
        <f>VLOOKUP($G60,LookUps!$B$4:$C$19,2)</f>
        <v>#N/A</v>
      </c>
      <c r="I60" s="138" t="str">
        <f>IFERROR(VLOOKUP($G60,LookUps!$B$4:$D$19,3),"")</f>
        <v/>
      </c>
      <c r="J60" s="141" t="str">
        <f t="shared" si="0"/>
        <v/>
      </c>
      <c r="K60" s="105"/>
      <c r="L60" s="120"/>
      <c r="M60" s="120"/>
      <c r="N60" s="269" t="str">
        <f>IF(OR($G60=1,$G60=2,$G60=3,$G60=4,$G60=5,$G60=6),'20k Cross Ref (DSSubject)'!$BU59,"")</f>
        <v/>
      </c>
    </row>
    <row r="61" spans="2:14" s="30" customFormat="1" x14ac:dyDescent="0.3">
      <c r="B61" s="127" t="s">
        <v>839</v>
      </c>
      <c r="C61" s="58">
        <v>57</v>
      </c>
      <c r="D61" s="117" t="s">
        <v>803</v>
      </c>
      <c r="E61" s="124" t="s">
        <v>777</v>
      </c>
      <c r="F61" s="124" t="s">
        <v>777</v>
      </c>
      <c r="G61" s="123"/>
      <c r="H61" s="138" t="e">
        <f>VLOOKUP($G61,LookUps!$B$4:$C$19,2)</f>
        <v>#N/A</v>
      </c>
      <c r="I61" s="138" t="str">
        <f>IFERROR(VLOOKUP($G61,LookUps!$B$4:$D$19,3),"")</f>
        <v/>
      </c>
      <c r="J61" s="141" t="str">
        <f t="shared" si="0"/>
        <v/>
      </c>
      <c r="K61" s="105"/>
      <c r="L61" s="120"/>
      <c r="M61" s="120"/>
      <c r="N61" s="269" t="str">
        <f>IF(OR($G61=1,$G61=2,$G61=3,$G61=4,$G61=5,$G61=6),'20k Cross Ref (DSSubject)'!$BU60,"")</f>
        <v/>
      </c>
    </row>
    <row r="62" spans="2:14" s="30" customFormat="1" x14ac:dyDescent="0.3">
      <c r="B62" s="127" t="s">
        <v>839</v>
      </c>
      <c r="C62" s="58">
        <v>58</v>
      </c>
      <c r="D62" s="117" t="s">
        <v>804</v>
      </c>
      <c r="E62" s="124" t="s">
        <v>777</v>
      </c>
      <c r="F62" s="124" t="s">
        <v>777</v>
      </c>
      <c r="G62" s="123"/>
      <c r="H62" s="138" t="e">
        <f>VLOOKUP($G62,LookUps!$B$4:$C$19,2)</f>
        <v>#N/A</v>
      </c>
      <c r="I62" s="138" t="str">
        <f>IFERROR(VLOOKUP($G62,LookUps!$B$4:$D$19,3),"")</f>
        <v/>
      </c>
      <c r="J62" s="141" t="str">
        <f t="shared" si="0"/>
        <v/>
      </c>
      <c r="K62" s="105"/>
      <c r="L62" s="120"/>
      <c r="M62" s="120"/>
      <c r="N62" s="269" t="str">
        <f>IF(OR($G62=1,$G62=2,$G62=3,$G62=4,$G62=5,$G62=6),'20k Cross Ref (DSSubject)'!$BU61,"")</f>
        <v/>
      </c>
    </row>
    <row r="63" spans="2:14" s="30" customFormat="1" ht="142.80000000000001" x14ac:dyDescent="0.3">
      <c r="B63" s="127" t="s">
        <v>827</v>
      </c>
      <c r="C63" s="58">
        <v>59</v>
      </c>
      <c r="D63" s="117" t="s">
        <v>810</v>
      </c>
      <c r="E63" s="124" t="s">
        <v>809</v>
      </c>
      <c r="F63" s="124" t="s">
        <v>775</v>
      </c>
      <c r="G63" s="249" t="str">
        <f>IFERROR(TRUNC(AVERAGE($G64:$G65),2), "")</f>
        <v/>
      </c>
      <c r="H63" s="247"/>
      <c r="I63" s="248" t="str">
        <f>IFERROR(VLOOKUP($G63,LookUps!$B$4:$D$19,3),"")</f>
        <v/>
      </c>
      <c r="J63" s="242"/>
      <c r="K63" s="250"/>
      <c r="L63" s="250"/>
      <c r="M63" s="250"/>
      <c r="N63" s="251" t="str">
        <f>IF(OR($G63=1,$G63=2,$G63=3,$G63=4,$G63=5,$G63=6),'20k Cross Ref (DSSubject)'!$BU62,"")</f>
        <v/>
      </c>
    </row>
    <row r="64" spans="2:14" s="30" customFormat="1" x14ac:dyDescent="0.3">
      <c r="B64" s="127" t="s">
        <v>827</v>
      </c>
      <c r="C64" s="58">
        <v>60</v>
      </c>
      <c r="D64" s="117" t="s">
        <v>811</v>
      </c>
      <c r="E64" s="124" t="s">
        <v>777</v>
      </c>
      <c r="F64" s="124" t="s">
        <v>777</v>
      </c>
      <c r="G64" s="123"/>
      <c r="H64" s="138" t="e">
        <f>VLOOKUP($G64,LookUps!$B$4:$C$19,2)</f>
        <v>#N/A</v>
      </c>
      <c r="I64" s="138" t="str">
        <f>IFERROR(VLOOKUP($G64,LookUps!$B$4:$D$19,3),"")</f>
        <v/>
      </c>
      <c r="J64" s="141" t="str">
        <f t="shared" si="0"/>
        <v/>
      </c>
      <c r="K64" s="105"/>
      <c r="L64" s="120"/>
      <c r="M64" s="120"/>
      <c r="N64" s="269" t="str">
        <f>IF(OR($G64=1,$G64=2,$G64=3,$G64=4,$G64=5,$G64=6),'20k Cross Ref (DSSubject)'!$BU63,"")</f>
        <v/>
      </c>
    </row>
    <row r="65" spans="2:14" s="30" customFormat="1" x14ac:dyDescent="0.3">
      <c r="B65" s="127" t="s">
        <v>827</v>
      </c>
      <c r="C65" s="58">
        <v>61</v>
      </c>
      <c r="D65" s="117" t="s">
        <v>812</v>
      </c>
      <c r="E65" s="124" t="s">
        <v>777</v>
      </c>
      <c r="F65" s="124" t="s">
        <v>777</v>
      </c>
      <c r="G65" s="123"/>
      <c r="H65" s="138" t="e">
        <f>VLOOKUP($G65,LookUps!$B$4:$C$19,2)</f>
        <v>#N/A</v>
      </c>
      <c r="I65" s="138" t="str">
        <f>IFERROR(VLOOKUP($G65,LookUps!$B$4:$D$19,3),"")</f>
        <v/>
      </c>
      <c r="J65" s="141" t="str">
        <f t="shared" si="0"/>
        <v/>
      </c>
      <c r="K65" s="105"/>
      <c r="L65" s="120"/>
      <c r="M65" s="120"/>
      <c r="N65" s="269" t="str">
        <f>IF(OR($G65=1,$G65=2,$G65=3,$G65=4,$G65=5,$G65=6),'20k Cross Ref (DSSubject)'!$BU64,"")</f>
        <v/>
      </c>
    </row>
    <row r="66" spans="2:14" s="30" customFormat="1" ht="91.8" x14ac:dyDescent="0.3">
      <c r="B66" s="127" t="s">
        <v>828</v>
      </c>
      <c r="C66" s="58">
        <v>62</v>
      </c>
      <c r="D66" s="117" t="s">
        <v>814</v>
      </c>
      <c r="E66" s="124" t="s">
        <v>813</v>
      </c>
      <c r="F66" s="124" t="s">
        <v>775</v>
      </c>
      <c r="G66" s="249" t="str">
        <f>IFERROR(TRUNC(AVERAGE($G67:$G72),2), "")</f>
        <v/>
      </c>
      <c r="H66" s="247"/>
      <c r="I66" s="248" t="str">
        <f>IFERROR(VLOOKUP($G66,LookUps!$B$4:$D$19,3),"")</f>
        <v/>
      </c>
      <c r="J66" s="242"/>
      <c r="K66" s="250"/>
      <c r="L66" s="250"/>
      <c r="M66" s="250"/>
      <c r="N66" s="251" t="str">
        <f>IF(OR($G66=1,$G66=2,$G66=3,$G66=4,$G66=5,$G66=6),'20k Cross Ref (DSSubject)'!$BU65,"")</f>
        <v/>
      </c>
    </row>
    <row r="67" spans="2:14" s="30" customFormat="1" ht="20.399999999999999" x14ac:dyDescent="0.3">
      <c r="B67" s="127" t="s">
        <v>828</v>
      </c>
      <c r="C67" s="58">
        <v>63</v>
      </c>
      <c r="D67" s="117" t="s">
        <v>786</v>
      </c>
      <c r="E67" s="124" t="s">
        <v>777</v>
      </c>
      <c r="F67" s="124" t="s">
        <v>777</v>
      </c>
      <c r="G67" s="123"/>
      <c r="H67" s="138" t="e">
        <f>VLOOKUP($G67,LookUps!$B$4:$C$19,2)</f>
        <v>#N/A</v>
      </c>
      <c r="I67" s="138" t="str">
        <f>IFERROR(VLOOKUP($G67,LookUps!$B$4:$D$19,3),"")</f>
        <v/>
      </c>
      <c r="J67" s="141" t="str">
        <f t="shared" ref="J67:J100" si="1">IF($G67=1,1,IF($G67=2,1,IF($G67=3,1,IF($G67=4,2,IF($G67=5,2,IF($G67=6,2,IF($G67=7,3,IF($G67=8,3,IF($G67=9,3,IF($G67=10,4,IF($G67=11,4,IF($G67=12,4,IF($G67=13,5,IF($G67=14,5,IF($G67=15,5,"")))))))))))))))</f>
        <v/>
      </c>
      <c r="K67" s="105"/>
      <c r="L67" s="120"/>
      <c r="M67" s="120"/>
      <c r="N67" s="269" t="str">
        <f>IF(OR($G67=1,$G67=2,$G67=3,$G67=4,$G67=5,$G67=6),'20k Cross Ref (DSSubject)'!$BU66,"")</f>
        <v/>
      </c>
    </row>
    <row r="68" spans="2:14" s="30" customFormat="1" ht="20.399999999999999" x14ac:dyDescent="0.3">
      <c r="B68" s="127" t="s">
        <v>828</v>
      </c>
      <c r="C68" s="58">
        <v>64</v>
      </c>
      <c r="D68" s="117" t="s">
        <v>787</v>
      </c>
      <c r="E68" s="124" t="s">
        <v>777</v>
      </c>
      <c r="F68" s="124" t="s">
        <v>777</v>
      </c>
      <c r="G68" s="123"/>
      <c r="H68" s="138" t="e">
        <f>VLOOKUP($G68,LookUps!$B$4:$C$19,2)</f>
        <v>#N/A</v>
      </c>
      <c r="I68" s="138" t="str">
        <f>IFERROR(VLOOKUP($G68,LookUps!$B$4:$D$19,3),"")</f>
        <v/>
      </c>
      <c r="J68" s="141" t="str">
        <f t="shared" si="1"/>
        <v/>
      </c>
      <c r="K68" s="105"/>
      <c r="L68" s="120"/>
      <c r="M68" s="120"/>
      <c r="N68" s="269" t="str">
        <f>IF(OR($G68=1,$G68=2,$G68=3,$G68=4,$G68=5,$G68=6),'20k Cross Ref (DSSubject)'!$BU67,"")</f>
        <v/>
      </c>
    </row>
    <row r="69" spans="2:14" s="30" customFormat="1" ht="20.399999999999999" x14ac:dyDescent="0.3">
      <c r="B69" s="127" t="s">
        <v>828</v>
      </c>
      <c r="C69" s="58">
        <v>65</v>
      </c>
      <c r="D69" s="117" t="s">
        <v>789</v>
      </c>
      <c r="E69" s="124" t="s">
        <v>777</v>
      </c>
      <c r="F69" s="124" t="s">
        <v>777</v>
      </c>
      <c r="G69" s="123"/>
      <c r="H69" s="138" t="e">
        <f>VLOOKUP($G69,LookUps!$B$4:$C$19,2)</f>
        <v>#N/A</v>
      </c>
      <c r="I69" s="138" t="str">
        <f>IFERROR(VLOOKUP($G69,LookUps!$B$4:$D$19,3),"")</f>
        <v/>
      </c>
      <c r="J69" s="141" t="str">
        <f t="shared" si="1"/>
        <v/>
      </c>
      <c r="K69" s="105"/>
      <c r="L69" s="120"/>
      <c r="M69" s="120"/>
      <c r="N69" s="269" t="str">
        <f>IF(OR($G69=1,$G69=2,$G69=3,$G69=4,$G69=5,$G69=6),'20k Cross Ref (DSSubject)'!$BU68,"")</f>
        <v/>
      </c>
    </row>
    <row r="70" spans="2:14" s="30" customFormat="1" ht="20.399999999999999" x14ac:dyDescent="0.3">
      <c r="B70" s="127" t="s">
        <v>828</v>
      </c>
      <c r="C70" s="58">
        <v>66</v>
      </c>
      <c r="D70" s="117" t="s">
        <v>790</v>
      </c>
      <c r="E70" s="124" t="s">
        <v>777</v>
      </c>
      <c r="F70" s="124" t="s">
        <v>777</v>
      </c>
      <c r="G70" s="123"/>
      <c r="H70" s="138" t="e">
        <f>VLOOKUP($G70,LookUps!$B$4:$C$19,2)</f>
        <v>#N/A</v>
      </c>
      <c r="I70" s="138" t="str">
        <f>IFERROR(VLOOKUP($G70,LookUps!$B$4:$D$19,3),"")</f>
        <v/>
      </c>
      <c r="J70" s="141" t="str">
        <f t="shared" si="1"/>
        <v/>
      </c>
      <c r="K70" s="105"/>
      <c r="L70" s="120"/>
      <c r="M70" s="120"/>
      <c r="N70" s="269" t="str">
        <f>IF(OR($G70=1,$G70=2,$G70=3,$G70=4,$G70=5,$G70=6),'20k Cross Ref (DSSubject)'!$BU69,"")</f>
        <v/>
      </c>
    </row>
    <row r="71" spans="2:14" s="30" customFormat="1" ht="27.6" x14ac:dyDescent="0.3">
      <c r="B71" s="127" t="s">
        <v>828</v>
      </c>
      <c r="C71" s="58">
        <v>67</v>
      </c>
      <c r="D71" s="117" t="s">
        <v>815</v>
      </c>
      <c r="E71" s="124" t="s">
        <v>777</v>
      </c>
      <c r="F71" s="124" t="s">
        <v>777</v>
      </c>
      <c r="G71" s="123"/>
      <c r="H71" s="138" t="e">
        <f>VLOOKUP($G71,LookUps!$B$4:$C$19,2)</f>
        <v>#N/A</v>
      </c>
      <c r="I71" s="138" t="str">
        <f>IFERROR(VLOOKUP($G71,LookUps!$B$4:$D$19,3),"")</f>
        <v/>
      </c>
      <c r="J71" s="141" t="str">
        <f t="shared" si="1"/>
        <v/>
      </c>
      <c r="K71" s="105"/>
      <c r="L71" s="120"/>
      <c r="M71" s="120"/>
      <c r="N71" s="269" t="str">
        <f>IF(OR($G71=1,$G71=2,$G71=3,$G71=4,$G71=5,$G71=6),'20k Cross Ref (DSSubject)'!$BU70,"")</f>
        <v/>
      </c>
    </row>
    <row r="72" spans="2:14" s="30" customFormat="1" ht="55.2" x14ac:dyDescent="0.3">
      <c r="B72" s="127" t="s">
        <v>828</v>
      </c>
      <c r="C72" s="58">
        <v>68</v>
      </c>
      <c r="D72" s="117" t="s">
        <v>816</v>
      </c>
      <c r="E72" s="124" t="s">
        <v>777</v>
      </c>
      <c r="F72" s="124" t="s">
        <v>777</v>
      </c>
      <c r="G72" s="123"/>
      <c r="H72" s="138" t="e">
        <f>VLOOKUP($G72,LookUps!$B$4:$C$19,2)</f>
        <v>#N/A</v>
      </c>
      <c r="I72" s="138" t="str">
        <f>IFERROR(VLOOKUP($G72,LookUps!$B$4:$D$19,3),"")</f>
        <v/>
      </c>
      <c r="J72" s="141" t="str">
        <f t="shared" si="1"/>
        <v/>
      </c>
      <c r="K72" s="105"/>
      <c r="L72" s="120"/>
      <c r="M72" s="120"/>
      <c r="N72" s="269" t="str">
        <f>IF(OR($G72=1,$G72=2,$G72=3,$G72=4,$G72=5,$G72=6),'20k Cross Ref (DSSubject)'!$BU71,"")</f>
        <v/>
      </c>
    </row>
    <row r="73" spans="2:14" s="30" customFormat="1" ht="132.6" x14ac:dyDescent="0.3">
      <c r="B73" s="127" t="s">
        <v>829</v>
      </c>
      <c r="C73" s="58">
        <v>69</v>
      </c>
      <c r="D73" s="117" t="s">
        <v>817</v>
      </c>
      <c r="E73" s="124" t="s">
        <v>823</v>
      </c>
      <c r="F73" s="124" t="s">
        <v>775</v>
      </c>
      <c r="G73" s="249" t="str">
        <f>IFERROR(TRUNC(AVERAGE($G74:$G79),2), "")</f>
        <v/>
      </c>
      <c r="H73" s="247"/>
      <c r="I73" s="248" t="str">
        <f>IFERROR(VLOOKUP($G73,LookUps!$B$4:$D$19,3),"")</f>
        <v/>
      </c>
      <c r="J73" s="242"/>
      <c r="K73" s="250"/>
      <c r="L73" s="250"/>
      <c r="M73" s="250"/>
      <c r="N73" s="251" t="str">
        <f>IF(OR($G73=1,$G73=2,$G73=3,$G73=4,$G73=5,$G73=6),'20k Cross Ref (DSSubject)'!$BU72,"")</f>
        <v/>
      </c>
    </row>
    <row r="74" spans="2:14" s="30" customFormat="1" ht="20.399999999999999" x14ac:dyDescent="0.3">
      <c r="B74" s="127" t="s">
        <v>829</v>
      </c>
      <c r="C74" s="58">
        <v>70</v>
      </c>
      <c r="D74" s="117" t="s">
        <v>786</v>
      </c>
      <c r="E74" s="124" t="s">
        <v>777</v>
      </c>
      <c r="F74" s="124" t="s">
        <v>777</v>
      </c>
      <c r="G74" s="123"/>
      <c r="H74" s="138" t="e">
        <f>VLOOKUP($G74,LookUps!$B$4:$C$19,2)</f>
        <v>#N/A</v>
      </c>
      <c r="I74" s="138" t="str">
        <f>IFERROR(VLOOKUP($G74,LookUps!$B$4:$D$19,3),"")</f>
        <v/>
      </c>
      <c r="J74" s="141" t="str">
        <f t="shared" si="1"/>
        <v/>
      </c>
      <c r="K74" s="105"/>
      <c r="L74" s="120"/>
      <c r="M74" s="120"/>
      <c r="N74" s="269" t="str">
        <f>IF(OR($G74=1,$G74=2,$G74=3,$G74=4,$G74=5,$G74=6),'20k Cross Ref (DSSubject)'!$BU73,"")</f>
        <v/>
      </c>
    </row>
    <row r="75" spans="2:14" s="30" customFormat="1" ht="20.399999999999999" x14ac:dyDescent="0.3">
      <c r="B75" s="127" t="s">
        <v>829</v>
      </c>
      <c r="C75" s="58">
        <v>71</v>
      </c>
      <c r="D75" s="117" t="s">
        <v>818</v>
      </c>
      <c r="E75" s="124" t="s">
        <v>777</v>
      </c>
      <c r="F75" s="124" t="s">
        <v>777</v>
      </c>
      <c r="G75" s="123"/>
      <c r="H75" s="138" t="e">
        <f>VLOOKUP($G75,LookUps!$B$4:$C$19,2)</f>
        <v>#N/A</v>
      </c>
      <c r="I75" s="138" t="str">
        <f>IFERROR(VLOOKUP($G75,LookUps!$B$4:$D$19,3),"")</f>
        <v/>
      </c>
      <c r="J75" s="141" t="str">
        <f t="shared" si="1"/>
        <v/>
      </c>
      <c r="K75" s="105"/>
      <c r="L75" s="120"/>
      <c r="M75" s="120"/>
      <c r="N75" s="269" t="str">
        <f>IF(OR($G75=1,$G75=2,$G75=3,$G75=4,$G75=5,$G75=6),'20k Cross Ref (DSSubject)'!$BU74,"")</f>
        <v/>
      </c>
    </row>
    <row r="76" spans="2:14" s="30" customFormat="1" ht="20.399999999999999" x14ac:dyDescent="0.3">
      <c r="B76" s="127" t="s">
        <v>829</v>
      </c>
      <c r="C76" s="58">
        <v>72</v>
      </c>
      <c r="D76" s="117" t="s">
        <v>787</v>
      </c>
      <c r="E76" s="124" t="s">
        <v>777</v>
      </c>
      <c r="F76" s="124" t="s">
        <v>777</v>
      </c>
      <c r="G76" s="123"/>
      <c r="H76" s="138" t="e">
        <f>VLOOKUP($G76,LookUps!$B$4:$C$19,2)</f>
        <v>#N/A</v>
      </c>
      <c r="I76" s="138" t="str">
        <f>IFERROR(VLOOKUP($G76,LookUps!$B$4:$D$19,3),"")</f>
        <v/>
      </c>
      <c r="J76" s="141" t="str">
        <f t="shared" si="1"/>
        <v/>
      </c>
      <c r="K76" s="105"/>
      <c r="L76" s="120"/>
      <c r="M76" s="120"/>
      <c r="N76" s="269" t="str">
        <f>IF(OR($G76=1,$G76=2,$G76=3,$G76=4,$G76=5,$G76=6),'20k Cross Ref (DSSubject)'!$BU75,"")</f>
        <v/>
      </c>
    </row>
    <row r="77" spans="2:14" s="30" customFormat="1" ht="20.399999999999999" x14ac:dyDescent="0.3">
      <c r="B77" s="127" t="s">
        <v>829</v>
      </c>
      <c r="C77" s="58">
        <v>73</v>
      </c>
      <c r="D77" s="117" t="s">
        <v>788</v>
      </c>
      <c r="E77" s="124" t="s">
        <v>777</v>
      </c>
      <c r="F77" s="124" t="s">
        <v>777</v>
      </c>
      <c r="G77" s="123"/>
      <c r="H77" s="138" t="e">
        <f>VLOOKUP($G77,LookUps!$B$4:$C$19,2)</f>
        <v>#N/A</v>
      </c>
      <c r="I77" s="138" t="str">
        <f>IFERROR(VLOOKUP($G77,LookUps!$B$4:$D$19,3),"")</f>
        <v/>
      </c>
      <c r="J77" s="141" t="str">
        <f t="shared" si="1"/>
        <v/>
      </c>
      <c r="K77" s="105"/>
      <c r="L77" s="120"/>
      <c r="M77" s="120"/>
      <c r="N77" s="269" t="str">
        <f>IF(OR($G77=1,$G77=2,$G77=3,$G77=4,$G77=5,$G77=6),'20k Cross Ref (DSSubject)'!$BU76,"")</f>
        <v/>
      </c>
    </row>
    <row r="78" spans="2:14" s="30" customFormat="1" ht="20.399999999999999" x14ac:dyDescent="0.3">
      <c r="B78" s="127" t="s">
        <v>829</v>
      </c>
      <c r="C78" s="58">
        <v>74</v>
      </c>
      <c r="D78" s="117" t="s">
        <v>789</v>
      </c>
      <c r="E78" s="124" t="s">
        <v>777</v>
      </c>
      <c r="F78" s="124" t="s">
        <v>777</v>
      </c>
      <c r="G78" s="123"/>
      <c r="H78" s="138" t="e">
        <f>VLOOKUP($G78,LookUps!$B$4:$C$19,2)</f>
        <v>#N/A</v>
      </c>
      <c r="I78" s="138" t="str">
        <f>IFERROR(VLOOKUP($G78,LookUps!$B$4:$D$19,3),"")</f>
        <v/>
      </c>
      <c r="J78" s="141" t="str">
        <f t="shared" si="1"/>
        <v/>
      </c>
      <c r="K78" s="105"/>
      <c r="L78" s="120"/>
      <c r="M78" s="120"/>
      <c r="N78" s="269" t="str">
        <f>IF(OR($G78=1,$G78=2,$G78=3,$G78=4,$G78=5,$G78=6),'20k Cross Ref (DSSubject)'!$BU77,"")</f>
        <v/>
      </c>
    </row>
    <row r="79" spans="2:14" s="30" customFormat="1" ht="20.399999999999999" x14ac:dyDescent="0.3">
      <c r="B79" s="127" t="s">
        <v>829</v>
      </c>
      <c r="C79" s="58">
        <v>75</v>
      </c>
      <c r="D79" s="117" t="s">
        <v>790</v>
      </c>
      <c r="E79" s="124" t="s">
        <v>777</v>
      </c>
      <c r="F79" s="124" t="s">
        <v>777</v>
      </c>
      <c r="G79" s="123"/>
      <c r="H79" s="138" t="e">
        <f>VLOOKUP($G79,LookUps!$B$4:$C$19,2)</f>
        <v>#N/A</v>
      </c>
      <c r="I79" s="138" t="str">
        <f>IFERROR(VLOOKUP($G79,LookUps!$B$4:$D$19,3),"")</f>
        <v/>
      </c>
      <c r="J79" s="141" t="str">
        <f t="shared" si="1"/>
        <v/>
      </c>
      <c r="K79" s="105"/>
      <c r="L79" s="120"/>
      <c r="M79" s="120"/>
      <c r="N79" s="269" t="str">
        <f>IF(OR($G79=1,$G79=2,$G79=3,$G79=4,$G79=5,$G79=6),'20k Cross Ref (DSSubject)'!$BU78,"")</f>
        <v/>
      </c>
    </row>
    <row r="80" spans="2:14" s="30" customFormat="1" ht="71.400000000000006" x14ac:dyDescent="0.3">
      <c r="B80" s="127" t="s">
        <v>824</v>
      </c>
      <c r="C80" s="58">
        <v>76</v>
      </c>
      <c r="D80" s="117" t="s">
        <v>842</v>
      </c>
      <c r="E80" s="124" t="s">
        <v>825</v>
      </c>
      <c r="F80" s="124" t="s">
        <v>775</v>
      </c>
      <c r="G80" s="249" t="str">
        <f>IFERROR(TRUNC(AVERAGE($G81:$G86),2), "")</f>
        <v/>
      </c>
      <c r="H80" s="247"/>
      <c r="I80" s="248" t="str">
        <f>IFERROR(VLOOKUP($G80,LookUps!$B$4:$D$19,3),"")</f>
        <v/>
      </c>
      <c r="J80" s="242"/>
      <c r="K80" s="250"/>
      <c r="L80" s="250"/>
      <c r="M80" s="250"/>
      <c r="N80" s="251" t="str">
        <f>IF(OR($G80=1,$G80=2,$G80=3,$G80=4,$G80=5,$G80=6),'20k Cross Ref (DSSubject)'!$BU79,"")</f>
        <v/>
      </c>
    </row>
    <row r="81" spans="2:14" s="30" customFormat="1" x14ac:dyDescent="0.3">
      <c r="B81" s="127" t="s">
        <v>824</v>
      </c>
      <c r="C81" s="58">
        <v>77</v>
      </c>
      <c r="D81" s="117" t="s">
        <v>786</v>
      </c>
      <c r="E81" s="124" t="s">
        <v>777</v>
      </c>
      <c r="F81" s="124" t="s">
        <v>777</v>
      </c>
      <c r="G81" s="123"/>
      <c r="H81" s="138" t="e">
        <f>VLOOKUP($G81,LookUps!$B$4:$C$19,2)</f>
        <v>#N/A</v>
      </c>
      <c r="I81" s="138" t="str">
        <f>IFERROR(VLOOKUP($G81,LookUps!$B$4:$D$19,3),"")</f>
        <v/>
      </c>
      <c r="J81" s="141" t="str">
        <f t="shared" si="1"/>
        <v/>
      </c>
      <c r="K81" s="105"/>
      <c r="L81" s="120"/>
      <c r="M81" s="120"/>
      <c r="N81" s="269" t="str">
        <f>IF(OR($G81=1,$G81=2,$G81=3,$G81=4,$G81=5,$G81=6),'20k Cross Ref (DSSubject)'!$BU80,"")</f>
        <v/>
      </c>
    </row>
    <row r="82" spans="2:14" s="30" customFormat="1" x14ac:dyDescent="0.3">
      <c r="B82" s="127" t="s">
        <v>824</v>
      </c>
      <c r="C82" s="58">
        <v>78</v>
      </c>
      <c r="D82" s="117" t="s">
        <v>818</v>
      </c>
      <c r="E82" s="124" t="s">
        <v>777</v>
      </c>
      <c r="F82" s="124" t="s">
        <v>777</v>
      </c>
      <c r="G82" s="123"/>
      <c r="H82" s="138" t="e">
        <f>VLOOKUP($G82,LookUps!$B$4:$C$19,2)</f>
        <v>#N/A</v>
      </c>
      <c r="I82" s="138" t="str">
        <f>IFERROR(VLOOKUP($G82,LookUps!$B$4:$D$19,3),"")</f>
        <v/>
      </c>
      <c r="J82" s="141" t="str">
        <f t="shared" si="1"/>
        <v/>
      </c>
      <c r="K82" s="105"/>
      <c r="L82" s="120"/>
      <c r="M82" s="120"/>
      <c r="N82" s="269" t="str">
        <f>IF(OR($G82=1,$G82=2,$G82=3,$G82=4,$G82=5,$G82=6),'20k Cross Ref (DSSubject)'!$BU81,"")</f>
        <v/>
      </c>
    </row>
    <row r="83" spans="2:14" s="30" customFormat="1" x14ac:dyDescent="0.3">
      <c r="B83" s="127" t="s">
        <v>824</v>
      </c>
      <c r="C83" s="58">
        <v>79</v>
      </c>
      <c r="D83" s="117" t="s">
        <v>787</v>
      </c>
      <c r="E83" s="124" t="s">
        <v>777</v>
      </c>
      <c r="F83" s="124" t="s">
        <v>777</v>
      </c>
      <c r="G83" s="123"/>
      <c r="H83" s="138" t="e">
        <f>VLOOKUP($G83,LookUps!$B$4:$C$19,2)</f>
        <v>#N/A</v>
      </c>
      <c r="I83" s="138" t="str">
        <f>IFERROR(VLOOKUP($G83,LookUps!$B$4:$D$19,3),"")</f>
        <v/>
      </c>
      <c r="J83" s="141" t="str">
        <f t="shared" si="1"/>
        <v/>
      </c>
      <c r="K83" s="105"/>
      <c r="L83" s="120"/>
      <c r="M83" s="120"/>
      <c r="N83" s="269" t="str">
        <f>IF(OR($G83=1,$G83=2,$G83=3,$G83=4,$G83=5,$G83=6),'20k Cross Ref (DSSubject)'!$BU82,"")</f>
        <v/>
      </c>
    </row>
    <row r="84" spans="2:14" s="30" customFormat="1" x14ac:dyDescent="0.3">
      <c r="B84" s="127" t="s">
        <v>824</v>
      </c>
      <c r="C84" s="58">
        <v>80</v>
      </c>
      <c r="D84" s="117" t="s">
        <v>788</v>
      </c>
      <c r="E84" s="124" t="s">
        <v>777</v>
      </c>
      <c r="F84" s="124" t="s">
        <v>777</v>
      </c>
      <c r="G84" s="123"/>
      <c r="H84" s="138" t="e">
        <f>VLOOKUP($G84,LookUps!$B$4:$C$19,2)</f>
        <v>#N/A</v>
      </c>
      <c r="I84" s="138" t="str">
        <f>IFERROR(VLOOKUP($G84,LookUps!$B$4:$D$19,3),"")</f>
        <v/>
      </c>
      <c r="J84" s="141" t="str">
        <f t="shared" si="1"/>
        <v/>
      </c>
      <c r="K84" s="105"/>
      <c r="L84" s="120"/>
      <c r="M84" s="120"/>
      <c r="N84" s="269" t="str">
        <f>IF(OR($G84=1,$G84=2,$G84=3,$G84=4,$G84=5,$G84=6),'20k Cross Ref (DSSubject)'!$BU83,"")</f>
        <v/>
      </c>
    </row>
    <row r="85" spans="2:14" s="30" customFormat="1" x14ac:dyDescent="0.3">
      <c r="B85" s="127" t="s">
        <v>824</v>
      </c>
      <c r="C85" s="58">
        <v>81</v>
      </c>
      <c r="D85" s="117" t="s">
        <v>789</v>
      </c>
      <c r="E85" s="124" t="s">
        <v>777</v>
      </c>
      <c r="F85" s="124" t="s">
        <v>777</v>
      </c>
      <c r="G85" s="123"/>
      <c r="H85" s="138" t="e">
        <f>VLOOKUP($G85,LookUps!$B$4:$C$19,2)</f>
        <v>#N/A</v>
      </c>
      <c r="I85" s="138" t="str">
        <f>IFERROR(VLOOKUP($G85,LookUps!$B$4:$D$19,3),"")</f>
        <v/>
      </c>
      <c r="J85" s="141" t="str">
        <f t="shared" si="1"/>
        <v/>
      </c>
      <c r="K85" s="105"/>
      <c r="L85" s="120"/>
      <c r="M85" s="120"/>
      <c r="N85" s="269" t="str">
        <f>IF(OR($G85=1,$G85=2,$G85=3,$G85=4,$G85=5,$G85=6),'20k Cross Ref (DSSubject)'!$BU84,"")</f>
        <v/>
      </c>
    </row>
    <row r="86" spans="2:14" s="30" customFormat="1" x14ac:dyDescent="0.3">
      <c r="B86" s="127" t="s">
        <v>824</v>
      </c>
      <c r="C86" s="58">
        <v>82</v>
      </c>
      <c r="D86" s="117" t="s">
        <v>790</v>
      </c>
      <c r="E86" s="124" t="s">
        <v>777</v>
      </c>
      <c r="F86" s="124" t="s">
        <v>777</v>
      </c>
      <c r="G86" s="123"/>
      <c r="H86" s="138" t="e">
        <f>VLOOKUP($G86,LookUps!$B$4:$C$19,2)</f>
        <v>#N/A</v>
      </c>
      <c r="I86" s="138" t="str">
        <f>IFERROR(VLOOKUP($G86,LookUps!$B$4:$D$19,3),"")</f>
        <v/>
      </c>
      <c r="J86" s="141" t="str">
        <f t="shared" si="1"/>
        <v/>
      </c>
      <c r="K86" s="105"/>
      <c r="L86" s="120"/>
      <c r="M86" s="120"/>
      <c r="N86" s="269" t="str">
        <f>IF(OR($G86=1,$G86=2,$G86=3,$G86=4,$G86=5,$G86=6),'20k Cross Ref (DSSubject)'!$BU85,"")</f>
        <v/>
      </c>
    </row>
    <row r="87" spans="2:14" s="30" customFormat="1" ht="81.599999999999994" x14ac:dyDescent="0.3">
      <c r="B87" s="127" t="s">
        <v>819</v>
      </c>
      <c r="C87" s="58">
        <v>83</v>
      </c>
      <c r="D87" s="117" t="s">
        <v>841</v>
      </c>
      <c r="E87" s="124" t="s">
        <v>821</v>
      </c>
      <c r="F87" s="124" t="s">
        <v>775</v>
      </c>
      <c r="G87" s="249" t="str">
        <f>IFERROR(TRUNC(AVERAGE($G88:$G93),2), "")</f>
        <v/>
      </c>
      <c r="H87" s="247"/>
      <c r="I87" s="248" t="str">
        <f>IFERROR(VLOOKUP($G87,LookUps!$B$4:$D$19,3),"")</f>
        <v/>
      </c>
      <c r="J87" s="242"/>
      <c r="K87" s="250"/>
      <c r="L87" s="250"/>
      <c r="M87" s="250"/>
      <c r="N87" s="251" t="str">
        <f>IF(OR($G87=1,$G87=2,$G87=3,$G87=4,$G87=5,$G87=6),'20k Cross Ref (DSSubject)'!$BU86,"")</f>
        <v/>
      </c>
    </row>
    <row r="88" spans="2:14" s="30" customFormat="1" x14ac:dyDescent="0.3">
      <c r="B88" s="127" t="s">
        <v>819</v>
      </c>
      <c r="C88" s="58">
        <v>84</v>
      </c>
      <c r="D88" s="117" t="s">
        <v>786</v>
      </c>
      <c r="E88" s="124" t="s">
        <v>777</v>
      </c>
      <c r="F88" s="124" t="s">
        <v>777</v>
      </c>
      <c r="G88" s="123"/>
      <c r="H88" s="138" t="e">
        <f>VLOOKUP($G88,LookUps!$B$4:$C$19,2)</f>
        <v>#N/A</v>
      </c>
      <c r="I88" s="138" t="str">
        <f>IFERROR(VLOOKUP($G88,LookUps!$B$4:$D$19,3),"")</f>
        <v/>
      </c>
      <c r="J88" s="141" t="str">
        <f t="shared" si="1"/>
        <v/>
      </c>
      <c r="K88" s="105"/>
      <c r="L88" s="120"/>
      <c r="M88" s="120"/>
      <c r="N88" s="269" t="str">
        <f>IF(OR($G88=1,$G88=2,$G88=3,$G88=4,$G88=5,$G88=6),'20k Cross Ref (DSSubject)'!$BU87,"")</f>
        <v/>
      </c>
    </row>
    <row r="89" spans="2:14" s="30" customFormat="1" x14ac:dyDescent="0.3">
      <c r="B89" s="127" t="s">
        <v>819</v>
      </c>
      <c r="C89" s="58">
        <v>85</v>
      </c>
      <c r="D89" s="117" t="s">
        <v>818</v>
      </c>
      <c r="E89" s="124" t="s">
        <v>777</v>
      </c>
      <c r="F89" s="124" t="s">
        <v>777</v>
      </c>
      <c r="G89" s="123"/>
      <c r="H89" s="138" t="e">
        <f>VLOOKUP($G89,LookUps!$B$4:$C$19,2)</f>
        <v>#N/A</v>
      </c>
      <c r="I89" s="138" t="str">
        <f>IFERROR(VLOOKUP($G89,LookUps!$B$4:$D$19,3),"")</f>
        <v/>
      </c>
      <c r="J89" s="141" t="str">
        <f t="shared" si="1"/>
        <v/>
      </c>
      <c r="K89" s="105"/>
      <c r="L89" s="120"/>
      <c r="M89" s="120"/>
      <c r="N89" s="269" t="str">
        <f>IF(OR($G89=1,$G89=2,$G89=3,$G89=4,$G89=5,$G89=6),'20k Cross Ref (DSSubject)'!$BU88,"")</f>
        <v/>
      </c>
    </row>
    <row r="90" spans="2:14" s="30" customFormat="1" x14ac:dyDescent="0.3">
      <c r="B90" s="127" t="s">
        <v>819</v>
      </c>
      <c r="C90" s="58">
        <v>86</v>
      </c>
      <c r="D90" s="117" t="s">
        <v>787</v>
      </c>
      <c r="E90" s="124" t="s">
        <v>777</v>
      </c>
      <c r="F90" s="124" t="s">
        <v>777</v>
      </c>
      <c r="G90" s="123"/>
      <c r="H90" s="138" t="e">
        <f>VLOOKUP($G90,LookUps!$B$4:$C$19,2)</f>
        <v>#N/A</v>
      </c>
      <c r="I90" s="138" t="str">
        <f>IFERROR(VLOOKUP($G90,LookUps!$B$4:$D$19,3),"")</f>
        <v/>
      </c>
      <c r="J90" s="141" t="str">
        <f t="shared" si="1"/>
        <v/>
      </c>
      <c r="K90" s="105"/>
      <c r="L90" s="120"/>
      <c r="M90" s="120"/>
      <c r="N90" s="269" t="str">
        <f>IF(OR($G90=1,$G90=2,$G90=3,$G90=4,$G90=5,$G90=6),'20k Cross Ref (DSSubject)'!$BU89,"")</f>
        <v/>
      </c>
    </row>
    <row r="91" spans="2:14" s="30" customFormat="1" x14ac:dyDescent="0.3">
      <c r="B91" s="127" t="s">
        <v>819</v>
      </c>
      <c r="C91" s="58">
        <v>87</v>
      </c>
      <c r="D91" s="117" t="s">
        <v>788</v>
      </c>
      <c r="E91" s="124" t="s">
        <v>777</v>
      </c>
      <c r="F91" s="124" t="s">
        <v>777</v>
      </c>
      <c r="G91" s="123"/>
      <c r="H91" s="138" t="e">
        <f>VLOOKUP($G91,LookUps!$B$4:$C$19,2)</f>
        <v>#N/A</v>
      </c>
      <c r="I91" s="138" t="str">
        <f>IFERROR(VLOOKUP($G91,LookUps!$B$4:$D$19,3),"")</f>
        <v/>
      </c>
      <c r="J91" s="141" t="str">
        <f t="shared" si="1"/>
        <v/>
      </c>
      <c r="K91" s="105"/>
      <c r="L91" s="120"/>
      <c r="M91" s="120"/>
      <c r="N91" s="269" t="str">
        <f>IF(OR($G91=1,$G91=2,$G91=3,$G91=4,$G91=5,$G91=6),'20k Cross Ref (DSSubject)'!$BU90,"")</f>
        <v/>
      </c>
    </row>
    <row r="92" spans="2:14" s="30" customFormat="1" x14ac:dyDescent="0.3">
      <c r="B92" s="127" t="s">
        <v>819</v>
      </c>
      <c r="C92" s="58">
        <v>88</v>
      </c>
      <c r="D92" s="117" t="s">
        <v>789</v>
      </c>
      <c r="E92" s="124" t="s">
        <v>777</v>
      </c>
      <c r="F92" s="124" t="s">
        <v>777</v>
      </c>
      <c r="G92" s="123"/>
      <c r="H92" s="138" t="e">
        <f>VLOOKUP($G92,LookUps!$B$4:$C$19,2)</f>
        <v>#N/A</v>
      </c>
      <c r="I92" s="138" t="str">
        <f>IFERROR(VLOOKUP($G92,LookUps!$B$4:$D$19,3),"")</f>
        <v/>
      </c>
      <c r="J92" s="141" t="str">
        <f t="shared" si="1"/>
        <v/>
      </c>
      <c r="K92" s="105"/>
      <c r="L92" s="120"/>
      <c r="M92" s="120"/>
      <c r="N92" s="269" t="str">
        <f>IF(OR($G92=1,$G92=2,$G92=3,$G92=4,$G92=5,$G92=6),'20k Cross Ref (DSSubject)'!$BU91,"")</f>
        <v/>
      </c>
    </row>
    <row r="93" spans="2:14" s="30" customFormat="1" x14ac:dyDescent="0.3">
      <c r="B93" s="127" t="s">
        <v>819</v>
      </c>
      <c r="C93" s="58">
        <v>89</v>
      </c>
      <c r="D93" s="117" t="s">
        <v>790</v>
      </c>
      <c r="E93" s="124" t="s">
        <v>777</v>
      </c>
      <c r="F93" s="124" t="s">
        <v>777</v>
      </c>
      <c r="G93" s="123"/>
      <c r="H93" s="138" t="e">
        <f>VLOOKUP($G93,LookUps!$B$4:$C$19,2)</f>
        <v>#N/A</v>
      </c>
      <c r="I93" s="138" t="str">
        <f>IFERROR(VLOOKUP($G93,LookUps!$B$4:$D$19,3),"")</f>
        <v/>
      </c>
      <c r="J93" s="141" t="str">
        <f t="shared" si="1"/>
        <v/>
      </c>
      <c r="K93" s="105"/>
      <c r="L93" s="120"/>
      <c r="M93" s="120"/>
      <c r="N93" s="269" t="str">
        <f>IF(OR($G93=1,$G93=2,$G93=3,$G93=4,$G93=5,$G93=6),'20k Cross Ref (DSSubject)'!$BU92,"")</f>
        <v/>
      </c>
    </row>
    <row r="94" spans="2:14" s="30" customFormat="1" ht="244.8" x14ac:dyDescent="0.3">
      <c r="B94" s="127" t="s">
        <v>1045</v>
      </c>
      <c r="C94" s="58">
        <v>90</v>
      </c>
      <c r="D94" s="117" t="s">
        <v>1046</v>
      </c>
      <c r="E94" s="124" t="s">
        <v>1047</v>
      </c>
      <c r="F94" s="124" t="s">
        <v>775</v>
      </c>
      <c r="G94" s="249" t="str">
        <f>IFERROR(TRUNC(AVERAGE($G95:$G100),2), "")</f>
        <v/>
      </c>
      <c r="H94" s="247"/>
      <c r="I94" s="248" t="str">
        <f>IFERROR(VLOOKUP($G94,LookUps!$B$4:$D$19,3),"")</f>
        <v/>
      </c>
      <c r="J94" s="242"/>
      <c r="K94" s="250"/>
      <c r="L94" s="250"/>
      <c r="M94" s="250"/>
      <c r="N94" s="251" t="str">
        <f>IF(OR($G94=1,$G94=2,$G94=3,$G94=4,$G94=5,$G94=6),'20k Cross Ref (DSSubject)'!$BU93,"")</f>
        <v/>
      </c>
    </row>
    <row r="95" spans="2:14" s="30" customFormat="1" ht="20.399999999999999" x14ac:dyDescent="0.3">
      <c r="B95" s="127" t="s">
        <v>1045</v>
      </c>
      <c r="C95" s="58">
        <v>91</v>
      </c>
      <c r="D95" s="117" t="s">
        <v>786</v>
      </c>
      <c r="E95" s="124" t="s">
        <v>777</v>
      </c>
      <c r="F95" s="124" t="s">
        <v>777</v>
      </c>
      <c r="G95" s="249"/>
      <c r="H95" s="247" t="e">
        <f>VLOOKUP($G95,LookUps!$B$4:$C$19,2)</f>
        <v>#N/A</v>
      </c>
      <c r="I95" s="248" t="str">
        <f>IFERROR(VLOOKUP($G95,LookUps!$B$4:$D$19,3),"")</f>
        <v/>
      </c>
      <c r="J95" s="141" t="str">
        <f t="shared" si="1"/>
        <v/>
      </c>
      <c r="K95" s="105"/>
      <c r="L95" s="120"/>
      <c r="M95" s="120"/>
      <c r="N95" s="269" t="str">
        <f>IF(OR($G95=1,$G95=2,$G95=3,$G95=4,$G95=5,$G95=6),'20k Cross Ref (DSSubject)'!$BU94,"")</f>
        <v/>
      </c>
    </row>
    <row r="96" spans="2:14" s="30" customFormat="1" ht="20.399999999999999" x14ac:dyDescent="0.3">
      <c r="B96" s="127" t="s">
        <v>1045</v>
      </c>
      <c r="C96" s="58">
        <v>92</v>
      </c>
      <c r="D96" s="117" t="s">
        <v>818</v>
      </c>
      <c r="E96" s="124" t="s">
        <v>777</v>
      </c>
      <c r="F96" s="124" t="s">
        <v>777</v>
      </c>
      <c r="G96" s="249"/>
      <c r="H96" s="247" t="e">
        <f>VLOOKUP($G96,LookUps!$B$4:$C$19,2)</f>
        <v>#N/A</v>
      </c>
      <c r="I96" s="248" t="str">
        <f>IFERROR(VLOOKUP($G96,LookUps!$B$4:$D$19,3),"")</f>
        <v/>
      </c>
      <c r="J96" s="141" t="str">
        <f t="shared" si="1"/>
        <v/>
      </c>
      <c r="K96" s="105"/>
      <c r="L96" s="120"/>
      <c r="M96" s="120"/>
      <c r="N96" s="269" t="str">
        <f>IF(OR($G96=1,$G96=2,$G96=3,$G96=4,$G96=5,$G96=6),'20k Cross Ref (DSSubject)'!$BU95,"")</f>
        <v/>
      </c>
    </row>
    <row r="97" spans="2:14" s="30" customFormat="1" ht="20.399999999999999" x14ac:dyDescent="0.3">
      <c r="B97" s="127" t="s">
        <v>1045</v>
      </c>
      <c r="C97" s="58">
        <v>93</v>
      </c>
      <c r="D97" s="117" t="s">
        <v>787</v>
      </c>
      <c r="E97" s="124" t="s">
        <v>777</v>
      </c>
      <c r="F97" s="124" t="s">
        <v>777</v>
      </c>
      <c r="G97" s="249"/>
      <c r="H97" s="247" t="e">
        <f>VLOOKUP($G97,LookUps!$B$4:$C$19,2)</f>
        <v>#N/A</v>
      </c>
      <c r="I97" s="248" t="str">
        <f>IFERROR(VLOOKUP($G97,LookUps!$B$4:$D$19,3),"")</f>
        <v/>
      </c>
      <c r="J97" s="141" t="str">
        <f t="shared" si="1"/>
        <v/>
      </c>
      <c r="K97" s="105"/>
      <c r="L97" s="120"/>
      <c r="M97" s="120"/>
      <c r="N97" s="269" t="str">
        <f>IF(OR($G97=1,$G97=2,$G97=3,$G97=4,$G97=5,$G97=6),'20k Cross Ref (DSSubject)'!$BU96,"")</f>
        <v/>
      </c>
    </row>
    <row r="98" spans="2:14" s="30" customFormat="1" ht="20.399999999999999" x14ac:dyDescent="0.3">
      <c r="B98" s="127" t="s">
        <v>1045</v>
      </c>
      <c r="C98" s="58">
        <v>94</v>
      </c>
      <c r="D98" s="117" t="s">
        <v>788</v>
      </c>
      <c r="E98" s="124" t="s">
        <v>777</v>
      </c>
      <c r="F98" s="124" t="s">
        <v>777</v>
      </c>
      <c r="G98" s="249"/>
      <c r="H98" s="247" t="e">
        <f>VLOOKUP($G98,LookUps!$B$4:$C$19,2)</f>
        <v>#N/A</v>
      </c>
      <c r="I98" s="248" t="str">
        <f>IFERROR(VLOOKUP($G98,LookUps!$B$4:$D$19,3),"")</f>
        <v/>
      </c>
      <c r="J98" s="141" t="str">
        <f t="shared" si="1"/>
        <v/>
      </c>
      <c r="K98" s="105"/>
      <c r="L98" s="120"/>
      <c r="M98" s="120"/>
      <c r="N98" s="269" t="str">
        <f>IF(OR($G98=1,$G98=2,$G98=3,$G98=4,$G98=5,$G98=6),'20k Cross Ref (DSSubject)'!$BU97,"")</f>
        <v/>
      </c>
    </row>
    <row r="99" spans="2:14" s="30" customFormat="1" ht="20.399999999999999" x14ac:dyDescent="0.3">
      <c r="B99" s="127" t="s">
        <v>1045</v>
      </c>
      <c r="C99" s="58">
        <v>95</v>
      </c>
      <c r="D99" s="117" t="s">
        <v>789</v>
      </c>
      <c r="E99" s="124" t="s">
        <v>777</v>
      </c>
      <c r="F99" s="124" t="s">
        <v>777</v>
      </c>
      <c r="G99" s="249"/>
      <c r="H99" s="247" t="e">
        <f>VLOOKUP($G99,LookUps!$B$4:$C$19,2)</f>
        <v>#N/A</v>
      </c>
      <c r="I99" s="248" t="str">
        <f>IFERROR(VLOOKUP($G99,LookUps!$B$4:$D$19,3),"")</f>
        <v/>
      </c>
      <c r="J99" s="141" t="str">
        <f t="shared" si="1"/>
        <v/>
      </c>
      <c r="K99" s="105"/>
      <c r="L99" s="120"/>
      <c r="M99" s="120"/>
      <c r="N99" s="269" t="str">
        <f>IF(OR($G99=1,$G99=2,$G99=3,$G99=4,$G99=5,$G99=6),'20k Cross Ref (DSSubject)'!$BU98,"")</f>
        <v/>
      </c>
    </row>
    <row r="100" spans="2:14" s="30" customFormat="1" ht="20.399999999999999" x14ac:dyDescent="0.3">
      <c r="B100" s="127" t="s">
        <v>1045</v>
      </c>
      <c r="C100" s="58">
        <v>96</v>
      </c>
      <c r="D100" s="117" t="s">
        <v>790</v>
      </c>
      <c r="E100" s="124" t="s">
        <v>777</v>
      </c>
      <c r="F100" s="124" t="s">
        <v>777</v>
      </c>
      <c r="G100" s="249"/>
      <c r="H100" s="247" t="e">
        <f>VLOOKUP($G100,LookUps!$B$4:$C$19,2)</f>
        <v>#N/A</v>
      </c>
      <c r="I100" s="248" t="str">
        <f>IFERROR(VLOOKUP($G100,LookUps!$B$4:$D$19,3),"")</f>
        <v/>
      </c>
      <c r="J100" s="141" t="str">
        <f t="shared" si="1"/>
        <v/>
      </c>
      <c r="K100" s="105"/>
      <c r="L100" s="120"/>
      <c r="M100" s="120"/>
      <c r="N100" s="269" t="str">
        <f>IF(OR($G100=1,$G100=2,$G100=3,$G100=4,$G100=5,$G100=6),'20k Cross Ref (DSSubject)'!$BU99,"")</f>
        <v/>
      </c>
    </row>
    <row r="101" spans="2:14" s="30" customFormat="1" x14ac:dyDescent="0.3">
      <c r="B101" s="129"/>
      <c r="C101" s="130"/>
      <c r="D101" s="131"/>
      <c r="E101" s="132"/>
      <c r="F101" s="132"/>
      <c r="G101" s="132"/>
      <c r="H101" s="132"/>
      <c r="I101" s="132"/>
      <c r="J101" s="132"/>
      <c r="K101" s="133"/>
      <c r="L101" s="134"/>
      <c r="M101" s="134"/>
      <c r="N101" s="134"/>
    </row>
    <row r="102" spans="2:14" s="70" customFormat="1" x14ac:dyDescent="0.3">
      <c r="B102" s="20"/>
      <c r="C102" s="31"/>
      <c r="D102" s="34"/>
      <c r="E102" s="44"/>
      <c r="F102" s="44"/>
      <c r="G102" s="45"/>
      <c r="H102" s="45"/>
      <c r="I102" s="45"/>
      <c r="J102" s="45"/>
      <c r="L102" s="21"/>
      <c r="M102" s="21"/>
      <c r="N102" s="21"/>
    </row>
  </sheetData>
  <sheetProtection password="DAE1" sheet="1" objects="1" scenarios="1" formatColumns="0" formatRows="0" autoFilter="0"/>
  <autoFilter ref="B4:L100"/>
  <mergeCells count="4">
    <mergeCell ref="B2:C2"/>
    <mergeCell ref="G2:N2"/>
    <mergeCell ref="E3:F3"/>
    <mergeCell ref="G3:I3"/>
  </mergeCells>
  <conditionalFormatting sqref="G5">
    <cfRule type="cellIs" dxfId="735" priority="236" operator="between">
      <formula>13</formula>
      <formula>15.9999</formula>
    </cfRule>
    <cfRule type="cellIs" dxfId="734" priority="237" operator="between">
      <formula>10</formula>
      <formula>12.9999</formula>
    </cfRule>
    <cfRule type="cellIs" dxfId="733" priority="238" operator="between">
      <formula>7</formula>
      <formula>9.9999</formula>
    </cfRule>
    <cfRule type="cellIs" dxfId="732" priority="239" operator="between">
      <formula>4</formula>
      <formula>6.9999</formula>
    </cfRule>
    <cfRule type="cellIs" dxfId="731" priority="240" operator="between">
      <formula>0.1</formula>
      <formula>3.9999</formula>
    </cfRule>
  </conditionalFormatting>
  <conditionalFormatting sqref="I5">
    <cfRule type="cellIs" dxfId="730" priority="231" operator="equal">
      <formula>"Improving"</formula>
    </cfRule>
    <cfRule type="cellIs" dxfId="729" priority="232" operator="equal">
      <formula>"Optimising"</formula>
    </cfRule>
    <cfRule type="cellIs" dxfId="728" priority="233" operator="equal">
      <formula>"Proactive"</formula>
    </cfRule>
    <cfRule type="cellIs" dxfId="727" priority="234" operator="equal">
      <formula>"Reactive"</formula>
    </cfRule>
    <cfRule type="cellIs" dxfId="726" priority="235" operator="equal">
      <formula>"No Formal Approach"</formula>
    </cfRule>
  </conditionalFormatting>
  <conditionalFormatting sqref="G6:G12">
    <cfRule type="cellIs" dxfId="725" priority="226" operator="between">
      <formula>13</formula>
      <formula>15.9999</formula>
    </cfRule>
    <cfRule type="cellIs" dxfId="724" priority="227" operator="between">
      <formula>10</formula>
      <formula>12.9999</formula>
    </cfRule>
    <cfRule type="cellIs" dxfId="723" priority="228" operator="between">
      <formula>7</formula>
      <formula>9.9999</formula>
    </cfRule>
    <cfRule type="cellIs" dxfId="722" priority="229" operator="between">
      <formula>4</formula>
      <formula>6.9999</formula>
    </cfRule>
    <cfRule type="cellIs" dxfId="721" priority="230" operator="between">
      <formula>0.1</formula>
      <formula>3.9999</formula>
    </cfRule>
  </conditionalFormatting>
  <conditionalFormatting sqref="G14:G35">
    <cfRule type="cellIs" dxfId="720" priority="221" operator="between">
      <formula>13</formula>
      <formula>15.9999</formula>
    </cfRule>
    <cfRule type="cellIs" dxfId="719" priority="222" operator="between">
      <formula>10</formula>
      <formula>12.9999</formula>
    </cfRule>
    <cfRule type="cellIs" dxfId="718" priority="223" operator="between">
      <formula>7</formula>
      <formula>9.9999</formula>
    </cfRule>
    <cfRule type="cellIs" dxfId="717" priority="224" operator="between">
      <formula>4</formula>
      <formula>6.9999</formula>
    </cfRule>
    <cfRule type="cellIs" dxfId="716" priority="225" operator="between">
      <formula>0.1</formula>
      <formula>3.9999</formula>
    </cfRule>
  </conditionalFormatting>
  <conditionalFormatting sqref="G37:G42">
    <cfRule type="cellIs" dxfId="715" priority="216" operator="between">
      <formula>13</formula>
      <formula>15.9999</formula>
    </cfRule>
    <cfRule type="cellIs" dxfId="714" priority="217" operator="between">
      <formula>10</formula>
      <formula>12.9999</formula>
    </cfRule>
    <cfRule type="cellIs" dxfId="713" priority="218" operator="between">
      <formula>7</formula>
      <formula>9.9999</formula>
    </cfRule>
    <cfRule type="cellIs" dxfId="712" priority="219" operator="between">
      <formula>4</formula>
      <formula>6.9999</formula>
    </cfRule>
    <cfRule type="cellIs" dxfId="711" priority="220" operator="between">
      <formula>0.1</formula>
      <formula>3.9999</formula>
    </cfRule>
  </conditionalFormatting>
  <conditionalFormatting sqref="G44:G51">
    <cfRule type="cellIs" dxfId="710" priority="211" operator="between">
      <formula>13</formula>
      <formula>15.9999</formula>
    </cfRule>
    <cfRule type="cellIs" dxfId="709" priority="212" operator="between">
      <formula>10</formula>
      <formula>12.9999</formula>
    </cfRule>
    <cfRule type="cellIs" dxfId="708" priority="213" operator="between">
      <formula>7</formula>
      <formula>9.9999</formula>
    </cfRule>
    <cfRule type="cellIs" dxfId="707" priority="214" operator="between">
      <formula>4</formula>
      <formula>6.9999</formula>
    </cfRule>
    <cfRule type="cellIs" dxfId="706" priority="215" operator="between">
      <formula>0.1</formula>
      <formula>3.9999</formula>
    </cfRule>
  </conditionalFormatting>
  <conditionalFormatting sqref="G53:G58">
    <cfRule type="cellIs" dxfId="705" priority="206" operator="between">
      <formula>13</formula>
      <formula>15.9999</formula>
    </cfRule>
    <cfRule type="cellIs" dxfId="704" priority="207" operator="between">
      <formula>10</formula>
      <formula>12.9999</formula>
    </cfRule>
    <cfRule type="cellIs" dxfId="703" priority="208" operator="between">
      <formula>7</formula>
      <formula>9.9999</formula>
    </cfRule>
    <cfRule type="cellIs" dxfId="702" priority="209" operator="between">
      <formula>4</formula>
      <formula>6.9999</formula>
    </cfRule>
    <cfRule type="cellIs" dxfId="701" priority="210" operator="between">
      <formula>0.1</formula>
      <formula>3.9999</formula>
    </cfRule>
  </conditionalFormatting>
  <conditionalFormatting sqref="G60:G62">
    <cfRule type="cellIs" dxfId="700" priority="201" operator="between">
      <formula>13</formula>
      <formula>15.9999</formula>
    </cfRule>
    <cfRule type="cellIs" dxfId="699" priority="202" operator="between">
      <formula>10</formula>
      <formula>12.9999</formula>
    </cfRule>
    <cfRule type="cellIs" dxfId="698" priority="203" operator="between">
      <formula>7</formula>
      <formula>9.9999</formula>
    </cfRule>
    <cfRule type="cellIs" dxfId="697" priority="204" operator="between">
      <formula>4</formula>
      <formula>6.9999</formula>
    </cfRule>
    <cfRule type="cellIs" dxfId="696" priority="205" operator="between">
      <formula>0.1</formula>
      <formula>3.9999</formula>
    </cfRule>
  </conditionalFormatting>
  <conditionalFormatting sqref="G64:G65">
    <cfRule type="cellIs" dxfId="695" priority="196" operator="between">
      <formula>13</formula>
      <formula>15.9999</formula>
    </cfRule>
    <cfRule type="cellIs" dxfId="694" priority="197" operator="between">
      <formula>10</formula>
      <formula>12.9999</formula>
    </cfRule>
    <cfRule type="cellIs" dxfId="693" priority="198" operator="between">
      <formula>7</formula>
      <formula>9.9999</formula>
    </cfRule>
    <cfRule type="cellIs" dxfId="692" priority="199" operator="between">
      <formula>4</formula>
      <formula>6.9999</formula>
    </cfRule>
    <cfRule type="cellIs" dxfId="691" priority="200" operator="between">
      <formula>0.1</formula>
      <formula>3.9999</formula>
    </cfRule>
  </conditionalFormatting>
  <conditionalFormatting sqref="G67:G72">
    <cfRule type="cellIs" dxfId="690" priority="191" operator="between">
      <formula>13</formula>
      <formula>15.9999</formula>
    </cfRule>
    <cfRule type="cellIs" dxfId="689" priority="192" operator="between">
      <formula>10</formula>
      <formula>12.9999</formula>
    </cfRule>
    <cfRule type="cellIs" dxfId="688" priority="193" operator="between">
      <formula>7</formula>
      <formula>9.9999</formula>
    </cfRule>
    <cfRule type="cellIs" dxfId="687" priority="194" operator="between">
      <formula>4</formula>
      <formula>6.9999</formula>
    </cfRule>
    <cfRule type="cellIs" dxfId="686" priority="195" operator="between">
      <formula>0.1</formula>
      <formula>3.9999</formula>
    </cfRule>
  </conditionalFormatting>
  <conditionalFormatting sqref="G74:G79">
    <cfRule type="cellIs" dxfId="685" priority="186" operator="between">
      <formula>13</formula>
      <formula>15.9999</formula>
    </cfRule>
    <cfRule type="cellIs" dxfId="684" priority="187" operator="between">
      <formula>10</formula>
      <formula>12.9999</formula>
    </cfRule>
    <cfRule type="cellIs" dxfId="683" priority="188" operator="between">
      <formula>7</formula>
      <formula>9.9999</formula>
    </cfRule>
    <cfRule type="cellIs" dxfId="682" priority="189" operator="between">
      <formula>4</formula>
      <formula>6.9999</formula>
    </cfRule>
    <cfRule type="cellIs" dxfId="681" priority="190" operator="between">
      <formula>0.1</formula>
      <formula>3.9999</formula>
    </cfRule>
  </conditionalFormatting>
  <conditionalFormatting sqref="G81:G86">
    <cfRule type="cellIs" dxfId="680" priority="181" operator="between">
      <formula>13</formula>
      <formula>15.9999</formula>
    </cfRule>
    <cfRule type="cellIs" dxfId="679" priority="182" operator="between">
      <formula>10</formula>
      <formula>12.9999</formula>
    </cfRule>
    <cfRule type="cellIs" dxfId="678" priority="183" operator="between">
      <formula>7</formula>
      <formula>9.9999</formula>
    </cfRule>
    <cfRule type="cellIs" dxfId="677" priority="184" operator="between">
      <formula>4</formula>
      <formula>6.9999</formula>
    </cfRule>
    <cfRule type="cellIs" dxfId="676" priority="185" operator="between">
      <formula>0.1</formula>
      <formula>3.9999</formula>
    </cfRule>
  </conditionalFormatting>
  <conditionalFormatting sqref="G88:G93">
    <cfRule type="cellIs" dxfId="675" priority="176" operator="between">
      <formula>13</formula>
      <formula>15.9999</formula>
    </cfRule>
    <cfRule type="cellIs" dxfId="674" priority="177" operator="between">
      <formula>10</formula>
      <formula>12.9999</formula>
    </cfRule>
    <cfRule type="cellIs" dxfId="673" priority="178" operator="between">
      <formula>7</formula>
      <formula>9.9999</formula>
    </cfRule>
    <cfRule type="cellIs" dxfId="672" priority="179" operator="between">
      <formula>4</formula>
      <formula>6.9999</formula>
    </cfRule>
    <cfRule type="cellIs" dxfId="671" priority="180" operator="between">
      <formula>0.1</formula>
      <formula>3.9999</formula>
    </cfRule>
  </conditionalFormatting>
  <conditionalFormatting sqref="I6:I12">
    <cfRule type="cellIs" dxfId="670" priority="171" operator="equal">
      <formula>"Improving"</formula>
    </cfRule>
    <cfRule type="cellIs" dxfId="669" priority="172" operator="equal">
      <formula>"Optimising"</formula>
    </cfRule>
    <cfRule type="cellIs" dxfId="668" priority="173" operator="equal">
      <formula>"Proactive"</formula>
    </cfRule>
    <cfRule type="cellIs" dxfId="667" priority="174" operator="equal">
      <formula>"Reactive"</formula>
    </cfRule>
    <cfRule type="cellIs" dxfId="666" priority="175" operator="equal">
      <formula>"No Formal Approach"</formula>
    </cfRule>
  </conditionalFormatting>
  <conditionalFormatting sqref="I14:I35">
    <cfRule type="cellIs" dxfId="665" priority="166" operator="equal">
      <formula>"Improving"</formula>
    </cfRule>
    <cfRule type="cellIs" dxfId="664" priority="167" operator="equal">
      <formula>"Optimising"</formula>
    </cfRule>
    <cfRule type="cellIs" dxfId="663" priority="168" operator="equal">
      <formula>"Proactive"</formula>
    </cfRule>
    <cfRule type="cellIs" dxfId="662" priority="169" operator="equal">
      <formula>"Reactive"</formula>
    </cfRule>
    <cfRule type="cellIs" dxfId="661" priority="170" operator="equal">
      <formula>"No Formal Approach"</formula>
    </cfRule>
  </conditionalFormatting>
  <conditionalFormatting sqref="I37:I42">
    <cfRule type="cellIs" dxfId="660" priority="161" operator="equal">
      <formula>"Improving"</formula>
    </cfRule>
    <cfRule type="cellIs" dxfId="659" priority="162" operator="equal">
      <formula>"Optimising"</formula>
    </cfRule>
    <cfRule type="cellIs" dxfId="658" priority="163" operator="equal">
      <formula>"Proactive"</formula>
    </cfRule>
    <cfRule type="cellIs" dxfId="657" priority="164" operator="equal">
      <formula>"Reactive"</formula>
    </cfRule>
    <cfRule type="cellIs" dxfId="656" priority="165" operator="equal">
      <formula>"No Formal Approach"</formula>
    </cfRule>
  </conditionalFormatting>
  <conditionalFormatting sqref="I44:I51">
    <cfRule type="cellIs" dxfId="655" priority="156" operator="equal">
      <formula>"Improving"</formula>
    </cfRule>
    <cfRule type="cellIs" dxfId="654" priority="157" operator="equal">
      <formula>"Optimising"</formula>
    </cfRule>
    <cfRule type="cellIs" dxfId="653" priority="158" operator="equal">
      <formula>"Proactive"</formula>
    </cfRule>
    <cfRule type="cellIs" dxfId="652" priority="159" operator="equal">
      <formula>"Reactive"</formula>
    </cfRule>
    <cfRule type="cellIs" dxfId="651" priority="160" operator="equal">
      <formula>"No Formal Approach"</formula>
    </cfRule>
  </conditionalFormatting>
  <conditionalFormatting sqref="I53:I58">
    <cfRule type="cellIs" dxfId="650" priority="151" operator="equal">
      <formula>"Improving"</formula>
    </cfRule>
    <cfRule type="cellIs" dxfId="649" priority="152" operator="equal">
      <formula>"Optimising"</formula>
    </cfRule>
    <cfRule type="cellIs" dxfId="648" priority="153" operator="equal">
      <formula>"Proactive"</formula>
    </cfRule>
    <cfRule type="cellIs" dxfId="647" priority="154" operator="equal">
      <formula>"Reactive"</formula>
    </cfRule>
    <cfRule type="cellIs" dxfId="646" priority="155" operator="equal">
      <formula>"No Formal Approach"</formula>
    </cfRule>
  </conditionalFormatting>
  <conditionalFormatting sqref="I60:I62">
    <cfRule type="cellIs" dxfId="645" priority="146" operator="equal">
      <formula>"Improving"</formula>
    </cfRule>
    <cfRule type="cellIs" dxfId="644" priority="147" operator="equal">
      <formula>"Optimising"</formula>
    </cfRule>
    <cfRule type="cellIs" dxfId="643" priority="148" operator="equal">
      <formula>"Proactive"</formula>
    </cfRule>
    <cfRule type="cellIs" dxfId="642" priority="149" operator="equal">
      <formula>"Reactive"</formula>
    </cfRule>
    <cfRule type="cellIs" dxfId="641" priority="150" operator="equal">
      <formula>"No Formal Approach"</formula>
    </cfRule>
  </conditionalFormatting>
  <conditionalFormatting sqref="I64:I65">
    <cfRule type="cellIs" dxfId="640" priority="141" operator="equal">
      <formula>"Improving"</formula>
    </cfRule>
    <cfRule type="cellIs" dxfId="639" priority="142" operator="equal">
      <formula>"Optimising"</formula>
    </cfRule>
    <cfRule type="cellIs" dxfId="638" priority="143" operator="equal">
      <formula>"Proactive"</formula>
    </cfRule>
    <cfRule type="cellIs" dxfId="637" priority="144" operator="equal">
      <formula>"Reactive"</formula>
    </cfRule>
    <cfRule type="cellIs" dxfId="636" priority="145" operator="equal">
      <formula>"No Formal Approach"</formula>
    </cfRule>
  </conditionalFormatting>
  <conditionalFormatting sqref="I67:I72">
    <cfRule type="cellIs" dxfId="635" priority="136" operator="equal">
      <formula>"Improving"</formula>
    </cfRule>
    <cfRule type="cellIs" dxfId="634" priority="137" operator="equal">
      <formula>"Optimising"</formula>
    </cfRule>
    <cfRule type="cellIs" dxfId="633" priority="138" operator="equal">
      <formula>"Proactive"</formula>
    </cfRule>
    <cfRule type="cellIs" dxfId="632" priority="139" operator="equal">
      <formula>"Reactive"</formula>
    </cfRule>
    <cfRule type="cellIs" dxfId="631" priority="140" operator="equal">
      <formula>"No Formal Approach"</formula>
    </cfRule>
  </conditionalFormatting>
  <conditionalFormatting sqref="I74:I79">
    <cfRule type="cellIs" dxfId="630" priority="131" operator="equal">
      <formula>"Improving"</formula>
    </cfRule>
    <cfRule type="cellIs" dxfId="629" priority="132" operator="equal">
      <formula>"Optimising"</formula>
    </cfRule>
    <cfRule type="cellIs" dxfId="628" priority="133" operator="equal">
      <formula>"Proactive"</formula>
    </cfRule>
    <cfRule type="cellIs" dxfId="627" priority="134" operator="equal">
      <formula>"Reactive"</formula>
    </cfRule>
    <cfRule type="cellIs" dxfId="626" priority="135" operator="equal">
      <formula>"No Formal Approach"</formula>
    </cfRule>
  </conditionalFormatting>
  <conditionalFormatting sqref="I81:I86">
    <cfRule type="cellIs" dxfId="625" priority="126" operator="equal">
      <formula>"Improving"</formula>
    </cfRule>
    <cfRule type="cellIs" dxfId="624" priority="127" operator="equal">
      <formula>"Optimising"</formula>
    </cfRule>
    <cfRule type="cellIs" dxfId="623" priority="128" operator="equal">
      <formula>"Proactive"</formula>
    </cfRule>
    <cfRule type="cellIs" dxfId="622" priority="129" operator="equal">
      <formula>"Reactive"</formula>
    </cfRule>
    <cfRule type="cellIs" dxfId="621" priority="130" operator="equal">
      <formula>"No Formal Approach"</formula>
    </cfRule>
  </conditionalFormatting>
  <conditionalFormatting sqref="I88:I93">
    <cfRule type="cellIs" dxfId="620" priority="121" operator="equal">
      <formula>"Improving"</formula>
    </cfRule>
    <cfRule type="cellIs" dxfId="619" priority="122" operator="equal">
      <formula>"Optimising"</formula>
    </cfRule>
    <cfRule type="cellIs" dxfId="618" priority="123" operator="equal">
      <formula>"Proactive"</formula>
    </cfRule>
    <cfRule type="cellIs" dxfId="617" priority="124" operator="equal">
      <formula>"Reactive"</formula>
    </cfRule>
    <cfRule type="cellIs" dxfId="616" priority="125" operator="equal">
      <formula>"No Formal Approach"</formula>
    </cfRule>
  </conditionalFormatting>
  <conditionalFormatting sqref="G13">
    <cfRule type="cellIs" dxfId="615" priority="116" operator="between">
      <formula>13</formula>
      <formula>15.9999</formula>
    </cfRule>
    <cfRule type="cellIs" dxfId="614" priority="117" operator="between">
      <formula>10</formula>
      <formula>12.9999</formula>
    </cfRule>
    <cfRule type="cellIs" dxfId="613" priority="118" operator="between">
      <formula>7</formula>
      <formula>9.9999</formula>
    </cfRule>
    <cfRule type="cellIs" dxfId="612" priority="119" operator="between">
      <formula>4</formula>
      <formula>6.9999</formula>
    </cfRule>
    <cfRule type="cellIs" dxfId="611" priority="120" operator="between">
      <formula>0.1</formula>
      <formula>3.9999</formula>
    </cfRule>
  </conditionalFormatting>
  <conditionalFormatting sqref="I13">
    <cfRule type="cellIs" dxfId="610" priority="111" operator="equal">
      <formula>"Improving"</formula>
    </cfRule>
    <cfRule type="cellIs" dxfId="609" priority="112" operator="equal">
      <formula>"Optimising"</formula>
    </cfRule>
    <cfRule type="cellIs" dxfId="608" priority="113" operator="equal">
      <formula>"Proactive"</formula>
    </cfRule>
    <cfRule type="cellIs" dxfId="607" priority="114" operator="equal">
      <formula>"Reactive"</formula>
    </cfRule>
    <cfRule type="cellIs" dxfId="606" priority="115" operator="equal">
      <formula>"No Formal Approach"</formula>
    </cfRule>
  </conditionalFormatting>
  <conditionalFormatting sqref="G36">
    <cfRule type="cellIs" dxfId="605" priority="106" operator="between">
      <formula>13</formula>
      <formula>15.9999</formula>
    </cfRule>
    <cfRule type="cellIs" dxfId="604" priority="107" operator="between">
      <formula>10</formula>
      <formula>12.9999</formula>
    </cfRule>
    <cfRule type="cellIs" dxfId="603" priority="108" operator="between">
      <formula>7</formula>
      <formula>9.9999</formula>
    </cfRule>
    <cfRule type="cellIs" dxfId="602" priority="109" operator="between">
      <formula>4</formula>
      <formula>6.9999</formula>
    </cfRule>
    <cfRule type="cellIs" dxfId="601" priority="110" operator="between">
      <formula>0.1</formula>
      <formula>3.9999</formula>
    </cfRule>
  </conditionalFormatting>
  <conditionalFormatting sqref="I36">
    <cfRule type="cellIs" dxfId="600" priority="101" operator="equal">
      <formula>"Improving"</formula>
    </cfRule>
    <cfRule type="cellIs" dxfId="599" priority="102" operator="equal">
      <formula>"Optimising"</formula>
    </cfRule>
    <cfRule type="cellIs" dxfId="598" priority="103" operator="equal">
      <formula>"Proactive"</formula>
    </cfRule>
    <cfRule type="cellIs" dxfId="597" priority="104" operator="equal">
      <formula>"Reactive"</formula>
    </cfRule>
    <cfRule type="cellIs" dxfId="596" priority="105" operator="equal">
      <formula>"No Formal Approach"</formula>
    </cfRule>
  </conditionalFormatting>
  <conditionalFormatting sqref="G43">
    <cfRule type="cellIs" dxfId="595" priority="96" operator="between">
      <formula>13</formula>
      <formula>15.9999</formula>
    </cfRule>
    <cfRule type="cellIs" dxfId="594" priority="97" operator="between">
      <formula>10</formula>
      <formula>12.9999</formula>
    </cfRule>
    <cfRule type="cellIs" dxfId="593" priority="98" operator="between">
      <formula>7</formula>
      <formula>9.9999</formula>
    </cfRule>
    <cfRule type="cellIs" dxfId="592" priority="99" operator="between">
      <formula>4</formula>
      <formula>6.9999</formula>
    </cfRule>
    <cfRule type="cellIs" dxfId="591" priority="100" operator="between">
      <formula>0.1</formula>
      <formula>3.9999</formula>
    </cfRule>
  </conditionalFormatting>
  <conditionalFormatting sqref="I43">
    <cfRule type="cellIs" dxfId="590" priority="91" operator="equal">
      <formula>"Improving"</formula>
    </cfRule>
    <cfRule type="cellIs" dxfId="589" priority="92" operator="equal">
      <formula>"Optimising"</formula>
    </cfRule>
    <cfRule type="cellIs" dxfId="588" priority="93" operator="equal">
      <formula>"Proactive"</formula>
    </cfRule>
    <cfRule type="cellIs" dxfId="587" priority="94" operator="equal">
      <formula>"Reactive"</formula>
    </cfRule>
    <cfRule type="cellIs" dxfId="586" priority="95" operator="equal">
      <formula>"No Formal Approach"</formula>
    </cfRule>
  </conditionalFormatting>
  <conditionalFormatting sqref="G52">
    <cfRule type="cellIs" dxfId="585" priority="86" operator="between">
      <formula>13</formula>
      <formula>15.9999</formula>
    </cfRule>
    <cfRule type="cellIs" dxfId="584" priority="87" operator="between">
      <formula>10</formula>
      <formula>12.9999</formula>
    </cfRule>
    <cfRule type="cellIs" dxfId="583" priority="88" operator="between">
      <formula>7</formula>
      <formula>9.9999</formula>
    </cfRule>
    <cfRule type="cellIs" dxfId="582" priority="89" operator="between">
      <formula>4</formula>
      <formula>6.9999</formula>
    </cfRule>
    <cfRule type="cellIs" dxfId="581" priority="90" operator="between">
      <formula>0.1</formula>
      <formula>3.9999</formula>
    </cfRule>
  </conditionalFormatting>
  <conditionalFormatting sqref="I52">
    <cfRule type="cellIs" dxfId="580" priority="81" operator="equal">
      <formula>"Improving"</formula>
    </cfRule>
    <cfRule type="cellIs" dxfId="579" priority="82" operator="equal">
      <formula>"Optimising"</formula>
    </cfRule>
    <cfRule type="cellIs" dxfId="578" priority="83" operator="equal">
      <formula>"Proactive"</formula>
    </cfRule>
    <cfRule type="cellIs" dxfId="577" priority="84" operator="equal">
      <formula>"Reactive"</formula>
    </cfRule>
    <cfRule type="cellIs" dxfId="576" priority="85" operator="equal">
      <formula>"No Formal Approach"</formula>
    </cfRule>
  </conditionalFormatting>
  <conditionalFormatting sqref="G59">
    <cfRule type="cellIs" dxfId="575" priority="76" operator="between">
      <formula>13</formula>
      <formula>15.9999</formula>
    </cfRule>
    <cfRule type="cellIs" dxfId="574" priority="77" operator="between">
      <formula>10</formula>
      <formula>12.9999</formula>
    </cfRule>
    <cfRule type="cellIs" dxfId="573" priority="78" operator="between">
      <formula>7</formula>
      <formula>9.9999</formula>
    </cfRule>
    <cfRule type="cellIs" dxfId="572" priority="79" operator="between">
      <formula>4</formula>
      <formula>6.9999</formula>
    </cfRule>
    <cfRule type="cellIs" dxfId="571" priority="80" operator="between">
      <formula>0.1</formula>
      <formula>3.9999</formula>
    </cfRule>
  </conditionalFormatting>
  <conditionalFormatting sqref="I59">
    <cfRule type="cellIs" dxfId="570" priority="71" operator="equal">
      <formula>"Improving"</formula>
    </cfRule>
    <cfRule type="cellIs" dxfId="569" priority="72" operator="equal">
      <formula>"Optimising"</formula>
    </cfRule>
    <cfRule type="cellIs" dxfId="568" priority="73" operator="equal">
      <formula>"Proactive"</formula>
    </cfRule>
    <cfRule type="cellIs" dxfId="567" priority="74" operator="equal">
      <formula>"Reactive"</formula>
    </cfRule>
    <cfRule type="cellIs" dxfId="566" priority="75" operator="equal">
      <formula>"No Formal Approach"</formula>
    </cfRule>
  </conditionalFormatting>
  <conditionalFormatting sqref="G63">
    <cfRule type="cellIs" dxfId="565" priority="66" operator="between">
      <formula>13</formula>
      <formula>15.9999</formula>
    </cfRule>
    <cfRule type="cellIs" dxfId="564" priority="67" operator="between">
      <formula>10</formula>
      <formula>12.9999</formula>
    </cfRule>
    <cfRule type="cellIs" dxfId="563" priority="68" operator="between">
      <formula>7</formula>
      <formula>9.9999</formula>
    </cfRule>
    <cfRule type="cellIs" dxfId="562" priority="69" operator="between">
      <formula>4</formula>
      <formula>6.9999</formula>
    </cfRule>
    <cfRule type="cellIs" dxfId="561" priority="70" operator="between">
      <formula>0.1</formula>
      <formula>3.9999</formula>
    </cfRule>
  </conditionalFormatting>
  <conditionalFormatting sqref="I63">
    <cfRule type="cellIs" dxfId="560" priority="61" operator="equal">
      <formula>"Improving"</formula>
    </cfRule>
    <cfRule type="cellIs" dxfId="559" priority="62" operator="equal">
      <formula>"Optimising"</formula>
    </cfRule>
    <cfRule type="cellIs" dxfId="558" priority="63" operator="equal">
      <formula>"Proactive"</formula>
    </cfRule>
    <cfRule type="cellIs" dxfId="557" priority="64" operator="equal">
      <formula>"Reactive"</formula>
    </cfRule>
    <cfRule type="cellIs" dxfId="556" priority="65" operator="equal">
      <formula>"No Formal Approach"</formula>
    </cfRule>
  </conditionalFormatting>
  <conditionalFormatting sqref="G66">
    <cfRule type="cellIs" dxfId="555" priority="56" operator="between">
      <formula>13</formula>
      <formula>15.9999</formula>
    </cfRule>
    <cfRule type="cellIs" dxfId="554" priority="57" operator="between">
      <formula>10</formula>
      <formula>12.9999</formula>
    </cfRule>
    <cfRule type="cellIs" dxfId="553" priority="58" operator="between">
      <formula>7</formula>
      <formula>9.9999</formula>
    </cfRule>
    <cfRule type="cellIs" dxfId="552" priority="59" operator="between">
      <formula>4</formula>
      <formula>6.9999</formula>
    </cfRule>
    <cfRule type="cellIs" dxfId="551" priority="60" operator="between">
      <formula>0.1</formula>
      <formula>3.9999</formula>
    </cfRule>
  </conditionalFormatting>
  <conditionalFormatting sqref="I66">
    <cfRule type="cellIs" dxfId="550" priority="51" operator="equal">
      <formula>"Improving"</formula>
    </cfRule>
    <cfRule type="cellIs" dxfId="549" priority="52" operator="equal">
      <formula>"Optimising"</formula>
    </cfRule>
    <cfRule type="cellIs" dxfId="548" priority="53" operator="equal">
      <formula>"Proactive"</formula>
    </cfRule>
    <cfRule type="cellIs" dxfId="547" priority="54" operator="equal">
      <formula>"Reactive"</formula>
    </cfRule>
    <cfRule type="cellIs" dxfId="546" priority="55" operator="equal">
      <formula>"No Formal Approach"</formula>
    </cfRule>
  </conditionalFormatting>
  <conditionalFormatting sqref="G73">
    <cfRule type="cellIs" dxfId="545" priority="46" operator="between">
      <formula>13</formula>
      <formula>15.9999</formula>
    </cfRule>
    <cfRule type="cellIs" dxfId="544" priority="47" operator="between">
      <formula>10</formula>
      <formula>12.9999</formula>
    </cfRule>
    <cfRule type="cellIs" dxfId="543" priority="48" operator="between">
      <formula>7</formula>
      <formula>9.9999</formula>
    </cfRule>
    <cfRule type="cellIs" dxfId="542" priority="49" operator="between">
      <formula>4</formula>
      <formula>6.9999</formula>
    </cfRule>
    <cfRule type="cellIs" dxfId="541" priority="50" operator="between">
      <formula>0.1</formula>
      <formula>3.9999</formula>
    </cfRule>
  </conditionalFormatting>
  <conditionalFormatting sqref="I73">
    <cfRule type="cellIs" dxfId="540" priority="41" operator="equal">
      <formula>"Improving"</formula>
    </cfRule>
    <cfRule type="cellIs" dxfId="539" priority="42" operator="equal">
      <formula>"Optimising"</formula>
    </cfRule>
    <cfRule type="cellIs" dxfId="538" priority="43" operator="equal">
      <formula>"Proactive"</formula>
    </cfRule>
    <cfRule type="cellIs" dxfId="537" priority="44" operator="equal">
      <formula>"Reactive"</formula>
    </cfRule>
    <cfRule type="cellIs" dxfId="536" priority="45" operator="equal">
      <formula>"No Formal Approach"</formula>
    </cfRule>
  </conditionalFormatting>
  <conditionalFormatting sqref="G80">
    <cfRule type="cellIs" dxfId="535" priority="36" operator="between">
      <formula>13</formula>
      <formula>15.9999</formula>
    </cfRule>
    <cfRule type="cellIs" dxfId="534" priority="37" operator="between">
      <formula>10</formula>
      <formula>12.9999</formula>
    </cfRule>
    <cfRule type="cellIs" dxfId="533" priority="38" operator="between">
      <formula>7</formula>
      <formula>9.9999</formula>
    </cfRule>
    <cfRule type="cellIs" dxfId="532" priority="39" operator="between">
      <formula>4</formula>
      <formula>6.9999</formula>
    </cfRule>
    <cfRule type="cellIs" dxfId="531" priority="40" operator="between">
      <formula>0.1</formula>
      <formula>3.9999</formula>
    </cfRule>
  </conditionalFormatting>
  <conditionalFormatting sqref="I80">
    <cfRule type="cellIs" dxfId="530" priority="31" operator="equal">
      <formula>"Improving"</formula>
    </cfRule>
    <cfRule type="cellIs" dxfId="529" priority="32" operator="equal">
      <formula>"Optimising"</formula>
    </cfRule>
    <cfRule type="cellIs" dxfId="528" priority="33" operator="equal">
      <formula>"Proactive"</formula>
    </cfRule>
    <cfRule type="cellIs" dxfId="527" priority="34" operator="equal">
      <formula>"Reactive"</formula>
    </cfRule>
    <cfRule type="cellIs" dxfId="526" priority="35" operator="equal">
      <formula>"No Formal Approach"</formula>
    </cfRule>
  </conditionalFormatting>
  <conditionalFormatting sqref="G87">
    <cfRule type="cellIs" dxfId="525" priority="26" operator="between">
      <formula>13</formula>
      <formula>15.9999</formula>
    </cfRule>
    <cfRule type="cellIs" dxfId="524" priority="27" operator="between">
      <formula>10</formula>
      <formula>12.9999</formula>
    </cfRule>
    <cfRule type="cellIs" dxfId="523" priority="28" operator="between">
      <formula>7</formula>
      <formula>9.9999</formula>
    </cfRule>
    <cfRule type="cellIs" dxfId="522" priority="29" operator="between">
      <formula>4</formula>
      <formula>6.9999</formula>
    </cfRule>
    <cfRule type="cellIs" dxfId="521" priority="30" operator="between">
      <formula>0.1</formula>
      <formula>3.9999</formula>
    </cfRule>
  </conditionalFormatting>
  <conditionalFormatting sqref="I87">
    <cfRule type="cellIs" dxfId="520" priority="21" operator="equal">
      <formula>"Improving"</formula>
    </cfRule>
    <cfRule type="cellIs" dxfId="519" priority="22" operator="equal">
      <formula>"Optimising"</formula>
    </cfRule>
    <cfRule type="cellIs" dxfId="518" priority="23" operator="equal">
      <formula>"Proactive"</formula>
    </cfRule>
    <cfRule type="cellIs" dxfId="517" priority="24" operator="equal">
      <formula>"Reactive"</formula>
    </cfRule>
    <cfRule type="cellIs" dxfId="516" priority="25" operator="equal">
      <formula>"No Formal Approach"</formula>
    </cfRule>
  </conditionalFormatting>
  <conditionalFormatting sqref="G94">
    <cfRule type="cellIs" dxfId="515" priority="16" operator="between">
      <formula>13</formula>
      <formula>15.9999</formula>
    </cfRule>
    <cfRule type="cellIs" dxfId="514" priority="17" operator="between">
      <formula>10</formula>
      <formula>12.9999</formula>
    </cfRule>
    <cfRule type="cellIs" dxfId="513" priority="18" operator="between">
      <formula>7</formula>
      <formula>9.9999</formula>
    </cfRule>
    <cfRule type="cellIs" dxfId="512" priority="19" operator="between">
      <formula>4</formula>
      <formula>6.9999</formula>
    </cfRule>
    <cfRule type="cellIs" dxfId="511" priority="20" operator="between">
      <formula>0.1</formula>
      <formula>3.9999</formula>
    </cfRule>
  </conditionalFormatting>
  <conditionalFormatting sqref="I94">
    <cfRule type="cellIs" dxfId="510" priority="11" operator="equal">
      <formula>"Improving"</formula>
    </cfRule>
    <cfRule type="cellIs" dxfId="509" priority="12" operator="equal">
      <formula>"Optimising"</formula>
    </cfRule>
    <cfRule type="cellIs" dxfId="508" priority="13" operator="equal">
      <formula>"Proactive"</formula>
    </cfRule>
    <cfRule type="cellIs" dxfId="507" priority="14" operator="equal">
      <formula>"Reactive"</formula>
    </cfRule>
    <cfRule type="cellIs" dxfId="506" priority="15" operator="equal">
      <formula>"No Formal Approach"</formula>
    </cfRule>
  </conditionalFormatting>
  <conditionalFormatting sqref="G95:G100">
    <cfRule type="cellIs" dxfId="505" priority="6" operator="between">
      <formula>13</formula>
      <formula>15.9999</formula>
    </cfRule>
    <cfRule type="cellIs" dxfId="504" priority="7" operator="between">
      <formula>10</formula>
      <formula>12.9999</formula>
    </cfRule>
    <cfRule type="cellIs" dxfId="503" priority="8" operator="between">
      <formula>7</formula>
      <formula>9.9999</formula>
    </cfRule>
    <cfRule type="cellIs" dxfId="502" priority="9" operator="between">
      <formula>4</formula>
      <formula>6.9999</formula>
    </cfRule>
    <cfRule type="cellIs" dxfId="501" priority="10" operator="between">
      <formula>0.1</formula>
      <formula>3.9999</formula>
    </cfRule>
  </conditionalFormatting>
  <conditionalFormatting sqref="I95:I100">
    <cfRule type="cellIs" dxfId="500" priority="1" operator="equal">
      <formula>"Improving"</formula>
    </cfRule>
    <cfRule type="cellIs" dxfId="499" priority="2" operator="equal">
      <formula>"Optimising"</formula>
    </cfRule>
    <cfRule type="cellIs" dxfId="498" priority="3" operator="equal">
      <formula>"Proactive"</formula>
    </cfRule>
    <cfRule type="cellIs" dxfId="497" priority="4" operator="equal">
      <formula>"Reactive"</formula>
    </cfRule>
    <cfRule type="cellIs" dxfId="496" priority="5" operator="equal">
      <formula>"No Formal Approach"</formula>
    </cfRule>
  </conditionalFormatting>
  <dataValidations count="3">
    <dataValidation type="list" allowBlank="1" showInputMessage="1" showErrorMessage="1" sqref="K101">
      <formula1>"Opportunity for Improvement, Comments / Remarks, Noteworthy / Best Practice"</formula1>
    </dataValidation>
    <dataValidation type="list" allowBlank="1" showInputMessage="1" showErrorMessage="1" sqref="G37:G42 G44:G51 G53:G58 G5:G12 G60:G62 G64:G65 G67:G72 G14:G35 G74:G79 G81:G86 G88:G93 G95:G100">
      <formula1>Scores</formula1>
    </dataValidation>
    <dataValidation type="list" allowBlank="1" showInputMessage="1" showErrorMessage="1" sqref="K37:K42 K44:K51 K53:K58 K5:K12 K60:K62 K64:K65 K67:K72 K14:K35 K74:K79 K81:K86 K88:K93 K95:K100">
      <formula1>Finding_Type</formula1>
    </dataValidation>
  </dataValidations>
  <printOptions horizontalCentered="1" gridLines="1"/>
  <pageMargins left="0.27559055118110237" right="0.27559055118110237" top="0.39370078740157483" bottom="0.43307086614173229" header="0.23622047244094491" footer="0.19685039370078741"/>
  <pageSetup paperSize="9" scale="39" fitToHeight="100" orientation="landscape" r:id="rId1"/>
  <headerFooter>
    <oddHeader>&amp;RInformation Classification: SEC2 Customer Confidential</oddHeader>
    <oddFooter>&amp;L&amp;"Arial,Normaali"&amp;10File: &amp;F&amp;C&amp;"Arial,Normaali"&amp;10Worksheet: &amp;A&amp;R&amp;"Arial,Normaali"&amp;10Page: &amp;P / &amp;N</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filterMode="1">
    <pageSetUpPr fitToPage="1"/>
  </sheetPr>
  <dimension ref="A1:R214"/>
  <sheetViews>
    <sheetView zoomScaleNormal="100" workbookViewId="0">
      <pane xSplit="4" ySplit="3" topLeftCell="G4" activePane="bottomRight" state="frozen"/>
      <selection activeCell="B4" sqref="B4"/>
      <selection pane="topRight" activeCell="B4" sqref="B4"/>
      <selection pane="bottomLeft" activeCell="B4" sqref="B4"/>
      <selection pane="bottomRight" activeCell="B3" sqref="B3"/>
    </sheetView>
  </sheetViews>
  <sheetFormatPr defaultColWidth="9.109375" defaultRowHeight="14.4" x14ac:dyDescent="0.3"/>
  <cols>
    <col min="1" max="1" width="0.88671875" style="62" customWidth="1"/>
    <col min="2" max="2" width="13.44140625" style="20" customWidth="1"/>
    <col min="3" max="3" width="7.88671875" style="63" customWidth="1"/>
    <col min="4" max="4" width="33.44140625" style="36" customWidth="1"/>
    <col min="5" max="5" width="111.33203125" style="44" hidden="1" customWidth="1"/>
    <col min="6" max="6" width="13.5546875" style="100" hidden="1" customWidth="1"/>
    <col min="7" max="7" width="13" style="31" customWidth="1"/>
    <col min="8" max="8" width="29.109375" style="76" customWidth="1"/>
    <col min="9" max="9" width="29.33203125" style="70" customWidth="1"/>
    <col min="10" max="10" width="29.33203125" style="77" customWidth="1"/>
    <col min="11" max="11" width="16.44140625" style="70" customWidth="1"/>
    <col min="12" max="12" width="35.6640625" style="77" customWidth="1"/>
    <col min="13" max="13" width="17.109375" style="70" customWidth="1"/>
    <col min="14" max="14" width="19.33203125" style="70" customWidth="1"/>
    <col min="15" max="15" width="17.6640625" style="70" customWidth="1"/>
    <col min="16" max="16" width="19" style="70" customWidth="1"/>
    <col min="17" max="17" width="32.6640625" style="77" customWidth="1"/>
    <col min="18" max="18" width="17.5546875" style="70" customWidth="1"/>
    <col min="19" max="16384" width="9.109375" style="57"/>
  </cols>
  <sheetData>
    <row r="1" spans="2:18" ht="8.4" customHeight="1" x14ac:dyDescent="0.3">
      <c r="B1" s="20" t="s">
        <v>18</v>
      </c>
      <c r="E1" s="44" t="s">
        <v>18</v>
      </c>
    </row>
    <row r="2" spans="2:18" s="62" customFormat="1" ht="30" customHeight="1" x14ac:dyDescent="0.3">
      <c r="B2" s="20"/>
      <c r="C2" s="63"/>
      <c r="D2" s="64" t="s">
        <v>389</v>
      </c>
      <c r="E2" s="379" t="str">
        <f>'Report (OMMi) - Var 1'!E5</f>
        <v>A Big Important Account</v>
      </c>
      <c r="F2" s="379"/>
      <c r="G2" s="379"/>
      <c r="H2" s="379"/>
      <c r="I2" s="379"/>
      <c r="J2" s="77"/>
      <c r="K2" s="70"/>
      <c r="L2" s="77"/>
      <c r="M2" s="70"/>
      <c r="N2" s="70"/>
      <c r="O2" s="70"/>
      <c r="P2" s="70"/>
      <c r="Q2" s="77"/>
      <c r="R2" s="70"/>
    </row>
    <row r="3" spans="2:18" s="99" customFormat="1" ht="44.25" customHeight="1" x14ac:dyDescent="0.3">
      <c r="B3" s="56" t="s">
        <v>49</v>
      </c>
      <c r="C3" s="96" t="s">
        <v>51</v>
      </c>
      <c r="D3" s="56" t="s">
        <v>181</v>
      </c>
      <c r="E3" s="56" t="s">
        <v>52</v>
      </c>
      <c r="F3" s="102" t="s">
        <v>411</v>
      </c>
      <c r="G3" s="56" t="s">
        <v>53</v>
      </c>
      <c r="H3" s="97" t="s">
        <v>32</v>
      </c>
      <c r="I3" s="98" t="s">
        <v>388</v>
      </c>
      <c r="J3" s="98" t="s">
        <v>387</v>
      </c>
      <c r="K3" s="98" t="s">
        <v>36</v>
      </c>
      <c r="L3" s="98" t="s">
        <v>2</v>
      </c>
      <c r="M3" s="98" t="s">
        <v>37</v>
      </c>
      <c r="N3" s="98" t="s">
        <v>27</v>
      </c>
      <c r="O3" s="98" t="s">
        <v>28</v>
      </c>
      <c r="P3" s="98" t="s">
        <v>40</v>
      </c>
      <c r="Q3" s="98" t="s">
        <v>3</v>
      </c>
      <c r="R3" s="98" t="s">
        <v>41</v>
      </c>
    </row>
    <row r="4" spans="2:18" s="55" customFormat="1" ht="27.6" hidden="1" x14ac:dyDescent="0.3">
      <c r="B4" s="81" t="s">
        <v>182</v>
      </c>
      <c r="C4" s="82" t="s">
        <v>264</v>
      </c>
      <c r="D4" s="83" t="s">
        <v>183</v>
      </c>
      <c r="E4" s="84"/>
      <c r="F4" s="101"/>
      <c r="G4" s="105"/>
      <c r="H4" s="78"/>
      <c r="I4" s="71"/>
      <c r="J4" s="65"/>
      <c r="K4" s="71"/>
      <c r="L4" s="65"/>
      <c r="M4" s="71"/>
      <c r="N4" s="71"/>
      <c r="O4" s="71"/>
      <c r="P4" s="108"/>
      <c r="Q4" s="66"/>
      <c r="R4" s="108"/>
    </row>
    <row r="5" spans="2:18" s="30" customFormat="1" ht="19.5" hidden="1" customHeight="1" x14ac:dyDescent="0.3">
      <c r="B5" s="81" t="s">
        <v>182</v>
      </c>
      <c r="C5" s="82" t="s">
        <v>265</v>
      </c>
      <c r="D5" s="83" t="s">
        <v>184</v>
      </c>
      <c r="E5" s="85"/>
      <c r="F5" s="101"/>
      <c r="G5" s="105"/>
      <c r="H5" s="78"/>
      <c r="I5" s="71"/>
      <c r="J5" s="65"/>
      <c r="K5" s="71"/>
      <c r="L5" s="65" t="s">
        <v>18</v>
      </c>
      <c r="M5" s="71"/>
      <c r="N5" s="71"/>
      <c r="O5" s="71"/>
      <c r="P5" s="71"/>
      <c r="Q5" s="66"/>
      <c r="R5" s="71"/>
    </row>
    <row r="6" spans="2:18" s="30" customFormat="1" ht="138" hidden="1" x14ac:dyDescent="0.3">
      <c r="B6" s="81" t="s">
        <v>182</v>
      </c>
      <c r="C6" s="86" t="s">
        <v>263</v>
      </c>
      <c r="D6" s="60" t="s">
        <v>185</v>
      </c>
      <c r="E6" s="87" t="s">
        <v>186</v>
      </c>
      <c r="F6" s="101"/>
      <c r="G6" s="105"/>
      <c r="H6" s="78"/>
      <c r="I6" s="71"/>
      <c r="J6" s="65"/>
      <c r="K6" s="71"/>
      <c r="L6" s="65"/>
      <c r="M6" s="71"/>
      <c r="N6" s="71"/>
      <c r="O6" s="71"/>
      <c r="P6" s="71"/>
      <c r="Q6" s="66"/>
      <c r="R6" s="71"/>
    </row>
    <row r="7" spans="2:18" s="30" customFormat="1" ht="110.4" hidden="1" x14ac:dyDescent="0.3">
      <c r="B7" s="81" t="s">
        <v>182</v>
      </c>
      <c r="C7" s="86" t="s">
        <v>266</v>
      </c>
      <c r="D7" s="60" t="s">
        <v>187</v>
      </c>
      <c r="E7" s="87" t="s">
        <v>267</v>
      </c>
      <c r="F7" s="101"/>
      <c r="G7" s="105"/>
      <c r="H7" s="78"/>
      <c r="I7" s="71"/>
      <c r="J7" s="65"/>
      <c r="K7" s="71"/>
      <c r="L7" s="65"/>
      <c r="M7" s="71"/>
      <c r="N7" s="71"/>
      <c r="O7" s="71"/>
      <c r="P7" s="71"/>
      <c r="Q7" s="66"/>
      <c r="R7" s="71"/>
    </row>
    <row r="8" spans="2:18" s="30" customFormat="1" ht="41.4" hidden="1" x14ac:dyDescent="0.3">
      <c r="B8" s="81" t="s">
        <v>182</v>
      </c>
      <c r="C8" s="86" t="s">
        <v>268</v>
      </c>
      <c r="D8" s="60" t="s">
        <v>188</v>
      </c>
      <c r="E8" s="87" t="s">
        <v>189</v>
      </c>
      <c r="F8" s="101"/>
      <c r="G8" s="105"/>
      <c r="H8" s="78"/>
      <c r="I8" s="71"/>
      <c r="J8" s="65"/>
      <c r="K8" s="71"/>
      <c r="L8" s="65"/>
      <c r="M8" s="71"/>
      <c r="N8" s="71"/>
      <c r="O8" s="71"/>
      <c r="P8" s="71"/>
      <c r="Q8" s="66"/>
      <c r="R8" s="71"/>
    </row>
    <row r="9" spans="2:18" s="30" customFormat="1" ht="124.2" hidden="1" x14ac:dyDescent="0.3">
      <c r="B9" s="81" t="s">
        <v>182</v>
      </c>
      <c r="C9" s="86" t="s">
        <v>269</v>
      </c>
      <c r="D9" s="60" t="s">
        <v>190</v>
      </c>
      <c r="E9" s="87" t="s">
        <v>191</v>
      </c>
      <c r="F9" s="101"/>
      <c r="G9" s="105"/>
      <c r="H9" s="78"/>
      <c r="I9" s="71"/>
      <c r="J9" s="65"/>
      <c r="K9" s="71"/>
      <c r="L9" s="65"/>
      <c r="M9" s="71"/>
      <c r="N9" s="71"/>
      <c r="O9" s="71"/>
      <c r="P9" s="71"/>
      <c r="Q9" s="66"/>
      <c r="R9" s="71"/>
    </row>
    <row r="10" spans="2:18" s="30" customFormat="1" ht="138" hidden="1" x14ac:dyDescent="0.3">
      <c r="B10" s="81" t="s">
        <v>182</v>
      </c>
      <c r="C10" s="86" t="s">
        <v>286</v>
      </c>
      <c r="D10" s="60" t="s">
        <v>192</v>
      </c>
      <c r="E10" s="87" t="s">
        <v>193</v>
      </c>
      <c r="F10" s="101"/>
      <c r="G10" s="105"/>
      <c r="H10" s="78"/>
      <c r="I10" s="71"/>
      <c r="J10" s="65"/>
      <c r="K10" s="71"/>
      <c r="L10" s="65"/>
      <c r="M10" s="71"/>
      <c r="N10" s="71"/>
      <c r="O10" s="71"/>
      <c r="P10" s="71"/>
      <c r="Q10" s="66"/>
      <c r="R10" s="71"/>
    </row>
    <row r="11" spans="2:18" s="30" customFormat="1" ht="19.5" hidden="1" customHeight="1" x14ac:dyDescent="0.3">
      <c r="B11" s="81" t="s">
        <v>182</v>
      </c>
      <c r="C11" s="82" t="s">
        <v>287</v>
      </c>
      <c r="D11" s="83" t="s">
        <v>194</v>
      </c>
      <c r="E11" s="85"/>
      <c r="F11" s="101">
        <v>7.5</v>
      </c>
      <c r="G11" s="105"/>
      <c r="H11" s="78"/>
      <c r="I11" s="71"/>
      <c r="J11" s="65"/>
      <c r="K11" s="71"/>
      <c r="L11" s="65" t="s">
        <v>18</v>
      </c>
      <c r="M11" s="71"/>
      <c r="N11" s="71"/>
      <c r="O11" s="71"/>
      <c r="P11" s="71"/>
      <c r="Q11" s="66"/>
      <c r="R11" s="71"/>
    </row>
    <row r="12" spans="2:18" s="30" customFormat="1" ht="151.80000000000001" hidden="1" x14ac:dyDescent="0.3">
      <c r="B12" s="81" t="s">
        <v>182</v>
      </c>
      <c r="C12" s="86" t="s">
        <v>270</v>
      </c>
      <c r="D12" s="60" t="s">
        <v>195</v>
      </c>
      <c r="E12" s="87" t="s">
        <v>412</v>
      </c>
      <c r="F12" s="101"/>
      <c r="G12" s="105"/>
      <c r="H12" s="78"/>
      <c r="I12" s="71"/>
      <c r="J12" s="65"/>
      <c r="K12" s="71"/>
      <c r="L12" s="65"/>
      <c r="M12" s="71"/>
      <c r="N12" s="71"/>
      <c r="O12" s="71"/>
      <c r="P12" s="71"/>
      <c r="Q12" s="66"/>
      <c r="R12" s="71"/>
    </row>
    <row r="13" spans="2:18" s="30" customFormat="1" ht="151.80000000000001" hidden="1" x14ac:dyDescent="0.3">
      <c r="B13" s="81" t="s">
        <v>182</v>
      </c>
      <c r="C13" s="86" t="s">
        <v>271</v>
      </c>
      <c r="D13" s="60" t="s">
        <v>196</v>
      </c>
      <c r="E13" s="87" t="s">
        <v>272</v>
      </c>
      <c r="F13" s="101"/>
      <c r="G13" s="105"/>
      <c r="H13" s="78"/>
      <c r="I13" s="71"/>
      <c r="J13" s="65"/>
      <c r="K13" s="71"/>
      <c r="L13" s="65"/>
      <c r="M13" s="71"/>
      <c r="N13" s="71"/>
      <c r="O13" s="71"/>
      <c r="P13" s="71"/>
      <c r="Q13" s="66"/>
      <c r="R13" s="71"/>
    </row>
    <row r="14" spans="2:18" s="30" customFormat="1" ht="41.4" hidden="1" x14ac:dyDescent="0.3">
      <c r="B14" s="81" t="s">
        <v>182</v>
      </c>
      <c r="C14" s="86" t="s">
        <v>273</v>
      </c>
      <c r="D14" s="60" t="s">
        <v>197</v>
      </c>
      <c r="E14" s="87" t="s">
        <v>198</v>
      </c>
      <c r="F14" s="101"/>
      <c r="G14" s="105"/>
      <c r="H14" s="78"/>
      <c r="I14" s="71"/>
      <c r="J14" s="65"/>
      <c r="K14" s="71"/>
      <c r="L14" s="65"/>
      <c r="M14" s="71"/>
      <c r="N14" s="71"/>
      <c r="O14" s="71"/>
      <c r="P14" s="71"/>
      <c r="Q14" s="66"/>
      <c r="R14" s="71"/>
    </row>
    <row r="15" spans="2:18" s="30" customFormat="1" ht="37.5" hidden="1" customHeight="1" x14ac:dyDescent="0.3">
      <c r="B15" s="81" t="s">
        <v>182</v>
      </c>
      <c r="C15" s="82" t="s">
        <v>288</v>
      </c>
      <c r="D15" s="83" t="s">
        <v>199</v>
      </c>
      <c r="E15" s="85"/>
      <c r="F15" s="101"/>
      <c r="G15" s="105"/>
      <c r="H15" s="78"/>
      <c r="I15" s="71"/>
      <c r="J15" s="65"/>
      <c r="K15" s="71"/>
      <c r="L15" s="65" t="s">
        <v>18</v>
      </c>
      <c r="M15" s="71"/>
      <c r="N15" s="71"/>
      <c r="O15" s="71"/>
      <c r="P15" s="71"/>
      <c r="Q15" s="66"/>
      <c r="R15" s="71"/>
    </row>
    <row r="16" spans="2:18" s="30" customFormat="1" ht="41.4" hidden="1" x14ac:dyDescent="0.3">
      <c r="B16" s="81" t="s">
        <v>182</v>
      </c>
      <c r="C16" s="86" t="s">
        <v>290</v>
      </c>
      <c r="D16" s="60" t="s">
        <v>200</v>
      </c>
      <c r="E16" s="87" t="s">
        <v>201</v>
      </c>
      <c r="F16" s="101"/>
      <c r="G16" s="105"/>
      <c r="H16" s="78"/>
      <c r="I16" s="71"/>
      <c r="J16" s="65"/>
      <c r="K16" s="71"/>
      <c r="L16" s="65"/>
      <c r="M16" s="71"/>
      <c r="N16" s="71"/>
      <c r="O16" s="71"/>
      <c r="P16" s="71"/>
      <c r="Q16" s="66"/>
      <c r="R16" s="71"/>
    </row>
    <row r="17" spans="2:18" s="30" customFormat="1" ht="110.4" hidden="1" x14ac:dyDescent="0.3">
      <c r="B17" s="81" t="s">
        <v>182</v>
      </c>
      <c r="C17" s="86" t="s">
        <v>291</v>
      </c>
      <c r="D17" s="60" t="s">
        <v>202</v>
      </c>
      <c r="E17" s="87" t="s">
        <v>203</v>
      </c>
      <c r="F17" s="101"/>
      <c r="G17" s="105"/>
      <c r="H17" s="78"/>
      <c r="I17" s="71"/>
      <c r="J17" s="65"/>
      <c r="K17" s="71"/>
      <c r="L17" s="65"/>
      <c r="M17" s="71"/>
      <c r="N17" s="71"/>
      <c r="O17" s="71"/>
      <c r="P17" s="71"/>
      <c r="Q17" s="66"/>
      <c r="R17" s="71"/>
    </row>
    <row r="18" spans="2:18" s="30" customFormat="1" ht="19.5" hidden="1" customHeight="1" x14ac:dyDescent="0.3">
      <c r="B18" s="81" t="s">
        <v>182</v>
      </c>
      <c r="C18" s="82" t="s">
        <v>289</v>
      </c>
      <c r="D18" s="83" t="s">
        <v>204</v>
      </c>
      <c r="E18" s="85"/>
      <c r="F18" s="101"/>
      <c r="G18" s="105"/>
      <c r="H18" s="78"/>
      <c r="I18" s="71"/>
      <c r="J18" s="65"/>
      <c r="K18" s="71"/>
      <c r="L18" s="65" t="s">
        <v>18</v>
      </c>
      <c r="M18" s="71"/>
      <c r="N18" s="71"/>
      <c r="O18" s="71"/>
      <c r="P18" s="71"/>
      <c r="Q18" s="66"/>
      <c r="R18" s="71"/>
    </row>
    <row r="19" spans="2:18" s="30" customFormat="1" ht="82.8" hidden="1" x14ac:dyDescent="0.3">
      <c r="B19" s="81" t="s">
        <v>182</v>
      </c>
      <c r="C19" s="86" t="s">
        <v>274</v>
      </c>
      <c r="D19" s="60" t="s">
        <v>205</v>
      </c>
      <c r="E19" s="87" t="s">
        <v>206</v>
      </c>
      <c r="F19" s="101"/>
      <c r="G19" s="105"/>
      <c r="H19" s="78"/>
      <c r="I19" s="71"/>
      <c r="J19" s="65"/>
      <c r="K19" s="71"/>
      <c r="L19" s="65"/>
      <c r="M19" s="71"/>
      <c r="N19" s="71"/>
      <c r="O19" s="71"/>
      <c r="P19" s="71"/>
      <c r="Q19" s="66"/>
      <c r="R19" s="71"/>
    </row>
    <row r="20" spans="2:18" s="30" customFormat="1" ht="248.4" hidden="1" x14ac:dyDescent="0.3">
      <c r="B20" s="81" t="s">
        <v>182</v>
      </c>
      <c r="C20" s="86" t="s">
        <v>275</v>
      </c>
      <c r="D20" s="60" t="s">
        <v>207</v>
      </c>
      <c r="E20" s="87" t="s">
        <v>208</v>
      </c>
      <c r="F20" s="101"/>
      <c r="G20" s="105"/>
      <c r="H20" s="78"/>
      <c r="I20" s="71"/>
      <c r="J20" s="65"/>
      <c r="K20" s="71"/>
      <c r="L20" s="65"/>
      <c r="M20" s="71"/>
      <c r="N20" s="71"/>
      <c r="O20" s="71"/>
      <c r="P20" s="71"/>
      <c r="Q20" s="66"/>
      <c r="R20" s="71"/>
    </row>
    <row r="21" spans="2:18" s="30" customFormat="1" ht="110.4" hidden="1" x14ac:dyDescent="0.3">
      <c r="B21" s="81" t="s">
        <v>182</v>
      </c>
      <c r="C21" s="86" t="s">
        <v>276</v>
      </c>
      <c r="D21" s="60" t="s">
        <v>209</v>
      </c>
      <c r="E21" s="87" t="s">
        <v>210</v>
      </c>
      <c r="F21" s="101"/>
      <c r="G21" s="105"/>
      <c r="H21" s="78"/>
      <c r="I21" s="71"/>
      <c r="J21" s="65"/>
      <c r="K21" s="71"/>
      <c r="L21" s="65"/>
      <c r="M21" s="71"/>
      <c r="N21" s="71"/>
      <c r="O21" s="71"/>
      <c r="P21" s="71"/>
      <c r="Q21" s="66"/>
      <c r="R21" s="71"/>
    </row>
    <row r="22" spans="2:18" s="30" customFormat="1" ht="19.5" hidden="1" customHeight="1" x14ac:dyDescent="0.3">
      <c r="B22" s="88" t="s">
        <v>182</v>
      </c>
      <c r="C22" s="82" t="s">
        <v>277</v>
      </c>
      <c r="D22" s="83" t="s">
        <v>211</v>
      </c>
      <c r="E22" s="85"/>
      <c r="F22" s="101"/>
      <c r="G22" s="105"/>
      <c r="H22" s="78"/>
      <c r="I22" s="71"/>
      <c r="J22" s="65"/>
      <c r="K22" s="71"/>
      <c r="L22" s="65"/>
      <c r="M22" s="71"/>
      <c r="N22" s="71"/>
      <c r="O22" s="71"/>
      <c r="P22" s="71"/>
      <c r="Q22" s="66"/>
      <c r="R22" s="71"/>
    </row>
    <row r="23" spans="2:18" s="30" customFormat="1" ht="110.4" hidden="1" x14ac:dyDescent="0.3">
      <c r="B23" s="81" t="s">
        <v>182</v>
      </c>
      <c r="C23" s="86" t="s">
        <v>294</v>
      </c>
      <c r="D23" s="60" t="s">
        <v>66</v>
      </c>
      <c r="E23" s="87" t="s">
        <v>212</v>
      </c>
      <c r="F23" s="101"/>
      <c r="G23" s="105"/>
      <c r="H23" s="78"/>
      <c r="I23" s="71"/>
      <c r="J23" s="65"/>
      <c r="K23" s="71"/>
      <c r="L23" s="65"/>
      <c r="M23" s="71"/>
      <c r="N23" s="71"/>
      <c r="O23" s="71"/>
      <c r="P23" s="71"/>
      <c r="Q23" s="66"/>
      <c r="R23" s="71"/>
    </row>
    <row r="24" spans="2:18" s="30" customFormat="1" ht="179.4" hidden="1" x14ac:dyDescent="0.3">
      <c r="B24" s="81" t="s">
        <v>182</v>
      </c>
      <c r="C24" s="86" t="s">
        <v>292</v>
      </c>
      <c r="D24" s="60" t="s">
        <v>213</v>
      </c>
      <c r="E24" s="87" t="s">
        <v>262</v>
      </c>
      <c r="F24" s="101"/>
      <c r="G24" s="105"/>
      <c r="H24" s="78"/>
      <c r="I24" s="71"/>
      <c r="J24" s="65"/>
      <c r="K24" s="71"/>
      <c r="L24" s="65"/>
      <c r="M24" s="71"/>
      <c r="N24" s="71"/>
      <c r="O24" s="71"/>
      <c r="P24" s="71"/>
      <c r="Q24" s="66"/>
      <c r="R24" s="71"/>
    </row>
    <row r="25" spans="2:18" s="30" customFormat="1" ht="220.8" hidden="1" x14ac:dyDescent="0.3">
      <c r="B25" s="81" t="s">
        <v>182</v>
      </c>
      <c r="C25" s="86" t="s">
        <v>293</v>
      </c>
      <c r="D25" s="60" t="s">
        <v>165</v>
      </c>
      <c r="E25" s="87" t="s">
        <v>214</v>
      </c>
      <c r="F25" s="101"/>
      <c r="G25" s="105"/>
      <c r="H25" s="78"/>
      <c r="I25" s="71"/>
      <c r="J25" s="65"/>
      <c r="K25" s="71"/>
      <c r="L25" s="65"/>
      <c r="M25" s="71"/>
      <c r="N25" s="71"/>
      <c r="O25" s="71"/>
      <c r="P25" s="71"/>
      <c r="Q25" s="66"/>
      <c r="R25" s="71"/>
    </row>
    <row r="26" spans="2:18" s="30" customFormat="1" hidden="1" x14ac:dyDescent="0.3">
      <c r="B26" s="81" t="s">
        <v>182</v>
      </c>
      <c r="C26" s="82" t="s">
        <v>278</v>
      </c>
      <c r="D26" s="83" t="s">
        <v>215</v>
      </c>
      <c r="E26" s="85"/>
      <c r="F26" s="101"/>
      <c r="G26" s="105"/>
      <c r="H26" s="78"/>
      <c r="I26" s="71"/>
      <c r="J26" s="65"/>
      <c r="K26" s="71"/>
      <c r="L26" s="65"/>
      <c r="M26" s="71"/>
      <c r="N26" s="71"/>
      <c r="O26" s="71"/>
      <c r="P26" s="71"/>
      <c r="Q26" s="66"/>
      <c r="R26" s="71"/>
    </row>
    <row r="27" spans="2:18" s="30" customFormat="1" ht="110.4" hidden="1" x14ac:dyDescent="0.3">
      <c r="B27" s="81" t="s">
        <v>182</v>
      </c>
      <c r="C27" s="86" t="s">
        <v>279</v>
      </c>
      <c r="D27" s="60" t="s">
        <v>66</v>
      </c>
      <c r="E27" s="87" t="s">
        <v>216</v>
      </c>
      <c r="F27" s="101"/>
      <c r="G27" s="105"/>
      <c r="H27" s="78"/>
      <c r="I27" s="71"/>
      <c r="J27" s="65"/>
      <c r="K27" s="71"/>
      <c r="L27" s="65"/>
      <c r="M27" s="71"/>
      <c r="N27" s="71"/>
      <c r="O27" s="71"/>
      <c r="P27" s="71"/>
      <c r="Q27" s="66"/>
      <c r="R27" s="71"/>
    </row>
    <row r="28" spans="2:18" s="30" customFormat="1" ht="110.4" hidden="1" x14ac:dyDescent="0.3">
      <c r="B28" s="81" t="s">
        <v>182</v>
      </c>
      <c r="C28" s="86" t="s">
        <v>280</v>
      </c>
      <c r="D28" s="60" t="s">
        <v>217</v>
      </c>
      <c r="E28" s="87" t="s">
        <v>218</v>
      </c>
      <c r="F28" s="101"/>
      <c r="G28" s="105"/>
      <c r="H28" s="78"/>
      <c r="I28" s="71"/>
      <c r="J28" s="65"/>
      <c r="K28" s="71"/>
      <c r="L28" s="65"/>
      <c r="M28" s="71"/>
      <c r="N28" s="71"/>
      <c r="O28" s="71"/>
      <c r="P28" s="71"/>
      <c r="Q28" s="66"/>
      <c r="R28" s="71"/>
    </row>
    <row r="29" spans="2:18" s="30" customFormat="1" ht="27.6" hidden="1" x14ac:dyDescent="0.3">
      <c r="B29" s="81" t="s">
        <v>182</v>
      </c>
      <c r="C29" s="82" t="s">
        <v>295</v>
      </c>
      <c r="D29" s="83" t="s">
        <v>219</v>
      </c>
      <c r="E29" s="85"/>
      <c r="F29" s="101"/>
      <c r="G29" s="105"/>
      <c r="H29" s="78"/>
      <c r="I29" s="71"/>
      <c r="J29" s="65"/>
      <c r="K29" s="71"/>
      <c r="L29" s="65"/>
      <c r="M29" s="71"/>
      <c r="N29" s="71"/>
      <c r="O29" s="71"/>
      <c r="P29" s="71"/>
      <c r="Q29" s="66"/>
      <c r="R29" s="71"/>
    </row>
    <row r="30" spans="2:18" s="30" customFormat="1" ht="165.6" hidden="1" x14ac:dyDescent="0.3">
      <c r="B30" s="81" t="s">
        <v>182</v>
      </c>
      <c r="C30" s="86" t="s">
        <v>296</v>
      </c>
      <c r="D30" s="60" t="s">
        <v>66</v>
      </c>
      <c r="E30" s="87" t="s">
        <v>390</v>
      </c>
      <c r="F30" s="101"/>
      <c r="G30" s="105"/>
      <c r="H30" s="78"/>
      <c r="I30" s="71"/>
      <c r="J30" s="65"/>
      <c r="K30" s="71"/>
      <c r="L30" s="65"/>
      <c r="M30" s="71"/>
      <c r="N30" s="71"/>
      <c r="O30" s="71"/>
      <c r="P30" s="71"/>
      <c r="Q30" s="66"/>
      <c r="R30" s="71"/>
    </row>
    <row r="31" spans="2:18" s="30" customFormat="1" ht="317.39999999999998" hidden="1" x14ac:dyDescent="0.3">
      <c r="B31" s="81" t="s">
        <v>182</v>
      </c>
      <c r="C31" s="86" t="s">
        <v>297</v>
      </c>
      <c r="D31" s="60" t="s">
        <v>220</v>
      </c>
      <c r="E31" s="87" t="s">
        <v>221</v>
      </c>
      <c r="F31" s="101"/>
      <c r="G31" s="105"/>
      <c r="H31" s="78"/>
      <c r="I31" s="71"/>
      <c r="J31" s="65"/>
      <c r="K31" s="71"/>
      <c r="L31" s="65"/>
      <c r="M31" s="71"/>
      <c r="N31" s="71"/>
      <c r="O31" s="71"/>
      <c r="P31" s="71"/>
      <c r="Q31" s="66"/>
      <c r="R31" s="71"/>
    </row>
    <row r="32" spans="2:18" s="30" customFormat="1" ht="193.2" hidden="1" x14ac:dyDescent="0.3">
      <c r="B32" s="81" t="s">
        <v>182</v>
      </c>
      <c r="C32" s="86" t="s">
        <v>298</v>
      </c>
      <c r="D32" s="60" t="s">
        <v>222</v>
      </c>
      <c r="E32" s="87" t="s">
        <v>223</v>
      </c>
      <c r="F32" s="101"/>
      <c r="G32" s="105"/>
      <c r="H32" s="78"/>
      <c r="I32" s="71"/>
      <c r="J32" s="65"/>
      <c r="K32" s="71"/>
      <c r="L32" s="65"/>
      <c r="M32" s="71"/>
      <c r="N32" s="71"/>
      <c r="O32" s="71"/>
      <c r="P32" s="71"/>
      <c r="Q32" s="66"/>
      <c r="R32" s="71"/>
    </row>
    <row r="33" spans="2:18" s="30" customFormat="1" ht="82.8" hidden="1" x14ac:dyDescent="0.3">
      <c r="B33" s="81" t="s">
        <v>182</v>
      </c>
      <c r="C33" s="86" t="s">
        <v>299</v>
      </c>
      <c r="D33" s="60" t="s">
        <v>224</v>
      </c>
      <c r="E33" s="87" t="s">
        <v>225</v>
      </c>
      <c r="F33" s="101"/>
      <c r="G33" s="105"/>
      <c r="H33" s="78"/>
      <c r="I33" s="71"/>
      <c r="J33" s="65"/>
      <c r="K33" s="71"/>
      <c r="L33" s="65"/>
      <c r="M33" s="71"/>
      <c r="N33" s="71"/>
      <c r="O33" s="71"/>
      <c r="P33" s="71"/>
      <c r="Q33" s="66"/>
      <c r="R33" s="71"/>
    </row>
    <row r="34" spans="2:18" s="30" customFormat="1" hidden="1" x14ac:dyDescent="0.3">
      <c r="B34" s="81" t="s">
        <v>182</v>
      </c>
      <c r="C34" s="82" t="s">
        <v>300</v>
      </c>
      <c r="D34" s="83" t="s">
        <v>226</v>
      </c>
      <c r="E34" s="85"/>
      <c r="F34" s="101"/>
      <c r="G34" s="105"/>
      <c r="H34" s="78"/>
      <c r="I34" s="71"/>
      <c r="J34" s="65"/>
      <c r="K34" s="71"/>
      <c r="L34" s="65"/>
      <c r="M34" s="71"/>
      <c r="N34" s="71"/>
      <c r="O34" s="71"/>
      <c r="P34" s="71"/>
      <c r="Q34" s="66"/>
      <c r="R34" s="71"/>
    </row>
    <row r="35" spans="2:18" s="30" customFormat="1" ht="207" hidden="1" x14ac:dyDescent="0.3">
      <c r="B35" s="81" t="s">
        <v>182</v>
      </c>
      <c r="C35" s="86" t="s">
        <v>301</v>
      </c>
      <c r="D35" s="60" t="s">
        <v>227</v>
      </c>
      <c r="E35" s="87" t="s">
        <v>228</v>
      </c>
      <c r="F35" s="101"/>
      <c r="G35" s="105"/>
      <c r="H35" s="78"/>
      <c r="I35" s="71"/>
      <c r="J35" s="65"/>
      <c r="K35" s="71"/>
      <c r="L35" s="65"/>
      <c r="M35" s="71"/>
      <c r="N35" s="71"/>
      <c r="O35" s="71"/>
      <c r="P35" s="71"/>
      <c r="Q35" s="66"/>
      <c r="R35" s="71"/>
    </row>
    <row r="36" spans="2:18" s="30" customFormat="1" ht="193.2" hidden="1" x14ac:dyDescent="0.3">
      <c r="B36" s="81" t="s">
        <v>182</v>
      </c>
      <c r="C36" s="86" t="s">
        <v>302</v>
      </c>
      <c r="D36" s="60" t="s">
        <v>229</v>
      </c>
      <c r="E36" s="87" t="s">
        <v>230</v>
      </c>
      <c r="F36" s="101"/>
      <c r="G36" s="105"/>
      <c r="H36" s="78"/>
      <c r="I36" s="71"/>
      <c r="J36" s="65"/>
      <c r="K36" s="71"/>
      <c r="L36" s="65"/>
      <c r="M36" s="71"/>
      <c r="N36" s="71"/>
      <c r="O36" s="71"/>
      <c r="P36" s="71"/>
      <c r="Q36" s="66"/>
      <c r="R36" s="71"/>
    </row>
    <row r="37" spans="2:18" s="30" customFormat="1" ht="27.6" hidden="1" x14ac:dyDescent="0.3">
      <c r="B37" s="81" t="s">
        <v>182</v>
      </c>
      <c r="C37" s="82" t="s">
        <v>303</v>
      </c>
      <c r="D37" s="83" t="s">
        <v>231</v>
      </c>
      <c r="E37" s="85"/>
      <c r="F37" s="101"/>
      <c r="G37" s="105"/>
      <c r="H37" s="78"/>
      <c r="I37" s="71"/>
      <c r="J37" s="65"/>
      <c r="K37" s="71"/>
      <c r="L37" s="65"/>
      <c r="M37" s="71"/>
      <c r="N37" s="71"/>
      <c r="O37" s="71"/>
      <c r="P37" s="71"/>
      <c r="Q37" s="66"/>
      <c r="R37" s="71"/>
    </row>
    <row r="38" spans="2:18" s="30" customFormat="1" ht="96.6" hidden="1" x14ac:dyDescent="0.3">
      <c r="B38" s="81" t="s">
        <v>182</v>
      </c>
      <c r="C38" s="86" t="s">
        <v>338</v>
      </c>
      <c r="D38" s="60" t="s">
        <v>232</v>
      </c>
      <c r="E38" s="87" t="s">
        <v>233</v>
      </c>
      <c r="F38" s="101"/>
      <c r="G38" s="105"/>
      <c r="H38" s="78"/>
      <c r="I38" s="71"/>
      <c r="J38" s="65"/>
      <c r="K38" s="71"/>
      <c r="L38" s="65"/>
      <c r="M38" s="71"/>
      <c r="N38" s="71"/>
      <c r="O38" s="71"/>
      <c r="P38" s="71"/>
      <c r="Q38" s="66"/>
      <c r="R38" s="71"/>
    </row>
    <row r="39" spans="2:18" s="30" customFormat="1" ht="138" hidden="1" x14ac:dyDescent="0.3">
      <c r="B39" s="81" t="s">
        <v>182</v>
      </c>
      <c r="C39" s="86" t="s">
        <v>339</v>
      </c>
      <c r="D39" s="60" t="s">
        <v>234</v>
      </c>
      <c r="E39" s="87" t="s">
        <v>391</v>
      </c>
      <c r="F39" s="101"/>
      <c r="G39" s="105"/>
      <c r="H39" s="78"/>
      <c r="I39" s="71"/>
      <c r="J39" s="65"/>
      <c r="K39" s="71"/>
      <c r="L39" s="65"/>
      <c r="M39" s="71"/>
      <c r="N39" s="71"/>
      <c r="O39" s="71"/>
      <c r="P39" s="71"/>
      <c r="Q39" s="66"/>
      <c r="R39" s="71"/>
    </row>
    <row r="40" spans="2:18" s="30" customFormat="1" ht="96.6" hidden="1" x14ac:dyDescent="0.3">
      <c r="B40" s="81" t="s">
        <v>182</v>
      </c>
      <c r="C40" s="86" t="s">
        <v>340</v>
      </c>
      <c r="D40" s="60" t="s">
        <v>235</v>
      </c>
      <c r="E40" s="87" t="s">
        <v>236</v>
      </c>
      <c r="F40" s="101"/>
      <c r="G40" s="105"/>
      <c r="H40" s="78"/>
      <c r="I40" s="71"/>
      <c r="J40" s="65"/>
      <c r="K40" s="71"/>
      <c r="L40" s="65"/>
      <c r="M40" s="71"/>
      <c r="N40" s="71"/>
      <c r="O40" s="71"/>
      <c r="P40" s="71"/>
      <c r="Q40" s="66"/>
      <c r="R40" s="71"/>
    </row>
    <row r="41" spans="2:18" s="30" customFormat="1" ht="220.8" hidden="1" x14ac:dyDescent="0.3">
      <c r="B41" s="81" t="s">
        <v>182</v>
      </c>
      <c r="C41" s="86" t="s">
        <v>304</v>
      </c>
      <c r="D41" s="60" t="s">
        <v>237</v>
      </c>
      <c r="E41" s="87" t="s">
        <v>392</v>
      </c>
      <c r="F41" s="101"/>
      <c r="G41" s="105"/>
      <c r="H41" s="78"/>
      <c r="I41" s="71"/>
      <c r="J41" s="65"/>
      <c r="K41" s="71"/>
      <c r="L41" s="65"/>
      <c r="M41" s="71"/>
      <c r="N41" s="71"/>
      <c r="O41" s="71"/>
      <c r="P41" s="71"/>
      <c r="Q41" s="66"/>
      <c r="R41" s="71"/>
    </row>
    <row r="42" spans="2:18" s="30" customFormat="1" ht="165.6" hidden="1" x14ac:dyDescent="0.3">
      <c r="B42" s="81" t="s">
        <v>182</v>
      </c>
      <c r="C42" s="86" t="s">
        <v>305</v>
      </c>
      <c r="D42" s="60" t="s">
        <v>238</v>
      </c>
      <c r="E42" s="87" t="s">
        <v>239</v>
      </c>
      <c r="F42" s="101"/>
      <c r="G42" s="105"/>
      <c r="H42" s="78"/>
      <c r="I42" s="71"/>
      <c r="J42" s="65"/>
      <c r="K42" s="71"/>
      <c r="L42" s="65"/>
      <c r="M42" s="71"/>
      <c r="N42" s="71"/>
      <c r="O42" s="71"/>
      <c r="P42" s="71"/>
      <c r="Q42" s="66"/>
      <c r="R42" s="71"/>
    </row>
    <row r="43" spans="2:18" s="30" customFormat="1" hidden="1" x14ac:dyDescent="0.3">
      <c r="B43" s="81" t="s">
        <v>182</v>
      </c>
      <c r="C43" s="82" t="s">
        <v>306</v>
      </c>
      <c r="D43" s="83" t="s">
        <v>240</v>
      </c>
      <c r="E43" s="85"/>
      <c r="F43" s="101"/>
      <c r="G43" s="105"/>
      <c r="H43" s="78"/>
      <c r="I43" s="71"/>
      <c r="J43" s="65"/>
      <c r="K43" s="71"/>
      <c r="L43" s="65"/>
      <c r="M43" s="71"/>
      <c r="N43" s="71"/>
      <c r="O43" s="71"/>
      <c r="P43" s="71"/>
      <c r="Q43" s="66"/>
      <c r="R43" s="71"/>
    </row>
    <row r="44" spans="2:18" s="30" customFormat="1" ht="124.2" hidden="1" x14ac:dyDescent="0.3">
      <c r="B44" s="81" t="s">
        <v>182</v>
      </c>
      <c r="C44" s="86" t="s">
        <v>341</v>
      </c>
      <c r="D44" s="60" t="s">
        <v>241</v>
      </c>
      <c r="E44" s="87" t="s">
        <v>242</v>
      </c>
      <c r="F44" s="101"/>
      <c r="G44" s="105"/>
      <c r="H44" s="78"/>
      <c r="I44" s="71"/>
      <c r="J44" s="65"/>
      <c r="K44" s="71"/>
      <c r="L44" s="65"/>
      <c r="M44" s="71"/>
      <c r="N44" s="71"/>
      <c r="O44" s="71"/>
      <c r="P44" s="71"/>
      <c r="Q44" s="66"/>
      <c r="R44" s="71"/>
    </row>
    <row r="45" spans="2:18" s="30" customFormat="1" ht="151.80000000000001" hidden="1" x14ac:dyDescent="0.3">
      <c r="B45" s="81" t="s">
        <v>182</v>
      </c>
      <c r="C45" s="86" t="s">
        <v>343</v>
      </c>
      <c r="D45" s="60" t="s">
        <v>243</v>
      </c>
      <c r="E45" s="87" t="s">
        <v>244</v>
      </c>
      <c r="F45" s="101"/>
      <c r="G45" s="105"/>
      <c r="H45" s="78"/>
      <c r="I45" s="71"/>
      <c r="J45" s="65"/>
      <c r="K45" s="71"/>
      <c r="L45" s="65"/>
      <c r="M45" s="71"/>
      <c r="N45" s="71"/>
      <c r="O45" s="71"/>
      <c r="P45" s="71"/>
      <c r="Q45" s="66"/>
      <c r="R45" s="71"/>
    </row>
    <row r="46" spans="2:18" s="30" customFormat="1" ht="82.8" hidden="1" x14ac:dyDescent="0.3">
      <c r="B46" s="81" t="s">
        <v>182</v>
      </c>
      <c r="C46" s="86" t="s">
        <v>342</v>
      </c>
      <c r="D46" s="60" t="s">
        <v>245</v>
      </c>
      <c r="E46" s="87" t="s">
        <v>246</v>
      </c>
      <c r="F46" s="101"/>
      <c r="G46" s="105"/>
      <c r="H46" s="78"/>
      <c r="I46" s="71"/>
      <c r="J46" s="65"/>
      <c r="K46" s="71"/>
      <c r="L46" s="65"/>
      <c r="M46" s="71"/>
      <c r="N46" s="71"/>
      <c r="O46" s="71"/>
      <c r="P46" s="71"/>
      <c r="Q46" s="66"/>
      <c r="R46" s="71"/>
    </row>
    <row r="47" spans="2:18" s="30" customFormat="1" hidden="1" x14ac:dyDescent="0.3">
      <c r="B47" s="81" t="s">
        <v>182</v>
      </c>
      <c r="C47" s="82" t="s">
        <v>307</v>
      </c>
      <c r="D47" s="83" t="s">
        <v>247</v>
      </c>
      <c r="E47" s="85"/>
      <c r="F47" s="101"/>
      <c r="G47" s="105"/>
      <c r="H47" s="78"/>
      <c r="I47" s="71"/>
      <c r="J47" s="65"/>
      <c r="K47" s="71"/>
      <c r="L47" s="65"/>
      <c r="M47" s="71"/>
      <c r="N47" s="71"/>
      <c r="O47" s="71"/>
      <c r="P47" s="71"/>
      <c r="Q47" s="66"/>
      <c r="R47" s="71"/>
    </row>
    <row r="48" spans="2:18" s="30" customFormat="1" ht="193.2" hidden="1" x14ac:dyDescent="0.3">
      <c r="B48" s="81" t="s">
        <v>182</v>
      </c>
      <c r="C48" s="86" t="s">
        <v>308</v>
      </c>
      <c r="D48" s="60" t="s">
        <v>248</v>
      </c>
      <c r="E48" s="87" t="s">
        <v>249</v>
      </c>
      <c r="F48" s="101"/>
      <c r="G48" s="105"/>
      <c r="H48" s="78"/>
      <c r="I48" s="71"/>
      <c r="J48" s="65"/>
      <c r="K48" s="71"/>
      <c r="L48" s="65"/>
      <c r="M48" s="71"/>
      <c r="N48" s="71"/>
      <c r="O48" s="71"/>
      <c r="P48" s="71"/>
      <c r="Q48" s="66"/>
      <c r="R48" s="71"/>
    </row>
    <row r="49" spans="2:18" s="30" customFormat="1" ht="345" hidden="1" x14ac:dyDescent="0.3">
      <c r="B49" s="81" t="s">
        <v>182</v>
      </c>
      <c r="C49" s="86" t="s">
        <v>309</v>
      </c>
      <c r="D49" s="60" t="s">
        <v>250</v>
      </c>
      <c r="E49" s="87" t="s">
        <v>393</v>
      </c>
      <c r="F49" s="101"/>
      <c r="G49" s="105"/>
      <c r="H49" s="78"/>
      <c r="I49" s="71"/>
      <c r="J49" s="65"/>
      <c r="K49" s="71"/>
      <c r="L49" s="65"/>
      <c r="M49" s="71"/>
      <c r="N49" s="71"/>
      <c r="O49" s="71"/>
      <c r="P49" s="71"/>
      <c r="Q49" s="66"/>
      <c r="R49" s="71"/>
    </row>
    <row r="50" spans="2:18" s="30" customFormat="1" hidden="1" x14ac:dyDescent="0.3">
      <c r="B50" s="81" t="s">
        <v>182</v>
      </c>
      <c r="C50" s="82" t="s">
        <v>313</v>
      </c>
      <c r="D50" s="83" t="s">
        <v>251</v>
      </c>
      <c r="E50" s="85"/>
      <c r="F50" s="101"/>
      <c r="G50" s="105"/>
      <c r="H50" s="78"/>
      <c r="I50" s="71"/>
      <c r="J50" s="65"/>
      <c r="K50" s="71"/>
      <c r="L50" s="65"/>
      <c r="M50" s="71"/>
      <c r="N50" s="71"/>
      <c r="O50" s="71"/>
      <c r="P50" s="71"/>
      <c r="Q50" s="66"/>
      <c r="R50" s="71"/>
    </row>
    <row r="51" spans="2:18" s="30" customFormat="1" ht="317.39999999999998" hidden="1" x14ac:dyDescent="0.3">
      <c r="B51" s="81" t="s">
        <v>182</v>
      </c>
      <c r="C51" s="86" t="s">
        <v>314</v>
      </c>
      <c r="D51" s="60" t="s">
        <v>252</v>
      </c>
      <c r="E51" s="87" t="s">
        <v>253</v>
      </c>
      <c r="F51" s="101"/>
      <c r="G51" s="105"/>
      <c r="H51" s="78"/>
      <c r="I51" s="71"/>
      <c r="J51" s="65"/>
      <c r="K51" s="71"/>
      <c r="L51" s="65"/>
      <c r="M51" s="71"/>
      <c r="N51" s="71"/>
      <c r="O51" s="71"/>
      <c r="P51" s="71"/>
      <c r="Q51" s="66"/>
      <c r="R51" s="71"/>
    </row>
    <row r="52" spans="2:18" s="30" customFormat="1" ht="248.4" hidden="1" x14ac:dyDescent="0.3">
      <c r="B52" s="81" t="s">
        <v>182</v>
      </c>
      <c r="C52" s="86" t="s">
        <v>315</v>
      </c>
      <c r="D52" s="60" t="s">
        <v>254</v>
      </c>
      <c r="E52" s="87" t="s">
        <v>255</v>
      </c>
      <c r="F52" s="101"/>
      <c r="G52" s="105"/>
      <c r="H52" s="78"/>
      <c r="I52" s="71"/>
      <c r="J52" s="65"/>
      <c r="K52" s="71"/>
      <c r="L52" s="65"/>
      <c r="M52" s="71"/>
      <c r="N52" s="71"/>
      <c r="O52" s="71"/>
      <c r="P52" s="71"/>
      <c r="Q52" s="66"/>
      <c r="R52" s="71"/>
    </row>
    <row r="53" spans="2:18" s="30" customFormat="1" hidden="1" x14ac:dyDescent="0.3">
      <c r="B53" s="81" t="s">
        <v>182</v>
      </c>
      <c r="C53" s="82" t="s">
        <v>321</v>
      </c>
      <c r="D53" s="83" t="s">
        <v>256</v>
      </c>
      <c r="E53" s="85"/>
      <c r="F53" s="101"/>
      <c r="G53" s="105"/>
      <c r="H53" s="78"/>
      <c r="I53" s="71"/>
      <c r="J53" s="65"/>
      <c r="K53" s="71"/>
      <c r="L53" s="65"/>
      <c r="M53" s="71"/>
      <c r="N53" s="71"/>
      <c r="O53" s="71"/>
      <c r="P53" s="71"/>
      <c r="Q53" s="66"/>
      <c r="R53" s="71"/>
    </row>
    <row r="54" spans="2:18" s="30" customFormat="1" ht="317.39999999999998" hidden="1" x14ac:dyDescent="0.3">
      <c r="B54" s="81" t="s">
        <v>182</v>
      </c>
      <c r="C54" s="86" t="s">
        <v>322</v>
      </c>
      <c r="D54" s="60" t="s">
        <v>257</v>
      </c>
      <c r="E54" s="87" t="s">
        <v>394</v>
      </c>
      <c r="F54" s="101"/>
      <c r="G54" s="105"/>
      <c r="H54" s="78"/>
      <c r="I54" s="71"/>
      <c r="J54" s="65"/>
      <c r="K54" s="71"/>
      <c r="L54" s="65"/>
      <c r="M54" s="71"/>
      <c r="N54" s="71"/>
      <c r="O54" s="71"/>
      <c r="P54" s="71"/>
      <c r="Q54" s="66"/>
      <c r="R54" s="71"/>
    </row>
    <row r="55" spans="2:18" s="30" customFormat="1" ht="358.8" hidden="1" x14ac:dyDescent="0.3">
      <c r="B55" s="81" t="s">
        <v>182</v>
      </c>
      <c r="C55" s="86" t="s">
        <v>323</v>
      </c>
      <c r="D55" s="60" t="s">
        <v>258</v>
      </c>
      <c r="E55" s="87" t="s">
        <v>259</v>
      </c>
      <c r="F55" s="101"/>
      <c r="G55" s="105"/>
      <c r="H55" s="78"/>
      <c r="I55" s="71"/>
      <c r="J55" s="65"/>
      <c r="K55" s="71"/>
      <c r="L55" s="65"/>
      <c r="M55" s="71"/>
      <c r="N55" s="71"/>
      <c r="O55" s="71"/>
      <c r="P55" s="71"/>
      <c r="Q55" s="66"/>
      <c r="R55" s="71"/>
    </row>
    <row r="56" spans="2:18" s="30" customFormat="1" ht="331.8" hidden="1" thickBot="1" x14ac:dyDescent="0.35">
      <c r="B56" s="89" t="s">
        <v>182</v>
      </c>
      <c r="C56" s="90" t="s">
        <v>324</v>
      </c>
      <c r="D56" s="61" t="s">
        <v>260</v>
      </c>
      <c r="E56" s="91" t="s">
        <v>261</v>
      </c>
      <c r="F56" s="103"/>
      <c r="G56" s="106"/>
      <c r="H56" s="79"/>
      <c r="I56" s="73"/>
      <c r="J56" s="68"/>
      <c r="K56" s="73"/>
      <c r="L56" s="68"/>
      <c r="M56" s="73"/>
      <c r="N56" s="73"/>
      <c r="O56" s="73"/>
      <c r="P56" s="73"/>
      <c r="Q56" s="69"/>
      <c r="R56" s="73"/>
    </row>
    <row r="57" spans="2:18" s="55" customFormat="1" ht="19.5" hidden="1" customHeight="1" x14ac:dyDescent="0.3">
      <c r="B57" s="92" t="s">
        <v>50</v>
      </c>
      <c r="C57" s="93" t="s">
        <v>264</v>
      </c>
      <c r="D57" s="94" t="s">
        <v>54</v>
      </c>
      <c r="E57" s="95"/>
      <c r="F57" s="104"/>
      <c r="G57" s="107"/>
      <c r="H57" s="80"/>
      <c r="I57" s="72"/>
      <c r="J57" s="67"/>
      <c r="K57" s="72"/>
      <c r="L57" s="67"/>
      <c r="M57" s="72"/>
      <c r="N57" s="72"/>
      <c r="O57" s="72"/>
      <c r="P57" s="75"/>
      <c r="Q57" s="67"/>
      <c r="R57" s="75"/>
    </row>
    <row r="58" spans="2:18" s="30" customFormat="1" ht="110.4" hidden="1" x14ac:dyDescent="0.3">
      <c r="B58" s="81" t="s">
        <v>50</v>
      </c>
      <c r="C58" s="86" t="s">
        <v>265</v>
      </c>
      <c r="D58" s="60" t="s">
        <v>55</v>
      </c>
      <c r="E58" s="87" t="s">
        <v>395</v>
      </c>
      <c r="F58" s="101"/>
      <c r="G58" s="105"/>
      <c r="H58" s="78"/>
      <c r="I58" s="71"/>
      <c r="J58" s="65"/>
      <c r="K58" s="71"/>
      <c r="L58" s="65" t="s">
        <v>18</v>
      </c>
      <c r="M58" s="71"/>
      <c r="N58" s="71"/>
      <c r="O58" s="71"/>
      <c r="P58" s="74"/>
      <c r="Q58" s="65"/>
      <c r="R58" s="74"/>
    </row>
    <row r="59" spans="2:18" s="30" customFormat="1" ht="69" hidden="1" x14ac:dyDescent="0.3">
      <c r="B59" s="81" t="s">
        <v>50</v>
      </c>
      <c r="C59" s="86" t="s">
        <v>286</v>
      </c>
      <c r="D59" s="60" t="s">
        <v>56</v>
      </c>
      <c r="E59" s="87" t="s">
        <v>58</v>
      </c>
      <c r="F59" s="101"/>
      <c r="G59" s="105"/>
      <c r="H59" s="78"/>
      <c r="I59" s="71"/>
      <c r="J59" s="65"/>
      <c r="K59" s="71"/>
      <c r="L59" s="65"/>
      <c r="M59" s="71"/>
      <c r="N59" s="71"/>
      <c r="O59" s="71"/>
      <c r="P59" s="74"/>
      <c r="Q59" s="65"/>
      <c r="R59" s="74"/>
    </row>
    <row r="60" spans="2:18" s="30" customFormat="1" ht="165.6" hidden="1" x14ac:dyDescent="0.3">
      <c r="B60" s="81" t="s">
        <v>50</v>
      </c>
      <c r="C60" s="86" t="s">
        <v>287</v>
      </c>
      <c r="D60" s="60" t="s">
        <v>57</v>
      </c>
      <c r="E60" s="87" t="s">
        <v>281</v>
      </c>
      <c r="F60" s="101"/>
      <c r="G60" s="105"/>
      <c r="H60" s="78"/>
      <c r="I60" s="71"/>
      <c r="J60" s="65"/>
      <c r="K60" s="71"/>
      <c r="L60" s="65"/>
      <c r="M60" s="71"/>
      <c r="N60" s="71"/>
      <c r="O60" s="71"/>
      <c r="P60" s="74"/>
      <c r="Q60" s="65"/>
      <c r="R60" s="74"/>
    </row>
    <row r="61" spans="2:18" s="30" customFormat="1" ht="27.6" hidden="1" x14ac:dyDescent="0.3">
      <c r="B61" s="81" t="s">
        <v>50</v>
      </c>
      <c r="C61" s="82" t="s">
        <v>288</v>
      </c>
      <c r="D61" s="83" t="s">
        <v>59</v>
      </c>
      <c r="E61" s="85"/>
      <c r="F61" s="101"/>
      <c r="G61" s="105"/>
      <c r="H61" s="78"/>
      <c r="I61" s="71"/>
      <c r="J61" s="65"/>
      <c r="K61" s="71"/>
      <c r="L61" s="65"/>
      <c r="M61" s="71"/>
      <c r="N61" s="71"/>
      <c r="O61" s="71"/>
      <c r="P61" s="74"/>
      <c r="Q61" s="65"/>
      <c r="R61" s="74"/>
    </row>
    <row r="62" spans="2:18" s="30" customFormat="1" ht="151.80000000000001" hidden="1" x14ac:dyDescent="0.3">
      <c r="B62" s="81" t="s">
        <v>50</v>
      </c>
      <c r="C62" s="86" t="s">
        <v>290</v>
      </c>
      <c r="D62" s="59" t="s">
        <v>60</v>
      </c>
      <c r="E62" s="87" t="s">
        <v>61</v>
      </c>
      <c r="F62" s="101"/>
      <c r="G62" s="105"/>
      <c r="H62" s="78"/>
      <c r="I62" s="71"/>
      <c r="J62" s="65"/>
      <c r="K62" s="71"/>
      <c r="L62" s="65"/>
      <c r="M62" s="71"/>
      <c r="N62" s="71"/>
      <c r="O62" s="71"/>
      <c r="P62" s="74"/>
      <c r="Q62" s="65"/>
      <c r="R62" s="74"/>
    </row>
    <row r="63" spans="2:18" s="30" customFormat="1" ht="27.6" hidden="1" x14ac:dyDescent="0.3">
      <c r="B63" s="81" t="s">
        <v>50</v>
      </c>
      <c r="C63" s="86" t="s">
        <v>291</v>
      </c>
      <c r="D63" s="59" t="s">
        <v>62</v>
      </c>
      <c r="E63" s="87" t="s">
        <v>63</v>
      </c>
      <c r="F63" s="101"/>
      <c r="G63" s="105"/>
      <c r="H63" s="78"/>
      <c r="I63" s="71"/>
      <c r="J63" s="65"/>
      <c r="K63" s="71"/>
      <c r="L63" s="65"/>
      <c r="M63" s="71"/>
      <c r="N63" s="71"/>
      <c r="O63" s="71"/>
      <c r="P63" s="74"/>
      <c r="Q63" s="65"/>
      <c r="R63" s="74"/>
    </row>
    <row r="64" spans="2:18" s="30" customFormat="1" ht="19.5" hidden="1" customHeight="1" x14ac:dyDescent="0.3">
      <c r="B64" s="81" t="s">
        <v>50</v>
      </c>
      <c r="C64" s="82" t="s">
        <v>295</v>
      </c>
      <c r="D64" s="83" t="s">
        <v>64</v>
      </c>
      <c r="E64" s="85"/>
      <c r="F64" s="101"/>
      <c r="G64" s="105"/>
      <c r="H64" s="78"/>
      <c r="I64" s="71"/>
      <c r="J64" s="65"/>
      <c r="K64" s="71"/>
      <c r="L64" s="65"/>
      <c r="M64" s="71"/>
      <c r="N64" s="71"/>
      <c r="O64" s="71"/>
      <c r="P64" s="74"/>
      <c r="Q64" s="65"/>
      <c r="R64" s="74"/>
    </row>
    <row r="65" spans="2:18" s="30" customFormat="1" ht="19.5" hidden="1" customHeight="1" x14ac:dyDescent="0.3">
      <c r="B65" s="81" t="s">
        <v>50</v>
      </c>
      <c r="C65" s="82" t="s">
        <v>296</v>
      </c>
      <c r="D65" s="83" t="s">
        <v>65</v>
      </c>
      <c r="E65" s="85"/>
      <c r="F65" s="101"/>
      <c r="G65" s="105"/>
      <c r="H65" s="78"/>
      <c r="I65" s="71"/>
      <c r="J65" s="65"/>
      <c r="K65" s="71"/>
      <c r="L65" s="65"/>
      <c r="M65" s="71"/>
      <c r="N65" s="71"/>
      <c r="O65" s="71"/>
      <c r="P65" s="74"/>
      <c r="Q65" s="65"/>
      <c r="R65" s="74"/>
    </row>
    <row r="66" spans="2:18" s="30" customFormat="1" ht="193.2" hidden="1" x14ac:dyDescent="0.3">
      <c r="B66" s="81" t="s">
        <v>50</v>
      </c>
      <c r="C66" s="86" t="s">
        <v>330</v>
      </c>
      <c r="D66" s="59" t="s">
        <v>66</v>
      </c>
      <c r="E66" s="87" t="s">
        <v>396</v>
      </c>
      <c r="F66" s="101"/>
      <c r="G66" s="105"/>
      <c r="H66" s="78"/>
      <c r="I66" s="71"/>
      <c r="J66" s="65"/>
      <c r="K66" s="71"/>
      <c r="L66" s="65"/>
      <c r="M66" s="71"/>
      <c r="N66" s="71"/>
      <c r="O66" s="71"/>
      <c r="P66" s="74"/>
      <c r="Q66" s="65"/>
      <c r="R66" s="74"/>
    </row>
    <row r="67" spans="2:18" s="30" customFormat="1" ht="82.8" hidden="1" x14ac:dyDescent="0.3">
      <c r="B67" s="81" t="s">
        <v>50</v>
      </c>
      <c r="C67" s="86" t="s">
        <v>331</v>
      </c>
      <c r="D67" s="59" t="s">
        <v>68</v>
      </c>
      <c r="E67" s="87" t="s">
        <v>67</v>
      </c>
      <c r="F67" s="101"/>
      <c r="G67" s="105"/>
      <c r="H67" s="78"/>
      <c r="I67" s="71"/>
      <c r="J67" s="65"/>
      <c r="K67" s="71"/>
      <c r="L67" s="65"/>
      <c r="M67" s="71"/>
      <c r="N67" s="71"/>
      <c r="O67" s="71"/>
      <c r="P67" s="74"/>
      <c r="Q67" s="65"/>
      <c r="R67" s="74"/>
    </row>
    <row r="68" spans="2:18" s="30" customFormat="1" hidden="1" x14ac:dyDescent="0.3">
      <c r="B68" s="81" t="s">
        <v>50</v>
      </c>
      <c r="C68" s="82" t="s">
        <v>297</v>
      </c>
      <c r="D68" s="83" t="s">
        <v>69</v>
      </c>
      <c r="E68" s="85"/>
      <c r="F68" s="101"/>
      <c r="G68" s="105"/>
      <c r="H68" s="78"/>
      <c r="I68" s="71"/>
      <c r="J68" s="65"/>
      <c r="K68" s="71"/>
      <c r="L68" s="65"/>
      <c r="M68" s="71"/>
      <c r="N68" s="71"/>
      <c r="O68" s="71"/>
      <c r="P68" s="74"/>
      <c r="Q68" s="65"/>
      <c r="R68" s="74"/>
    </row>
    <row r="69" spans="2:18" s="30" customFormat="1" ht="69" hidden="1" x14ac:dyDescent="0.3">
      <c r="B69" s="81" t="s">
        <v>50</v>
      </c>
      <c r="C69" s="86" t="s">
        <v>332</v>
      </c>
      <c r="D69" s="59" t="s">
        <v>70</v>
      </c>
      <c r="E69" s="87" t="s">
        <v>71</v>
      </c>
      <c r="F69" s="101"/>
      <c r="G69" s="105"/>
      <c r="H69" s="78"/>
      <c r="I69" s="71"/>
      <c r="J69" s="65"/>
      <c r="K69" s="71"/>
      <c r="L69" s="65"/>
      <c r="M69" s="71"/>
      <c r="N69" s="71"/>
      <c r="O69" s="71"/>
      <c r="P69" s="74"/>
      <c r="Q69" s="65"/>
      <c r="R69" s="74"/>
    </row>
    <row r="70" spans="2:18" s="30" customFormat="1" ht="55.2" hidden="1" x14ac:dyDescent="0.3">
      <c r="B70" s="81" t="s">
        <v>50</v>
      </c>
      <c r="C70" s="86" t="s">
        <v>333</v>
      </c>
      <c r="D70" s="59" t="s">
        <v>72</v>
      </c>
      <c r="E70" s="87" t="s">
        <v>73</v>
      </c>
      <c r="F70" s="101"/>
      <c r="G70" s="105"/>
      <c r="H70" s="78"/>
      <c r="I70" s="71"/>
      <c r="J70" s="65"/>
      <c r="K70" s="71"/>
      <c r="L70" s="65"/>
      <c r="M70" s="71"/>
      <c r="N70" s="71"/>
      <c r="O70" s="71"/>
      <c r="P70" s="74"/>
      <c r="Q70" s="65"/>
      <c r="R70" s="74"/>
    </row>
    <row r="71" spans="2:18" s="30" customFormat="1" ht="138" hidden="1" x14ac:dyDescent="0.3">
      <c r="B71" s="81" t="s">
        <v>50</v>
      </c>
      <c r="C71" s="86" t="s">
        <v>298</v>
      </c>
      <c r="D71" s="59" t="s">
        <v>74</v>
      </c>
      <c r="E71" s="87" t="s">
        <v>75</v>
      </c>
      <c r="F71" s="101"/>
      <c r="G71" s="105"/>
      <c r="H71" s="78"/>
      <c r="I71" s="71"/>
      <c r="J71" s="65"/>
      <c r="K71" s="71"/>
      <c r="L71" s="65"/>
      <c r="M71" s="71"/>
      <c r="N71" s="71"/>
      <c r="O71" s="71"/>
      <c r="P71" s="74"/>
      <c r="Q71" s="65"/>
      <c r="R71" s="74"/>
    </row>
    <row r="72" spans="2:18" s="30" customFormat="1" ht="19.5" hidden="1" customHeight="1" x14ac:dyDescent="0.3">
      <c r="B72" s="81" t="s">
        <v>50</v>
      </c>
      <c r="C72" s="82" t="s">
        <v>300</v>
      </c>
      <c r="D72" s="83" t="s">
        <v>76</v>
      </c>
      <c r="E72" s="85"/>
      <c r="F72" s="101"/>
      <c r="G72" s="105"/>
      <c r="H72" s="78"/>
      <c r="I72" s="71"/>
      <c r="J72" s="65"/>
      <c r="K72" s="71"/>
      <c r="L72" s="65"/>
      <c r="M72" s="71"/>
      <c r="N72" s="71"/>
      <c r="O72" s="71"/>
      <c r="P72" s="74"/>
      <c r="Q72" s="65"/>
      <c r="R72" s="74"/>
    </row>
    <row r="73" spans="2:18" s="30" customFormat="1" ht="27.6" hidden="1" x14ac:dyDescent="0.3">
      <c r="B73" s="81" t="s">
        <v>50</v>
      </c>
      <c r="C73" s="82" t="s">
        <v>301</v>
      </c>
      <c r="D73" s="83" t="s">
        <v>77</v>
      </c>
      <c r="E73" s="85"/>
      <c r="F73" s="101"/>
      <c r="G73" s="105"/>
      <c r="H73" s="78"/>
      <c r="I73" s="71"/>
      <c r="J73" s="65"/>
      <c r="K73" s="71"/>
      <c r="L73" s="65"/>
      <c r="M73" s="71"/>
      <c r="N73" s="71"/>
      <c r="O73" s="71"/>
      <c r="P73" s="74"/>
      <c r="Q73" s="65"/>
      <c r="R73" s="74"/>
    </row>
    <row r="74" spans="2:18" s="30" customFormat="1" ht="96.6" hidden="1" x14ac:dyDescent="0.3">
      <c r="B74" s="81" t="s">
        <v>50</v>
      </c>
      <c r="C74" s="86" t="s">
        <v>334</v>
      </c>
      <c r="D74" s="59" t="s">
        <v>282</v>
      </c>
      <c r="E74" s="87" t="s">
        <v>180</v>
      </c>
      <c r="F74" s="101"/>
      <c r="G74" s="105"/>
      <c r="H74" s="78"/>
      <c r="I74" s="71"/>
      <c r="J74" s="65"/>
      <c r="K74" s="71"/>
      <c r="L74" s="65"/>
      <c r="M74" s="71"/>
      <c r="N74" s="71"/>
      <c r="O74" s="71"/>
      <c r="P74" s="74"/>
      <c r="Q74" s="65"/>
      <c r="R74" s="74"/>
    </row>
    <row r="75" spans="2:18" s="30" customFormat="1" ht="138" hidden="1" x14ac:dyDescent="0.3">
      <c r="B75" s="81" t="s">
        <v>50</v>
      </c>
      <c r="C75" s="86" t="s">
        <v>335</v>
      </c>
      <c r="D75" s="59" t="s">
        <v>78</v>
      </c>
      <c r="E75" s="87" t="s">
        <v>283</v>
      </c>
      <c r="F75" s="101"/>
      <c r="G75" s="105"/>
      <c r="H75" s="78"/>
      <c r="I75" s="71"/>
      <c r="J75" s="65"/>
      <c r="K75" s="71"/>
      <c r="L75" s="65"/>
      <c r="M75" s="71"/>
      <c r="N75" s="71"/>
      <c r="O75" s="71"/>
      <c r="P75" s="74"/>
      <c r="Q75" s="65"/>
      <c r="R75" s="74"/>
    </row>
    <row r="76" spans="2:18" s="30" customFormat="1" ht="27.6" hidden="1" x14ac:dyDescent="0.3">
      <c r="B76" s="81" t="s">
        <v>50</v>
      </c>
      <c r="C76" s="82" t="s">
        <v>302</v>
      </c>
      <c r="D76" s="83" t="s">
        <v>79</v>
      </c>
      <c r="E76" s="85"/>
      <c r="F76" s="101"/>
      <c r="G76" s="105"/>
      <c r="H76" s="78"/>
      <c r="I76" s="71"/>
      <c r="J76" s="65"/>
      <c r="K76" s="71"/>
      <c r="L76" s="65"/>
      <c r="M76" s="71"/>
      <c r="N76" s="71"/>
      <c r="O76" s="71"/>
      <c r="P76" s="74"/>
      <c r="Q76" s="65"/>
      <c r="R76" s="74"/>
    </row>
    <row r="77" spans="2:18" s="30" customFormat="1" ht="138" hidden="1" x14ac:dyDescent="0.3">
      <c r="B77" s="81" t="s">
        <v>50</v>
      </c>
      <c r="C77" s="86" t="s">
        <v>336</v>
      </c>
      <c r="D77" s="59" t="s">
        <v>81</v>
      </c>
      <c r="E77" s="87" t="s">
        <v>80</v>
      </c>
      <c r="F77" s="101"/>
      <c r="G77" s="105"/>
      <c r="H77" s="78"/>
      <c r="I77" s="71"/>
      <c r="J77" s="65"/>
      <c r="K77" s="71"/>
      <c r="L77" s="65"/>
      <c r="M77" s="71"/>
      <c r="N77" s="71"/>
      <c r="O77" s="71"/>
      <c r="P77" s="74"/>
      <c r="Q77" s="65"/>
      <c r="R77" s="74"/>
    </row>
    <row r="78" spans="2:18" s="30" customFormat="1" ht="69" hidden="1" x14ac:dyDescent="0.3">
      <c r="B78" s="81" t="s">
        <v>50</v>
      </c>
      <c r="C78" s="86" t="s">
        <v>337</v>
      </c>
      <c r="D78" s="59" t="s">
        <v>82</v>
      </c>
      <c r="E78" s="87" t="s">
        <v>83</v>
      </c>
      <c r="F78" s="101"/>
      <c r="G78" s="105"/>
      <c r="H78" s="78"/>
      <c r="I78" s="71"/>
      <c r="J78" s="65"/>
      <c r="K78" s="71"/>
      <c r="L78" s="65"/>
      <c r="M78" s="71"/>
      <c r="N78" s="71"/>
      <c r="O78" s="71"/>
      <c r="P78" s="74"/>
      <c r="Q78" s="65"/>
      <c r="R78" s="74"/>
    </row>
    <row r="79" spans="2:18" s="30" customFormat="1" ht="96.6" hidden="1" x14ac:dyDescent="0.3">
      <c r="B79" s="81" t="s">
        <v>50</v>
      </c>
      <c r="C79" s="86" t="s">
        <v>303</v>
      </c>
      <c r="D79" s="59" t="s">
        <v>84</v>
      </c>
      <c r="E79" s="87" t="s">
        <v>284</v>
      </c>
      <c r="F79" s="101"/>
      <c r="G79" s="105"/>
      <c r="H79" s="78"/>
      <c r="I79" s="71"/>
      <c r="J79" s="65"/>
      <c r="K79" s="71"/>
      <c r="L79" s="65"/>
      <c r="M79" s="71"/>
      <c r="N79" s="71"/>
      <c r="O79" s="71"/>
      <c r="P79" s="74"/>
      <c r="Q79" s="65"/>
      <c r="R79" s="74"/>
    </row>
    <row r="80" spans="2:18" s="30" customFormat="1" ht="19.5" hidden="1" customHeight="1" x14ac:dyDescent="0.3">
      <c r="B80" s="81" t="s">
        <v>50</v>
      </c>
      <c r="C80" s="82" t="s">
        <v>307</v>
      </c>
      <c r="D80" s="83" t="s">
        <v>85</v>
      </c>
      <c r="E80" s="85"/>
      <c r="F80" s="101"/>
      <c r="G80" s="105"/>
      <c r="H80" s="78"/>
      <c r="I80" s="71"/>
      <c r="J80" s="65"/>
      <c r="K80" s="71"/>
      <c r="L80" s="65"/>
      <c r="M80" s="71"/>
      <c r="N80" s="71"/>
      <c r="O80" s="71"/>
      <c r="P80" s="74"/>
      <c r="Q80" s="65"/>
      <c r="R80" s="74"/>
    </row>
    <row r="81" spans="2:18" s="30" customFormat="1" ht="37.5" hidden="1" customHeight="1" x14ac:dyDescent="0.3">
      <c r="B81" s="81" t="s">
        <v>50</v>
      </c>
      <c r="C81" s="82" t="s">
        <v>308</v>
      </c>
      <c r="D81" s="83" t="s">
        <v>86</v>
      </c>
      <c r="E81" s="85"/>
      <c r="F81" s="101"/>
      <c r="G81" s="105"/>
      <c r="H81" s="78"/>
      <c r="I81" s="71"/>
      <c r="J81" s="65"/>
      <c r="K81" s="71"/>
      <c r="L81" s="65"/>
      <c r="M81" s="71"/>
      <c r="N81" s="71"/>
      <c r="O81" s="71"/>
      <c r="P81" s="74"/>
      <c r="Q81" s="65"/>
      <c r="R81" s="74"/>
    </row>
    <row r="82" spans="2:18" s="30" customFormat="1" ht="69" hidden="1" x14ac:dyDescent="0.3">
      <c r="B82" s="81" t="s">
        <v>50</v>
      </c>
      <c r="C82" s="86" t="s">
        <v>344</v>
      </c>
      <c r="D82" s="59" t="s">
        <v>66</v>
      </c>
      <c r="E82" s="87" t="s">
        <v>87</v>
      </c>
      <c r="F82" s="101"/>
      <c r="G82" s="105"/>
      <c r="H82" s="78"/>
      <c r="I82" s="71"/>
      <c r="J82" s="65"/>
      <c r="K82" s="71"/>
      <c r="L82" s="65"/>
      <c r="M82" s="71"/>
      <c r="N82" s="71"/>
      <c r="O82" s="71"/>
      <c r="P82" s="74"/>
      <c r="Q82" s="65"/>
      <c r="R82" s="74"/>
    </row>
    <row r="83" spans="2:18" s="30" customFormat="1" ht="27.6" hidden="1" x14ac:dyDescent="0.3">
      <c r="B83" s="81" t="s">
        <v>50</v>
      </c>
      <c r="C83" s="86" t="s">
        <v>345</v>
      </c>
      <c r="D83" s="59" t="s">
        <v>88</v>
      </c>
      <c r="E83" s="87" t="s">
        <v>89</v>
      </c>
      <c r="F83" s="101"/>
      <c r="G83" s="105"/>
      <c r="H83" s="78"/>
      <c r="I83" s="71"/>
      <c r="J83" s="65"/>
      <c r="K83" s="71"/>
      <c r="L83" s="65"/>
      <c r="M83" s="71"/>
      <c r="N83" s="71"/>
      <c r="O83" s="71"/>
      <c r="P83" s="74"/>
      <c r="Q83" s="65"/>
      <c r="R83" s="74"/>
    </row>
    <row r="84" spans="2:18" s="30" customFormat="1" ht="96.6" hidden="1" x14ac:dyDescent="0.3">
      <c r="B84" s="81" t="s">
        <v>50</v>
      </c>
      <c r="C84" s="86" t="s">
        <v>346</v>
      </c>
      <c r="D84" s="59" t="s">
        <v>90</v>
      </c>
      <c r="E84" s="87" t="s">
        <v>397</v>
      </c>
      <c r="F84" s="101"/>
      <c r="G84" s="105"/>
      <c r="H84" s="78"/>
      <c r="I84" s="71"/>
      <c r="J84" s="65"/>
      <c r="K84" s="71"/>
      <c r="L84" s="65"/>
      <c r="M84" s="71"/>
      <c r="N84" s="71"/>
      <c r="O84" s="71"/>
      <c r="P84" s="74"/>
      <c r="Q84" s="65"/>
      <c r="R84" s="74"/>
    </row>
    <row r="85" spans="2:18" s="30" customFormat="1" ht="96.6" hidden="1" x14ac:dyDescent="0.3">
      <c r="B85" s="81" t="s">
        <v>50</v>
      </c>
      <c r="C85" s="86" t="s">
        <v>347</v>
      </c>
      <c r="D85" s="59" t="s">
        <v>91</v>
      </c>
      <c r="E85" s="87" t="s">
        <v>398</v>
      </c>
      <c r="F85" s="101"/>
      <c r="G85" s="105"/>
      <c r="H85" s="78"/>
      <c r="I85" s="71"/>
      <c r="J85" s="65"/>
      <c r="K85" s="71"/>
      <c r="L85" s="65"/>
      <c r="M85" s="71"/>
      <c r="N85" s="71"/>
      <c r="O85" s="71"/>
      <c r="P85" s="74"/>
      <c r="Q85" s="65"/>
      <c r="R85" s="74"/>
    </row>
    <row r="86" spans="2:18" s="30" customFormat="1" hidden="1" x14ac:dyDescent="0.3">
      <c r="B86" s="81" t="s">
        <v>50</v>
      </c>
      <c r="C86" s="82" t="s">
        <v>348</v>
      </c>
      <c r="D86" s="83" t="s">
        <v>92</v>
      </c>
      <c r="E86" s="85"/>
      <c r="F86" s="101"/>
      <c r="G86" s="105"/>
      <c r="H86" s="78"/>
      <c r="I86" s="71"/>
      <c r="J86" s="65"/>
      <c r="K86" s="71"/>
      <c r="L86" s="65"/>
      <c r="M86" s="71"/>
      <c r="N86" s="71"/>
      <c r="O86" s="71"/>
      <c r="P86" s="74"/>
      <c r="Q86" s="65"/>
      <c r="R86" s="74"/>
    </row>
    <row r="87" spans="2:18" s="30" customFormat="1" ht="96.6" hidden="1" x14ac:dyDescent="0.3">
      <c r="B87" s="81" t="s">
        <v>50</v>
      </c>
      <c r="C87" s="86" t="s">
        <v>349</v>
      </c>
      <c r="D87" s="59" t="s">
        <v>66</v>
      </c>
      <c r="E87" s="87" t="s">
        <v>93</v>
      </c>
      <c r="F87" s="101"/>
      <c r="G87" s="105"/>
      <c r="H87" s="78"/>
      <c r="I87" s="71"/>
      <c r="J87" s="65"/>
      <c r="K87" s="71"/>
      <c r="L87" s="65"/>
      <c r="M87" s="71"/>
      <c r="N87" s="71"/>
      <c r="O87" s="71"/>
      <c r="P87" s="74"/>
      <c r="Q87" s="65"/>
      <c r="R87" s="74"/>
    </row>
    <row r="88" spans="2:18" s="30" customFormat="1" ht="138" hidden="1" x14ac:dyDescent="0.3">
      <c r="B88" s="81" t="s">
        <v>50</v>
      </c>
      <c r="C88" s="86" t="s">
        <v>350</v>
      </c>
      <c r="D88" s="59" t="s">
        <v>94</v>
      </c>
      <c r="E88" s="87" t="s">
        <v>95</v>
      </c>
      <c r="F88" s="101"/>
      <c r="G88" s="105"/>
      <c r="H88" s="78"/>
      <c r="I88" s="71"/>
      <c r="J88" s="65"/>
      <c r="K88" s="71"/>
      <c r="L88" s="65"/>
      <c r="M88" s="71"/>
      <c r="N88" s="71"/>
      <c r="O88" s="71"/>
      <c r="P88" s="74"/>
      <c r="Q88" s="65"/>
      <c r="R88" s="74"/>
    </row>
    <row r="89" spans="2:18" s="30" customFormat="1" ht="165.6" hidden="1" x14ac:dyDescent="0.3">
      <c r="B89" s="81" t="s">
        <v>50</v>
      </c>
      <c r="C89" s="86" t="s">
        <v>351</v>
      </c>
      <c r="D89" s="59" t="s">
        <v>96</v>
      </c>
      <c r="E89" s="87" t="s">
        <v>399</v>
      </c>
      <c r="F89" s="101"/>
      <c r="G89" s="105"/>
      <c r="H89" s="78"/>
      <c r="I89" s="71"/>
      <c r="J89" s="65"/>
      <c r="K89" s="71"/>
      <c r="L89" s="65"/>
      <c r="M89" s="71"/>
      <c r="N89" s="71"/>
      <c r="O89" s="71"/>
      <c r="P89" s="74"/>
      <c r="Q89" s="65"/>
      <c r="R89" s="74"/>
    </row>
    <row r="90" spans="2:18" s="30" customFormat="1" ht="110.4" hidden="1" x14ac:dyDescent="0.3">
      <c r="B90" s="81" t="s">
        <v>50</v>
      </c>
      <c r="C90" s="86" t="s">
        <v>309</v>
      </c>
      <c r="D90" s="59" t="s">
        <v>97</v>
      </c>
      <c r="E90" s="87" t="s">
        <v>400</v>
      </c>
      <c r="F90" s="101"/>
      <c r="G90" s="105"/>
      <c r="H90" s="78"/>
      <c r="I90" s="71"/>
      <c r="J90" s="65"/>
      <c r="K90" s="71"/>
      <c r="L90" s="65"/>
      <c r="M90" s="71"/>
      <c r="N90" s="71"/>
      <c r="O90" s="71"/>
      <c r="P90" s="74"/>
      <c r="Q90" s="65"/>
      <c r="R90" s="74"/>
    </row>
    <row r="91" spans="2:18" s="30" customFormat="1" ht="69" hidden="1" x14ac:dyDescent="0.3">
      <c r="B91" s="81" t="s">
        <v>50</v>
      </c>
      <c r="C91" s="86" t="s">
        <v>310</v>
      </c>
      <c r="D91" s="59" t="s">
        <v>98</v>
      </c>
      <c r="E91" s="87" t="s">
        <v>99</v>
      </c>
      <c r="F91" s="101"/>
      <c r="G91" s="105"/>
      <c r="H91" s="78"/>
      <c r="I91" s="71"/>
      <c r="J91" s="65"/>
      <c r="K91" s="71"/>
      <c r="L91" s="65"/>
      <c r="M91" s="71"/>
      <c r="N91" s="71"/>
      <c r="O91" s="71"/>
      <c r="P91" s="74"/>
      <c r="Q91" s="65"/>
      <c r="R91" s="74"/>
    </row>
    <row r="92" spans="2:18" s="30" customFormat="1" ht="82.8" hidden="1" x14ac:dyDescent="0.3">
      <c r="B92" s="81" t="s">
        <v>50</v>
      </c>
      <c r="C92" s="86" t="s">
        <v>311</v>
      </c>
      <c r="D92" s="59" t="s">
        <v>101</v>
      </c>
      <c r="E92" s="87" t="s">
        <v>100</v>
      </c>
      <c r="F92" s="101"/>
      <c r="G92" s="105"/>
      <c r="H92" s="78"/>
      <c r="I92" s="71"/>
      <c r="J92" s="65"/>
      <c r="K92" s="71"/>
      <c r="L92" s="65"/>
      <c r="M92" s="71"/>
      <c r="N92" s="71"/>
      <c r="O92" s="71"/>
      <c r="P92" s="74"/>
      <c r="Q92" s="65"/>
      <c r="R92" s="74"/>
    </row>
    <row r="93" spans="2:18" s="30" customFormat="1" ht="54.75" hidden="1" customHeight="1" x14ac:dyDescent="0.3">
      <c r="B93" s="81" t="s">
        <v>50</v>
      </c>
      <c r="C93" s="82" t="s">
        <v>312</v>
      </c>
      <c r="D93" s="83" t="s">
        <v>102</v>
      </c>
      <c r="E93" s="85"/>
      <c r="F93" s="101"/>
      <c r="G93" s="105"/>
      <c r="H93" s="78"/>
      <c r="I93" s="71"/>
      <c r="J93" s="65"/>
      <c r="K93" s="71"/>
      <c r="L93" s="65"/>
      <c r="M93" s="71"/>
      <c r="N93" s="71"/>
      <c r="O93" s="71"/>
      <c r="P93" s="74"/>
      <c r="Q93" s="65"/>
      <c r="R93" s="74"/>
    </row>
    <row r="94" spans="2:18" s="30" customFormat="1" ht="96.6" hidden="1" x14ac:dyDescent="0.3">
      <c r="B94" s="81" t="s">
        <v>50</v>
      </c>
      <c r="C94" s="86" t="s">
        <v>352</v>
      </c>
      <c r="D94" s="59" t="s">
        <v>66</v>
      </c>
      <c r="E94" s="87" t="s">
        <v>401</v>
      </c>
      <c r="F94" s="101"/>
      <c r="G94" s="105"/>
      <c r="H94" s="78"/>
      <c r="I94" s="71"/>
      <c r="J94" s="65"/>
      <c r="K94" s="71"/>
      <c r="L94" s="65"/>
      <c r="M94" s="71"/>
      <c r="N94" s="71"/>
      <c r="O94" s="71"/>
      <c r="P94" s="74"/>
      <c r="Q94" s="65"/>
      <c r="R94" s="74"/>
    </row>
    <row r="95" spans="2:18" s="30" customFormat="1" ht="55.2" hidden="1" x14ac:dyDescent="0.3">
      <c r="B95" s="81" t="s">
        <v>50</v>
      </c>
      <c r="C95" s="86" t="s">
        <v>353</v>
      </c>
      <c r="D95" s="59" t="s">
        <v>103</v>
      </c>
      <c r="E95" s="87" t="s">
        <v>104</v>
      </c>
      <c r="F95" s="101"/>
      <c r="G95" s="105"/>
      <c r="H95" s="78"/>
      <c r="I95" s="71"/>
      <c r="J95" s="65"/>
      <c r="K95" s="71"/>
      <c r="L95" s="65"/>
      <c r="M95" s="71"/>
      <c r="N95" s="71"/>
      <c r="O95" s="71"/>
      <c r="P95" s="74"/>
      <c r="Q95" s="65"/>
      <c r="R95" s="74"/>
    </row>
    <row r="96" spans="2:18" s="30" customFormat="1" hidden="1" x14ac:dyDescent="0.3">
      <c r="B96" s="81" t="s">
        <v>50</v>
      </c>
      <c r="C96" s="82" t="s">
        <v>354</v>
      </c>
      <c r="D96" s="83" t="s">
        <v>105</v>
      </c>
      <c r="E96" s="85"/>
      <c r="F96" s="101"/>
      <c r="G96" s="105"/>
      <c r="H96" s="78"/>
      <c r="I96" s="71"/>
      <c r="J96" s="65"/>
      <c r="K96" s="71"/>
      <c r="L96" s="65"/>
      <c r="M96" s="71"/>
      <c r="N96" s="71"/>
      <c r="O96" s="71"/>
      <c r="P96" s="74"/>
      <c r="Q96" s="65"/>
      <c r="R96" s="74"/>
    </row>
    <row r="97" spans="2:18" s="30" customFormat="1" ht="55.2" hidden="1" x14ac:dyDescent="0.3">
      <c r="B97" s="81" t="s">
        <v>50</v>
      </c>
      <c r="C97" s="86" t="s">
        <v>355</v>
      </c>
      <c r="D97" s="59" t="s">
        <v>106</v>
      </c>
      <c r="E97" s="87" t="s">
        <v>107</v>
      </c>
      <c r="F97" s="101"/>
      <c r="G97" s="105"/>
      <c r="H97" s="78"/>
      <c r="I97" s="71"/>
      <c r="J97" s="65"/>
      <c r="K97" s="71"/>
      <c r="L97" s="65"/>
      <c r="M97" s="71"/>
      <c r="N97" s="71"/>
      <c r="O97" s="71"/>
      <c r="P97" s="74"/>
      <c r="Q97" s="65"/>
      <c r="R97" s="74"/>
    </row>
    <row r="98" spans="2:18" s="30" customFormat="1" ht="124.2" hidden="1" x14ac:dyDescent="0.3">
      <c r="B98" s="81" t="s">
        <v>50</v>
      </c>
      <c r="C98" s="86" t="s">
        <v>356</v>
      </c>
      <c r="D98" s="59" t="s">
        <v>108</v>
      </c>
      <c r="E98" s="87" t="s">
        <v>402</v>
      </c>
      <c r="F98" s="101"/>
      <c r="G98" s="105"/>
      <c r="H98" s="78"/>
      <c r="I98" s="71"/>
      <c r="J98" s="65"/>
      <c r="K98" s="71"/>
      <c r="L98" s="65"/>
      <c r="M98" s="71"/>
      <c r="N98" s="71"/>
      <c r="O98" s="71"/>
      <c r="P98" s="74"/>
      <c r="Q98" s="65"/>
      <c r="R98" s="74"/>
    </row>
    <row r="99" spans="2:18" s="30" customFormat="1" hidden="1" x14ac:dyDescent="0.3">
      <c r="B99" s="81" t="s">
        <v>50</v>
      </c>
      <c r="C99" s="82" t="s">
        <v>313</v>
      </c>
      <c r="D99" s="83" t="s">
        <v>109</v>
      </c>
      <c r="E99" s="85"/>
      <c r="F99" s="101"/>
      <c r="G99" s="105"/>
      <c r="H99" s="78"/>
      <c r="I99" s="71"/>
      <c r="J99" s="65"/>
      <c r="K99" s="71"/>
      <c r="L99" s="65"/>
      <c r="M99" s="71"/>
      <c r="N99" s="71"/>
      <c r="O99" s="71"/>
      <c r="P99" s="74"/>
      <c r="Q99" s="65"/>
      <c r="R99" s="74"/>
    </row>
    <row r="100" spans="2:18" s="30" customFormat="1" ht="207" hidden="1" x14ac:dyDescent="0.3">
      <c r="B100" s="81" t="s">
        <v>50</v>
      </c>
      <c r="C100" s="86" t="s">
        <v>314</v>
      </c>
      <c r="D100" s="59" t="s">
        <v>110</v>
      </c>
      <c r="E100" s="87" t="s">
        <v>285</v>
      </c>
      <c r="F100" s="101"/>
      <c r="G100" s="105"/>
      <c r="H100" s="78"/>
      <c r="I100" s="71"/>
      <c r="J100" s="65"/>
      <c r="K100" s="71"/>
      <c r="L100" s="65"/>
      <c r="M100" s="71"/>
      <c r="N100" s="71"/>
      <c r="O100" s="71"/>
      <c r="P100" s="74"/>
      <c r="Q100" s="65"/>
      <c r="R100" s="74"/>
    </row>
    <row r="101" spans="2:18" s="30" customFormat="1" hidden="1" x14ac:dyDescent="0.3">
      <c r="B101" s="81" t="s">
        <v>50</v>
      </c>
      <c r="C101" s="82" t="s">
        <v>315</v>
      </c>
      <c r="D101" s="83" t="s">
        <v>111</v>
      </c>
      <c r="E101" s="85"/>
      <c r="F101" s="101"/>
      <c r="G101" s="105"/>
      <c r="H101" s="78"/>
      <c r="I101" s="71"/>
      <c r="J101" s="65"/>
      <c r="K101" s="71"/>
      <c r="L101" s="65"/>
      <c r="M101" s="71"/>
      <c r="N101" s="71"/>
      <c r="O101" s="71"/>
      <c r="P101" s="74"/>
      <c r="Q101" s="65"/>
      <c r="R101" s="74"/>
    </row>
    <row r="102" spans="2:18" s="30" customFormat="1" ht="82.8" hidden="1" x14ac:dyDescent="0.3">
      <c r="B102" s="81" t="s">
        <v>50</v>
      </c>
      <c r="C102" s="86" t="s">
        <v>357</v>
      </c>
      <c r="D102" s="59" t="s">
        <v>112</v>
      </c>
      <c r="E102" s="87" t="s">
        <v>113</v>
      </c>
      <c r="F102" s="101"/>
      <c r="G102" s="105"/>
      <c r="H102" s="78"/>
      <c r="I102" s="71"/>
      <c r="J102" s="65"/>
      <c r="K102" s="71"/>
      <c r="L102" s="65"/>
      <c r="M102" s="71"/>
      <c r="N102" s="71"/>
      <c r="O102" s="71"/>
      <c r="P102" s="74"/>
      <c r="Q102" s="65"/>
      <c r="R102" s="74"/>
    </row>
    <row r="103" spans="2:18" s="30" customFormat="1" ht="69" hidden="1" x14ac:dyDescent="0.3">
      <c r="B103" s="81" t="s">
        <v>50</v>
      </c>
      <c r="C103" s="86" t="s">
        <v>358</v>
      </c>
      <c r="D103" s="59" t="s">
        <v>114</v>
      </c>
      <c r="E103" s="87" t="s">
        <v>115</v>
      </c>
      <c r="F103" s="101"/>
      <c r="G103" s="105"/>
      <c r="H103" s="78"/>
      <c r="I103" s="71"/>
      <c r="J103" s="65"/>
      <c r="K103" s="71"/>
      <c r="L103" s="65"/>
      <c r="M103" s="71"/>
      <c r="N103" s="71"/>
      <c r="O103" s="71"/>
      <c r="P103" s="74"/>
      <c r="Q103" s="65"/>
      <c r="R103" s="74"/>
    </row>
    <row r="104" spans="2:18" s="30" customFormat="1" ht="27.6" hidden="1" x14ac:dyDescent="0.3">
      <c r="B104" s="81" t="s">
        <v>50</v>
      </c>
      <c r="C104" s="82" t="s">
        <v>359</v>
      </c>
      <c r="D104" s="83" t="s">
        <v>116</v>
      </c>
      <c r="E104" s="85"/>
      <c r="F104" s="101"/>
      <c r="G104" s="105"/>
      <c r="H104" s="78"/>
      <c r="I104" s="71"/>
      <c r="J104" s="65"/>
      <c r="K104" s="71"/>
      <c r="L104" s="65"/>
      <c r="M104" s="71"/>
      <c r="N104" s="71"/>
      <c r="O104" s="71"/>
      <c r="P104" s="74"/>
      <c r="Q104" s="65"/>
      <c r="R104" s="74"/>
    </row>
    <row r="105" spans="2:18" s="30" customFormat="1" ht="138" hidden="1" x14ac:dyDescent="0.3">
      <c r="B105" s="81" t="s">
        <v>50</v>
      </c>
      <c r="C105" s="86" t="s">
        <v>360</v>
      </c>
      <c r="D105" s="59" t="s">
        <v>117</v>
      </c>
      <c r="E105" s="87" t="s">
        <v>403</v>
      </c>
      <c r="F105" s="101"/>
      <c r="G105" s="105"/>
      <c r="H105" s="78"/>
      <c r="I105" s="71"/>
      <c r="J105" s="65"/>
      <c r="K105" s="71"/>
      <c r="L105" s="65"/>
      <c r="M105" s="71"/>
      <c r="N105" s="71"/>
      <c r="O105" s="71"/>
      <c r="P105" s="74"/>
      <c r="Q105" s="65"/>
      <c r="R105" s="74"/>
    </row>
    <row r="106" spans="2:18" s="30" customFormat="1" ht="27.6" hidden="1" x14ac:dyDescent="0.3">
      <c r="B106" s="81" t="s">
        <v>50</v>
      </c>
      <c r="C106" s="86" t="s">
        <v>361</v>
      </c>
      <c r="D106" s="59" t="s">
        <v>118</v>
      </c>
      <c r="E106" s="87" t="s">
        <v>119</v>
      </c>
      <c r="F106" s="101"/>
      <c r="G106" s="105"/>
      <c r="H106" s="78"/>
      <c r="I106" s="71"/>
      <c r="J106" s="65"/>
      <c r="K106" s="71"/>
      <c r="L106" s="65"/>
      <c r="M106" s="71"/>
      <c r="N106" s="71"/>
      <c r="O106" s="71"/>
      <c r="P106" s="74"/>
      <c r="Q106" s="65"/>
      <c r="R106" s="74"/>
    </row>
    <row r="107" spans="2:18" s="30" customFormat="1" ht="27.6" hidden="1" x14ac:dyDescent="0.3">
      <c r="B107" s="81" t="s">
        <v>50</v>
      </c>
      <c r="C107" s="86" t="s">
        <v>362</v>
      </c>
      <c r="D107" s="59" t="s">
        <v>120</v>
      </c>
      <c r="E107" s="87" t="s">
        <v>121</v>
      </c>
      <c r="F107" s="101"/>
      <c r="G107" s="105"/>
      <c r="H107" s="78"/>
      <c r="I107" s="71"/>
      <c r="J107" s="65"/>
      <c r="K107" s="71"/>
      <c r="L107" s="65"/>
      <c r="M107" s="71"/>
      <c r="N107" s="71"/>
      <c r="O107" s="71"/>
      <c r="P107" s="74"/>
      <c r="Q107" s="65"/>
      <c r="R107" s="74"/>
    </row>
    <row r="108" spans="2:18" s="30" customFormat="1" ht="27.6" hidden="1" x14ac:dyDescent="0.3">
      <c r="B108" s="81" t="s">
        <v>50</v>
      </c>
      <c r="C108" s="82" t="s">
        <v>316</v>
      </c>
      <c r="D108" s="83" t="s">
        <v>122</v>
      </c>
      <c r="E108" s="85"/>
      <c r="F108" s="101"/>
      <c r="G108" s="105"/>
      <c r="H108" s="78"/>
      <c r="I108" s="71"/>
      <c r="J108" s="65"/>
      <c r="K108" s="71"/>
      <c r="L108" s="65"/>
      <c r="M108" s="71"/>
      <c r="N108" s="71"/>
      <c r="O108" s="71"/>
      <c r="P108" s="74"/>
      <c r="Q108" s="65"/>
      <c r="R108" s="74"/>
    </row>
    <row r="109" spans="2:18" s="30" customFormat="1" ht="27.6" hidden="1" x14ac:dyDescent="0.3">
      <c r="B109" s="81" t="s">
        <v>50</v>
      </c>
      <c r="C109" s="86" t="s">
        <v>363</v>
      </c>
      <c r="D109" s="59" t="s">
        <v>66</v>
      </c>
      <c r="E109" s="87" t="s">
        <v>123</v>
      </c>
      <c r="F109" s="101"/>
      <c r="G109" s="105"/>
      <c r="H109" s="78"/>
      <c r="I109" s="71"/>
      <c r="J109" s="65"/>
      <c r="K109" s="71"/>
      <c r="L109" s="65"/>
      <c r="M109" s="71"/>
      <c r="N109" s="71"/>
      <c r="O109" s="71"/>
      <c r="P109" s="74"/>
      <c r="Q109" s="65"/>
      <c r="R109" s="74"/>
    </row>
    <row r="110" spans="2:18" s="30" customFormat="1" ht="151.80000000000001" hidden="1" x14ac:dyDescent="0.3">
      <c r="B110" s="81" t="s">
        <v>50</v>
      </c>
      <c r="C110" s="86" t="s">
        <v>364</v>
      </c>
      <c r="D110" s="59" t="s">
        <v>124</v>
      </c>
      <c r="E110" s="87" t="s">
        <v>125</v>
      </c>
      <c r="F110" s="101"/>
      <c r="G110" s="105"/>
      <c r="H110" s="78"/>
      <c r="I110" s="71"/>
      <c r="J110" s="65"/>
      <c r="K110" s="71"/>
      <c r="L110" s="65"/>
      <c r="M110" s="71"/>
      <c r="N110" s="71"/>
      <c r="O110" s="71"/>
      <c r="P110" s="74"/>
      <c r="Q110" s="65"/>
      <c r="R110" s="74"/>
    </row>
    <row r="111" spans="2:18" s="30" customFormat="1" ht="138" hidden="1" x14ac:dyDescent="0.3">
      <c r="B111" s="81" t="s">
        <v>50</v>
      </c>
      <c r="C111" s="86" t="s">
        <v>365</v>
      </c>
      <c r="D111" s="59" t="s">
        <v>126</v>
      </c>
      <c r="E111" s="87" t="s">
        <v>127</v>
      </c>
      <c r="F111" s="101"/>
      <c r="G111" s="105"/>
      <c r="H111" s="78"/>
      <c r="I111" s="71"/>
      <c r="J111" s="65"/>
      <c r="K111" s="71"/>
      <c r="L111" s="65"/>
      <c r="M111" s="71"/>
      <c r="N111" s="71"/>
      <c r="O111" s="71"/>
      <c r="P111" s="74"/>
      <c r="Q111" s="65"/>
      <c r="R111" s="74"/>
    </row>
    <row r="112" spans="2:18" s="30" customFormat="1" ht="138" hidden="1" x14ac:dyDescent="0.3">
      <c r="B112" s="81" t="s">
        <v>50</v>
      </c>
      <c r="C112" s="86" t="s">
        <v>366</v>
      </c>
      <c r="D112" s="59" t="s">
        <v>128</v>
      </c>
      <c r="E112" s="87" t="s">
        <v>404</v>
      </c>
      <c r="F112" s="101"/>
      <c r="G112" s="105"/>
      <c r="H112" s="78"/>
      <c r="I112" s="71"/>
      <c r="J112" s="65"/>
      <c r="K112" s="71"/>
      <c r="L112" s="65"/>
      <c r="M112" s="71"/>
      <c r="N112" s="71"/>
      <c r="O112" s="71"/>
      <c r="P112" s="74"/>
      <c r="Q112" s="65"/>
      <c r="R112" s="74"/>
    </row>
    <row r="113" spans="2:18" s="30" customFormat="1" ht="82.8" hidden="1" x14ac:dyDescent="0.3">
      <c r="B113" s="81" t="s">
        <v>50</v>
      </c>
      <c r="C113" s="86" t="s">
        <v>367</v>
      </c>
      <c r="D113" s="59" t="s">
        <v>129</v>
      </c>
      <c r="E113" s="87" t="s">
        <v>130</v>
      </c>
      <c r="F113" s="101"/>
      <c r="G113" s="105"/>
      <c r="H113" s="78"/>
      <c r="I113" s="71"/>
      <c r="J113" s="65"/>
      <c r="K113" s="71"/>
      <c r="L113" s="65"/>
      <c r="M113" s="71"/>
      <c r="N113" s="71"/>
      <c r="O113" s="71"/>
      <c r="P113" s="74"/>
      <c r="Q113" s="65"/>
      <c r="R113" s="74"/>
    </row>
    <row r="114" spans="2:18" s="30" customFormat="1" ht="110.4" hidden="1" x14ac:dyDescent="0.3">
      <c r="B114" s="81" t="s">
        <v>50</v>
      </c>
      <c r="C114" s="86" t="s">
        <v>368</v>
      </c>
      <c r="D114" s="59" t="s">
        <v>131</v>
      </c>
      <c r="E114" s="87" t="s">
        <v>132</v>
      </c>
      <c r="F114" s="101"/>
      <c r="G114" s="105"/>
      <c r="H114" s="78"/>
      <c r="I114" s="71"/>
      <c r="J114" s="65"/>
      <c r="K114" s="71"/>
      <c r="L114" s="65"/>
      <c r="M114" s="71"/>
      <c r="N114" s="71"/>
      <c r="O114" s="71"/>
      <c r="P114" s="74"/>
      <c r="Q114" s="65"/>
      <c r="R114" s="74"/>
    </row>
    <row r="115" spans="2:18" s="30" customFormat="1" ht="37.5" hidden="1" customHeight="1" x14ac:dyDescent="0.3">
      <c r="B115" s="81" t="s">
        <v>50</v>
      </c>
      <c r="C115" s="82" t="s">
        <v>317</v>
      </c>
      <c r="D115" s="83" t="s">
        <v>133</v>
      </c>
      <c r="E115" s="85"/>
      <c r="F115" s="101"/>
      <c r="G115" s="105"/>
      <c r="H115" s="78"/>
      <c r="I115" s="71"/>
      <c r="J115" s="65"/>
      <c r="K115" s="71"/>
      <c r="L115" s="65"/>
      <c r="M115" s="71"/>
      <c r="N115" s="71"/>
      <c r="O115" s="71"/>
      <c r="P115" s="74"/>
      <c r="Q115" s="65"/>
      <c r="R115" s="74"/>
    </row>
    <row r="116" spans="2:18" s="30" customFormat="1" ht="110.4" hidden="1" x14ac:dyDescent="0.3">
      <c r="B116" s="81" t="s">
        <v>50</v>
      </c>
      <c r="C116" s="86" t="s">
        <v>413</v>
      </c>
      <c r="D116" s="59" t="s">
        <v>66</v>
      </c>
      <c r="E116" s="87" t="s">
        <v>414</v>
      </c>
      <c r="F116" s="101"/>
      <c r="G116" s="105"/>
      <c r="H116" s="78"/>
      <c r="I116" s="71"/>
      <c r="J116" s="65"/>
      <c r="K116" s="71"/>
      <c r="L116" s="65"/>
      <c r="M116" s="71"/>
      <c r="N116" s="71"/>
      <c r="O116" s="71"/>
      <c r="P116" s="74"/>
      <c r="Q116" s="65"/>
      <c r="R116" s="74"/>
    </row>
    <row r="117" spans="2:18" s="30" customFormat="1" ht="165.6" hidden="1" x14ac:dyDescent="0.3">
      <c r="B117" s="81" t="s">
        <v>50</v>
      </c>
      <c r="C117" s="86" t="s">
        <v>369</v>
      </c>
      <c r="D117" s="59" t="s">
        <v>134</v>
      </c>
      <c r="E117" s="87" t="s">
        <v>135</v>
      </c>
      <c r="F117" s="101"/>
      <c r="G117" s="105"/>
      <c r="H117" s="78"/>
      <c r="I117" s="71"/>
      <c r="J117" s="65"/>
      <c r="K117" s="71"/>
      <c r="L117" s="65"/>
      <c r="M117" s="71"/>
      <c r="N117" s="71"/>
      <c r="O117" s="71"/>
      <c r="P117" s="74"/>
      <c r="Q117" s="65"/>
      <c r="R117" s="74"/>
    </row>
    <row r="118" spans="2:18" s="30" customFormat="1" ht="151.80000000000001" hidden="1" x14ac:dyDescent="0.3">
      <c r="B118" s="81" t="s">
        <v>50</v>
      </c>
      <c r="C118" s="86" t="s">
        <v>370</v>
      </c>
      <c r="D118" s="59" t="s">
        <v>136</v>
      </c>
      <c r="E118" s="87" t="s">
        <v>137</v>
      </c>
      <c r="F118" s="101"/>
      <c r="G118" s="105"/>
      <c r="H118" s="78"/>
      <c r="I118" s="71"/>
      <c r="J118" s="65"/>
      <c r="K118" s="71"/>
      <c r="L118" s="65"/>
      <c r="M118" s="71"/>
      <c r="N118" s="71"/>
      <c r="O118" s="71"/>
      <c r="P118" s="74"/>
      <c r="Q118" s="65"/>
      <c r="R118" s="74"/>
    </row>
    <row r="119" spans="2:18" s="30" customFormat="1" hidden="1" x14ac:dyDescent="0.3">
      <c r="B119" s="81" t="s">
        <v>50</v>
      </c>
      <c r="C119" s="82" t="s">
        <v>318</v>
      </c>
      <c r="D119" s="83" t="s">
        <v>138</v>
      </c>
      <c r="E119" s="85"/>
      <c r="F119" s="101"/>
      <c r="G119" s="105"/>
      <c r="H119" s="78"/>
      <c r="I119" s="71"/>
      <c r="J119" s="65"/>
      <c r="K119" s="71"/>
      <c r="L119" s="65"/>
      <c r="M119" s="71"/>
      <c r="N119" s="71"/>
      <c r="O119" s="71"/>
      <c r="P119" s="74"/>
      <c r="Q119" s="65"/>
      <c r="R119" s="74"/>
    </row>
    <row r="120" spans="2:18" s="30" customFormat="1" ht="193.2" hidden="1" x14ac:dyDescent="0.3">
      <c r="B120" s="81" t="s">
        <v>50</v>
      </c>
      <c r="C120" s="86" t="s">
        <v>371</v>
      </c>
      <c r="D120" s="59" t="s">
        <v>140</v>
      </c>
      <c r="E120" s="87" t="s">
        <v>139</v>
      </c>
      <c r="F120" s="101"/>
      <c r="G120" s="105"/>
      <c r="H120" s="78"/>
      <c r="I120" s="71"/>
      <c r="J120" s="65"/>
      <c r="K120" s="71"/>
      <c r="L120" s="65"/>
      <c r="M120" s="71"/>
      <c r="N120" s="71"/>
      <c r="O120" s="71"/>
      <c r="P120" s="74"/>
      <c r="Q120" s="65"/>
      <c r="R120" s="74"/>
    </row>
    <row r="121" spans="2:18" s="30" customFormat="1" ht="69" hidden="1" x14ac:dyDescent="0.3">
      <c r="B121" s="81" t="s">
        <v>50</v>
      </c>
      <c r="C121" s="86" t="s">
        <v>372</v>
      </c>
      <c r="D121" s="59" t="s">
        <v>141</v>
      </c>
      <c r="E121" s="87" t="s">
        <v>142</v>
      </c>
      <c r="F121" s="101"/>
      <c r="G121" s="105"/>
      <c r="H121" s="78"/>
      <c r="I121" s="71"/>
      <c r="J121" s="65"/>
      <c r="K121" s="71"/>
      <c r="L121" s="65"/>
      <c r="M121" s="71"/>
      <c r="N121" s="71"/>
      <c r="O121" s="71"/>
      <c r="P121" s="74"/>
      <c r="Q121" s="65"/>
      <c r="R121" s="74"/>
    </row>
    <row r="122" spans="2:18" s="30" customFormat="1" ht="96.6" hidden="1" x14ac:dyDescent="0.3">
      <c r="B122" s="81" t="s">
        <v>50</v>
      </c>
      <c r="C122" s="86" t="s">
        <v>373</v>
      </c>
      <c r="D122" s="59" t="s">
        <v>143</v>
      </c>
      <c r="E122" s="87" t="s">
        <v>405</v>
      </c>
      <c r="F122" s="101"/>
      <c r="G122" s="105"/>
      <c r="H122" s="78"/>
      <c r="I122" s="71"/>
      <c r="J122" s="65"/>
      <c r="K122" s="71"/>
      <c r="L122" s="65"/>
      <c r="M122" s="71"/>
      <c r="N122" s="71"/>
      <c r="O122" s="71"/>
      <c r="P122" s="74"/>
      <c r="Q122" s="65"/>
      <c r="R122" s="74"/>
    </row>
    <row r="123" spans="2:18" s="30" customFormat="1" ht="55.2" hidden="1" x14ac:dyDescent="0.3">
      <c r="B123" s="81" t="s">
        <v>50</v>
      </c>
      <c r="C123" s="86" t="s">
        <v>376</v>
      </c>
      <c r="D123" s="59" t="s">
        <v>144</v>
      </c>
      <c r="E123" s="87" t="s">
        <v>406</v>
      </c>
      <c r="F123" s="101"/>
      <c r="G123" s="105"/>
      <c r="H123" s="78"/>
      <c r="I123" s="71"/>
      <c r="J123" s="65"/>
      <c r="K123" s="71"/>
      <c r="L123" s="65"/>
      <c r="M123" s="71"/>
      <c r="N123" s="71"/>
      <c r="O123" s="71"/>
      <c r="P123" s="74"/>
      <c r="Q123" s="65"/>
      <c r="R123" s="74"/>
    </row>
    <row r="124" spans="2:18" s="30" customFormat="1" ht="124.2" hidden="1" x14ac:dyDescent="0.3">
      <c r="B124" s="81" t="s">
        <v>50</v>
      </c>
      <c r="C124" s="86" t="s">
        <v>377</v>
      </c>
      <c r="D124" s="59" t="s">
        <v>145</v>
      </c>
      <c r="E124" s="87" t="s">
        <v>407</v>
      </c>
      <c r="F124" s="101"/>
      <c r="G124" s="105"/>
      <c r="H124" s="78"/>
      <c r="I124" s="71"/>
      <c r="J124" s="65"/>
      <c r="K124" s="71"/>
      <c r="L124" s="65"/>
      <c r="M124" s="71"/>
      <c r="N124" s="71"/>
      <c r="O124" s="71"/>
      <c r="P124" s="74"/>
      <c r="Q124" s="65"/>
      <c r="R124" s="74"/>
    </row>
    <row r="125" spans="2:18" s="30" customFormat="1" ht="55.2" hidden="1" x14ac:dyDescent="0.3">
      <c r="B125" s="81" t="s">
        <v>50</v>
      </c>
      <c r="C125" s="86" t="s">
        <v>378</v>
      </c>
      <c r="D125" s="59" t="s">
        <v>146</v>
      </c>
      <c r="E125" s="87" t="s">
        <v>147</v>
      </c>
      <c r="F125" s="101"/>
      <c r="G125" s="105"/>
      <c r="H125" s="78"/>
      <c r="I125" s="71"/>
      <c r="J125" s="65"/>
      <c r="K125" s="71"/>
      <c r="L125" s="65"/>
      <c r="M125" s="71"/>
      <c r="N125" s="71"/>
      <c r="O125" s="71"/>
      <c r="P125" s="74"/>
      <c r="Q125" s="65"/>
      <c r="R125" s="74"/>
    </row>
    <row r="126" spans="2:18" s="30" customFormat="1" ht="96.6" hidden="1" x14ac:dyDescent="0.3">
      <c r="B126" s="81" t="s">
        <v>50</v>
      </c>
      <c r="C126" s="86" t="s">
        <v>319</v>
      </c>
      <c r="D126" s="59" t="s">
        <v>148</v>
      </c>
      <c r="E126" s="87" t="s">
        <v>149</v>
      </c>
      <c r="F126" s="101"/>
      <c r="G126" s="105"/>
      <c r="H126" s="78"/>
      <c r="I126" s="71"/>
      <c r="J126" s="65"/>
      <c r="K126" s="71"/>
      <c r="L126" s="65"/>
      <c r="M126" s="71"/>
      <c r="N126" s="71"/>
      <c r="O126" s="71"/>
      <c r="P126" s="74"/>
      <c r="Q126" s="65"/>
      <c r="R126" s="74"/>
    </row>
    <row r="127" spans="2:18" s="30" customFormat="1" ht="37.5" hidden="1" customHeight="1" x14ac:dyDescent="0.3">
      <c r="B127" s="81" t="s">
        <v>50</v>
      </c>
      <c r="C127" s="82" t="s">
        <v>320</v>
      </c>
      <c r="D127" s="83" t="s">
        <v>150</v>
      </c>
      <c r="E127" s="85"/>
      <c r="F127" s="101"/>
      <c r="G127" s="105"/>
      <c r="H127" s="78"/>
      <c r="I127" s="71"/>
      <c r="J127" s="65"/>
      <c r="K127" s="71"/>
      <c r="L127" s="65"/>
      <c r="M127" s="71"/>
      <c r="N127" s="71"/>
      <c r="O127" s="71"/>
      <c r="P127" s="74"/>
      <c r="Q127" s="65"/>
      <c r="R127" s="74"/>
    </row>
    <row r="128" spans="2:18" s="30" customFormat="1" ht="124.2" hidden="1" x14ac:dyDescent="0.3">
      <c r="B128" s="81" t="s">
        <v>50</v>
      </c>
      <c r="C128" s="86" t="s">
        <v>374</v>
      </c>
      <c r="D128" s="59" t="s">
        <v>151</v>
      </c>
      <c r="E128" s="87" t="s">
        <v>152</v>
      </c>
      <c r="F128" s="101"/>
      <c r="G128" s="105"/>
      <c r="H128" s="78"/>
      <c r="I128" s="71"/>
      <c r="J128" s="65"/>
      <c r="K128" s="71"/>
      <c r="L128" s="65"/>
      <c r="M128" s="71"/>
      <c r="N128" s="71"/>
      <c r="O128" s="71"/>
      <c r="P128" s="74"/>
      <c r="Q128" s="65"/>
      <c r="R128" s="74"/>
    </row>
    <row r="129" spans="2:18" s="30" customFormat="1" ht="55.2" hidden="1" x14ac:dyDescent="0.3">
      <c r="B129" s="81" t="s">
        <v>50</v>
      </c>
      <c r="C129" s="86" t="s">
        <v>375</v>
      </c>
      <c r="D129" s="59" t="s">
        <v>153</v>
      </c>
      <c r="E129" s="87" t="s">
        <v>154</v>
      </c>
      <c r="F129" s="101"/>
      <c r="G129" s="105"/>
      <c r="H129" s="78"/>
      <c r="I129" s="71"/>
      <c r="J129" s="65"/>
      <c r="K129" s="71"/>
      <c r="L129" s="65"/>
      <c r="M129" s="71"/>
      <c r="N129" s="71"/>
      <c r="O129" s="71"/>
      <c r="P129" s="74"/>
      <c r="Q129" s="65"/>
      <c r="R129" s="74"/>
    </row>
    <row r="130" spans="2:18" s="30" customFormat="1" ht="19.5" hidden="1" customHeight="1" x14ac:dyDescent="0.3">
      <c r="B130" s="81" t="s">
        <v>50</v>
      </c>
      <c r="C130" s="82" t="s">
        <v>321</v>
      </c>
      <c r="D130" s="83" t="s">
        <v>155</v>
      </c>
      <c r="E130" s="85"/>
      <c r="F130" s="101"/>
      <c r="G130" s="105"/>
      <c r="H130" s="78"/>
      <c r="I130" s="71"/>
      <c r="J130" s="65"/>
      <c r="K130" s="71"/>
      <c r="L130" s="65"/>
      <c r="M130" s="71"/>
      <c r="N130" s="71"/>
      <c r="O130" s="71"/>
      <c r="P130" s="74"/>
      <c r="Q130" s="65"/>
      <c r="R130" s="74"/>
    </row>
    <row r="131" spans="2:18" s="30" customFormat="1" ht="37.5" hidden="1" customHeight="1" x14ac:dyDescent="0.3">
      <c r="B131" s="81" t="s">
        <v>50</v>
      </c>
      <c r="C131" s="82" t="s">
        <v>322</v>
      </c>
      <c r="D131" s="83" t="s">
        <v>156</v>
      </c>
      <c r="E131" s="85"/>
      <c r="F131" s="101"/>
      <c r="G131" s="105"/>
      <c r="H131" s="78"/>
      <c r="I131" s="71"/>
      <c r="J131" s="65"/>
      <c r="K131" s="71"/>
      <c r="L131" s="65"/>
      <c r="M131" s="71"/>
      <c r="N131" s="71"/>
      <c r="O131" s="71"/>
      <c r="P131" s="74"/>
      <c r="Q131" s="65"/>
      <c r="R131" s="74"/>
    </row>
    <row r="132" spans="2:18" s="30" customFormat="1" ht="96.6" hidden="1" x14ac:dyDescent="0.3">
      <c r="B132" s="81" t="s">
        <v>50</v>
      </c>
      <c r="C132" s="86" t="s">
        <v>379</v>
      </c>
      <c r="D132" s="59" t="s">
        <v>66</v>
      </c>
      <c r="E132" s="87" t="s">
        <v>157</v>
      </c>
      <c r="F132" s="101"/>
      <c r="G132" s="105"/>
      <c r="H132" s="78"/>
      <c r="I132" s="71"/>
      <c r="J132" s="65"/>
      <c r="K132" s="71"/>
      <c r="L132" s="65"/>
      <c r="M132" s="71"/>
      <c r="N132" s="71"/>
      <c r="O132" s="71"/>
      <c r="P132" s="74"/>
      <c r="Q132" s="65"/>
      <c r="R132" s="74"/>
    </row>
    <row r="133" spans="2:18" s="30" customFormat="1" ht="55.2" hidden="1" x14ac:dyDescent="0.3">
      <c r="B133" s="81" t="s">
        <v>50</v>
      </c>
      <c r="C133" s="86" t="s">
        <v>380</v>
      </c>
      <c r="D133" s="59" t="s">
        <v>158</v>
      </c>
      <c r="E133" s="87" t="s">
        <v>408</v>
      </c>
      <c r="F133" s="101"/>
      <c r="G133" s="105"/>
      <c r="H133" s="78"/>
      <c r="I133" s="71"/>
      <c r="J133" s="65"/>
      <c r="K133" s="71"/>
      <c r="L133" s="65"/>
      <c r="M133" s="71"/>
      <c r="N133" s="71"/>
      <c r="O133" s="71"/>
      <c r="P133" s="74"/>
      <c r="Q133" s="65"/>
      <c r="R133" s="74"/>
    </row>
    <row r="134" spans="2:18" s="30" customFormat="1" ht="138" hidden="1" x14ac:dyDescent="0.3">
      <c r="B134" s="81" t="s">
        <v>50</v>
      </c>
      <c r="C134" s="86" t="s">
        <v>381</v>
      </c>
      <c r="D134" s="59" t="s">
        <v>159</v>
      </c>
      <c r="E134" s="87" t="s">
        <v>409</v>
      </c>
      <c r="F134" s="101"/>
      <c r="G134" s="105"/>
      <c r="H134" s="78"/>
      <c r="I134" s="71"/>
      <c r="J134" s="65"/>
      <c r="K134" s="71"/>
      <c r="L134" s="65"/>
      <c r="M134" s="71"/>
      <c r="N134" s="71"/>
      <c r="O134" s="71"/>
      <c r="P134" s="74"/>
      <c r="Q134" s="65"/>
      <c r="R134" s="74"/>
    </row>
    <row r="135" spans="2:18" s="30" customFormat="1" ht="19.5" hidden="1" customHeight="1" x14ac:dyDescent="0.3">
      <c r="B135" s="88" t="s">
        <v>50</v>
      </c>
      <c r="C135" s="82" t="s">
        <v>323</v>
      </c>
      <c r="D135" s="83" t="s">
        <v>160</v>
      </c>
      <c r="E135" s="85"/>
      <c r="F135" s="101"/>
      <c r="G135" s="105"/>
      <c r="H135" s="78"/>
      <c r="I135" s="71"/>
      <c r="J135" s="65"/>
      <c r="K135" s="71"/>
      <c r="L135" s="65"/>
      <c r="M135" s="71"/>
      <c r="N135" s="71"/>
      <c r="O135" s="71"/>
      <c r="P135" s="74"/>
      <c r="Q135" s="65"/>
      <c r="R135" s="74"/>
    </row>
    <row r="136" spans="2:18" s="30" customFormat="1" ht="55.2" hidden="1" x14ac:dyDescent="0.3">
      <c r="B136" s="81" t="s">
        <v>50</v>
      </c>
      <c r="C136" s="86" t="s">
        <v>382</v>
      </c>
      <c r="D136" s="59" t="s">
        <v>161</v>
      </c>
      <c r="E136" s="87" t="s">
        <v>162</v>
      </c>
      <c r="F136" s="101"/>
      <c r="G136" s="105"/>
      <c r="H136" s="78"/>
      <c r="I136" s="71"/>
      <c r="J136" s="65"/>
      <c r="K136" s="71"/>
      <c r="L136" s="65"/>
      <c r="M136" s="71"/>
      <c r="N136" s="71"/>
      <c r="O136" s="71"/>
      <c r="P136" s="74"/>
      <c r="Q136" s="65"/>
      <c r="R136" s="74"/>
    </row>
    <row r="137" spans="2:18" s="30" customFormat="1" ht="110.4" hidden="1" x14ac:dyDescent="0.3">
      <c r="B137" s="81" t="s">
        <v>50</v>
      </c>
      <c r="C137" s="86" t="s">
        <v>383</v>
      </c>
      <c r="D137" s="59" t="s">
        <v>163</v>
      </c>
      <c r="E137" s="87" t="s">
        <v>164</v>
      </c>
      <c r="F137" s="101"/>
      <c r="G137" s="105"/>
      <c r="H137" s="78"/>
      <c r="I137" s="71"/>
      <c r="J137" s="65"/>
      <c r="K137" s="71"/>
      <c r="L137" s="65"/>
      <c r="M137" s="71"/>
      <c r="N137" s="71"/>
      <c r="O137" s="71"/>
      <c r="P137" s="74"/>
      <c r="Q137" s="65"/>
      <c r="R137" s="74"/>
    </row>
    <row r="138" spans="2:18" s="30" customFormat="1" ht="19.5" hidden="1" customHeight="1" x14ac:dyDescent="0.3">
      <c r="B138" s="88" t="s">
        <v>50</v>
      </c>
      <c r="C138" s="82" t="s">
        <v>324</v>
      </c>
      <c r="D138" s="83" t="s">
        <v>165</v>
      </c>
      <c r="E138" s="85"/>
      <c r="F138" s="101"/>
      <c r="G138" s="105"/>
      <c r="H138" s="78"/>
      <c r="I138" s="71"/>
      <c r="J138" s="65"/>
      <c r="K138" s="71"/>
      <c r="L138" s="65"/>
      <c r="M138" s="71"/>
      <c r="N138" s="71"/>
      <c r="O138" s="71"/>
      <c r="P138" s="74"/>
      <c r="Q138" s="65"/>
      <c r="R138" s="74"/>
    </row>
    <row r="139" spans="2:18" s="30" customFormat="1" ht="27.6" hidden="1" x14ac:dyDescent="0.3">
      <c r="B139" s="81" t="s">
        <v>50</v>
      </c>
      <c r="C139" s="86" t="s">
        <v>384</v>
      </c>
      <c r="D139" s="59" t="s">
        <v>66</v>
      </c>
      <c r="E139" s="87" t="s">
        <v>166</v>
      </c>
      <c r="F139" s="101"/>
      <c r="G139" s="105"/>
      <c r="H139" s="78"/>
      <c r="I139" s="71"/>
      <c r="J139" s="65"/>
      <c r="K139" s="71"/>
      <c r="L139" s="65"/>
      <c r="M139" s="71"/>
      <c r="N139" s="71"/>
      <c r="O139" s="71"/>
      <c r="P139" s="74"/>
      <c r="Q139" s="65"/>
      <c r="R139" s="74"/>
    </row>
    <row r="140" spans="2:18" s="30" customFormat="1" ht="193.2" hidden="1" x14ac:dyDescent="0.3">
      <c r="B140" s="81" t="s">
        <v>50</v>
      </c>
      <c r="C140" s="86" t="s">
        <v>385</v>
      </c>
      <c r="D140" s="59" t="s">
        <v>167</v>
      </c>
      <c r="E140" s="87" t="s">
        <v>168</v>
      </c>
      <c r="F140" s="101"/>
      <c r="G140" s="105"/>
      <c r="H140" s="78"/>
      <c r="I140" s="71"/>
      <c r="J140" s="65"/>
      <c r="K140" s="71"/>
      <c r="L140" s="65"/>
      <c r="M140" s="71"/>
      <c r="N140" s="71"/>
      <c r="O140" s="71"/>
      <c r="P140" s="74"/>
      <c r="Q140" s="65"/>
      <c r="R140" s="74"/>
    </row>
    <row r="141" spans="2:18" s="30" customFormat="1" ht="69" hidden="1" x14ac:dyDescent="0.3">
      <c r="B141" s="81" t="s">
        <v>50</v>
      </c>
      <c r="C141" s="86" t="s">
        <v>386</v>
      </c>
      <c r="D141" s="59" t="s">
        <v>169</v>
      </c>
      <c r="E141" s="87" t="s">
        <v>170</v>
      </c>
      <c r="F141" s="101"/>
      <c r="G141" s="105"/>
      <c r="H141" s="78"/>
      <c r="I141" s="71"/>
      <c r="J141" s="65"/>
      <c r="K141" s="71"/>
      <c r="L141" s="65"/>
      <c r="M141" s="71"/>
      <c r="N141" s="71"/>
      <c r="O141" s="71"/>
      <c r="P141" s="74"/>
      <c r="Q141" s="65"/>
      <c r="R141" s="74"/>
    </row>
    <row r="142" spans="2:18" s="30" customFormat="1" ht="19.5" hidden="1" customHeight="1" x14ac:dyDescent="0.3">
      <c r="B142" s="88" t="s">
        <v>50</v>
      </c>
      <c r="C142" s="82" t="s">
        <v>325</v>
      </c>
      <c r="D142" s="83" t="s">
        <v>171</v>
      </c>
      <c r="E142" s="85"/>
      <c r="F142" s="101"/>
      <c r="G142" s="105"/>
      <c r="H142" s="78"/>
      <c r="I142" s="71"/>
      <c r="J142" s="65"/>
      <c r="K142" s="71"/>
      <c r="L142" s="65"/>
      <c r="M142" s="71"/>
      <c r="N142" s="71"/>
      <c r="O142" s="71"/>
      <c r="P142" s="74"/>
      <c r="Q142" s="65"/>
      <c r="R142" s="74"/>
    </row>
    <row r="143" spans="2:18" s="30" customFormat="1" ht="110.4" hidden="1" x14ac:dyDescent="0.3">
      <c r="B143" s="81" t="s">
        <v>50</v>
      </c>
      <c r="C143" s="86" t="s">
        <v>326</v>
      </c>
      <c r="D143" s="59" t="s">
        <v>66</v>
      </c>
      <c r="E143" s="87" t="s">
        <v>410</v>
      </c>
      <c r="F143" s="101"/>
      <c r="G143" s="105"/>
      <c r="H143" s="78"/>
      <c r="I143" s="71"/>
      <c r="J143" s="65"/>
      <c r="K143" s="71"/>
      <c r="L143" s="65"/>
      <c r="M143" s="71"/>
      <c r="N143" s="71"/>
      <c r="O143" s="71"/>
      <c r="P143" s="74"/>
      <c r="Q143" s="65"/>
      <c r="R143" s="74"/>
    </row>
    <row r="144" spans="2:18" s="30" customFormat="1" ht="19.5" hidden="1" customHeight="1" x14ac:dyDescent="0.3">
      <c r="B144" s="88" t="s">
        <v>50</v>
      </c>
      <c r="C144" s="82" t="s">
        <v>327</v>
      </c>
      <c r="D144" s="83" t="s">
        <v>172</v>
      </c>
      <c r="E144" s="85"/>
      <c r="F144" s="101"/>
      <c r="G144" s="105"/>
      <c r="H144" s="78"/>
      <c r="I144" s="71"/>
      <c r="J144" s="65"/>
      <c r="K144" s="71"/>
      <c r="L144" s="65"/>
      <c r="M144" s="71"/>
      <c r="N144" s="71"/>
      <c r="O144" s="71"/>
      <c r="P144" s="74"/>
      <c r="Q144" s="65"/>
      <c r="R144" s="74"/>
    </row>
    <row r="145" spans="2:18" s="30" customFormat="1" ht="165.6" hidden="1" x14ac:dyDescent="0.3">
      <c r="B145" s="81" t="s">
        <v>50</v>
      </c>
      <c r="C145" s="86" t="s">
        <v>174</v>
      </c>
      <c r="D145" s="59" t="s">
        <v>173</v>
      </c>
      <c r="E145" s="87" t="s">
        <v>175</v>
      </c>
      <c r="F145" s="101"/>
      <c r="G145" s="105"/>
      <c r="H145" s="78"/>
      <c r="I145" s="71"/>
      <c r="J145" s="65"/>
      <c r="K145" s="71"/>
      <c r="L145" s="65"/>
      <c r="M145" s="71"/>
      <c r="N145" s="71"/>
      <c r="O145" s="71"/>
      <c r="P145" s="74"/>
      <c r="Q145" s="65"/>
      <c r="R145" s="74"/>
    </row>
    <row r="146" spans="2:18" s="30" customFormat="1" ht="27.6" hidden="1" x14ac:dyDescent="0.3">
      <c r="B146" s="81" t="s">
        <v>50</v>
      </c>
      <c r="C146" s="86" t="s">
        <v>329</v>
      </c>
      <c r="D146" s="59" t="s">
        <v>176</v>
      </c>
      <c r="E146" s="87" t="s">
        <v>177</v>
      </c>
      <c r="F146" s="101"/>
      <c r="G146" s="105"/>
      <c r="H146" s="78"/>
      <c r="I146" s="71"/>
      <c r="J146" s="65"/>
      <c r="K146" s="71"/>
      <c r="L146" s="65"/>
      <c r="M146" s="71"/>
      <c r="N146" s="71"/>
      <c r="O146" s="71"/>
      <c r="P146" s="74"/>
      <c r="Q146" s="65"/>
      <c r="R146" s="74"/>
    </row>
    <row r="147" spans="2:18" s="30" customFormat="1" ht="41.4" hidden="1" x14ac:dyDescent="0.3">
      <c r="B147" s="81" t="s">
        <v>50</v>
      </c>
      <c r="C147" s="86" t="s">
        <v>328</v>
      </c>
      <c r="D147" s="59" t="s">
        <v>178</v>
      </c>
      <c r="E147" s="87" t="s">
        <v>179</v>
      </c>
      <c r="F147" s="101"/>
      <c r="G147" s="105"/>
      <c r="H147" s="78"/>
      <c r="I147" s="71"/>
      <c r="J147" s="65"/>
      <c r="K147" s="71"/>
      <c r="L147" s="65"/>
      <c r="M147" s="71"/>
      <c r="N147" s="71"/>
      <c r="O147" s="71"/>
      <c r="P147" s="74"/>
      <c r="Q147" s="65"/>
      <c r="R147" s="74"/>
    </row>
    <row r="148" spans="2:18" s="55" customFormat="1" x14ac:dyDescent="0.3">
      <c r="B148" s="81" t="s">
        <v>704</v>
      </c>
      <c r="C148" s="82" t="s">
        <v>264</v>
      </c>
      <c r="D148" s="83" t="s">
        <v>705</v>
      </c>
      <c r="E148" s="84"/>
      <c r="F148" s="101"/>
      <c r="G148" s="105"/>
      <c r="H148" s="78"/>
      <c r="I148" s="71"/>
      <c r="J148" s="65"/>
      <c r="K148" s="71"/>
      <c r="L148" s="65"/>
      <c r="M148" s="71"/>
      <c r="N148" s="71"/>
      <c r="O148" s="71"/>
      <c r="P148" s="108"/>
      <c r="Q148" s="66"/>
      <c r="R148" s="108"/>
    </row>
    <row r="149" spans="2:18" s="30" customFormat="1" ht="27.6" x14ac:dyDescent="0.3">
      <c r="B149" s="81" t="s">
        <v>704</v>
      </c>
      <c r="C149" s="86" t="s">
        <v>265</v>
      </c>
      <c r="D149" s="60" t="s">
        <v>706</v>
      </c>
      <c r="E149" s="85"/>
      <c r="F149" s="101"/>
      <c r="G149" s="105"/>
      <c r="H149" s="78"/>
      <c r="I149" s="71"/>
      <c r="J149" s="65"/>
      <c r="K149" s="71"/>
      <c r="L149" s="65" t="s">
        <v>18</v>
      </c>
      <c r="M149" s="71"/>
      <c r="N149" s="71"/>
      <c r="O149" s="71"/>
      <c r="P149" s="71"/>
      <c r="Q149" s="66"/>
      <c r="R149" s="71"/>
    </row>
    <row r="150" spans="2:18" s="30" customFormat="1" ht="27.6" x14ac:dyDescent="0.3">
      <c r="B150" s="81" t="s">
        <v>704</v>
      </c>
      <c r="C150" s="86" t="s">
        <v>286</v>
      </c>
      <c r="D150" s="60" t="s">
        <v>707</v>
      </c>
      <c r="E150" s="87"/>
      <c r="F150" s="101"/>
      <c r="G150" s="105"/>
      <c r="H150" s="78"/>
      <c r="I150" s="71"/>
      <c r="J150" s="65"/>
      <c r="K150" s="71"/>
      <c r="L150" s="65"/>
      <c r="M150" s="71"/>
      <c r="N150" s="71"/>
      <c r="O150" s="71"/>
      <c r="P150" s="71"/>
      <c r="Q150" s="66"/>
      <c r="R150" s="71"/>
    </row>
    <row r="151" spans="2:18" s="30" customFormat="1" ht="27.6" x14ac:dyDescent="0.3">
      <c r="B151" s="81" t="s">
        <v>704</v>
      </c>
      <c r="C151" s="86" t="s">
        <v>287</v>
      </c>
      <c r="D151" s="60" t="s">
        <v>708</v>
      </c>
      <c r="E151" s="87"/>
      <c r="F151" s="101"/>
      <c r="G151" s="105"/>
      <c r="H151" s="78"/>
      <c r="I151" s="71"/>
      <c r="J151" s="65"/>
      <c r="K151" s="71"/>
      <c r="L151" s="65"/>
      <c r="M151" s="71"/>
      <c r="N151" s="71"/>
      <c r="O151" s="71"/>
      <c r="P151" s="71"/>
      <c r="Q151" s="66"/>
      <c r="R151" s="71"/>
    </row>
    <row r="152" spans="2:18" s="30" customFormat="1" x14ac:dyDescent="0.3">
      <c r="B152" s="81" t="s">
        <v>704</v>
      </c>
      <c r="C152" s="86" t="s">
        <v>288</v>
      </c>
      <c r="D152" s="60" t="s">
        <v>709</v>
      </c>
      <c r="E152" s="87"/>
      <c r="F152" s="101"/>
      <c r="G152" s="105"/>
      <c r="H152" s="78"/>
      <c r="I152" s="71"/>
      <c r="J152" s="65"/>
      <c r="K152" s="71"/>
      <c r="L152" s="65"/>
      <c r="M152" s="71"/>
      <c r="N152" s="71"/>
      <c r="O152" s="71"/>
      <c r="P152" s="71"/>
      <c r="Q152" s="66"/>
      <c r="R152" s="71"/>
    </row>
    <row r="153" spans="2:18" s="30" customFormat="1" x14ac:dyDescent="0.3">
      <c r="B153" s="81" t="s">
        <v>704</v>
      </c>
      <c r="C153" s="82" t="s">
        <v>295</v>
      </c>
      <c r="D153" s="83" t="s">
        <v>64</v>
      </c>
      <c r="E153" s="87"/>
      <c r="F153" s="101"/>
      <c r="G153" s="105"/>
      <c r="H153" s="78"/>
      <c r="I153" s="71"/>
      <c r="J153" s="65"/>
      <c r="K153" s="71"/>
      <c r="L153" s="65"/>
      <c r="M153" s="71"/>
      <c r="N153" s="71"/>
      <c r="O153" s="71"/>
      <c r="P153" s="71"/>
      <c r="Q153" s="66"/>
      <c r="R153" s="71"/>
    </row>
    <row r="154" spans="2:18" s="30" customFormat="1" x14ac:dyDescent="0.3">
      <c r="B154" s="81" t="s">
        <v>704</v>
      </c>
      <c r="C154" s="86" t="s">
        <v>296</v>
      </c>
      <c r="D154" s="60" t="s">
        <v>710</v>
      </c>
      <c r="E154" s="87"/>
      <c r="F154" s="101"/>
      <c r="G154" s="105"/>
      <c r="H154" s="78"/>
      <c r="I154" s="71"/>
      <c r="J154" s="65"/>
      <c r="K154" s="71"/>
      <c r="L154" s="65"/>
      <c r="M154" s="71"/>
      <c r="N154" s="71"/>
      <c r="O154" s="71"/>
      <c r="P154" s="71"/>
      <c r="Q154" s="66"/>
      <c r="R154" s="71"/>
    </row>
    <row r="155" spans="2:18" s="30" customFormat="1" x14ac:dyDescent="0.3">
      <c r="B155" s="81" t="s">
        <v>704</v>
      </c>
      <c r="C155" s="82" t="s">
        <v>297</v>
      </c>
      <c r="D155" s="83" t="s">
        <v>69</v>
      </c>
      <c r="E155" s="85"/>
      <c r="F155" s="101"/>
      <c r="G155" s="105"/>
      <c r="H155" s="78"/>
      <c r="I155" s="71"/>
      <c r="J155" s="65"/>
      <c r="K155" s="71"/>
      <c r="L155" s="65" t="s">
        <v>18</v>
      </c>
      <c r="M155" s="71"/>
      <c r="N155" s="71"/>
      <c r="O155" s="71"/>
      <c r="P155" s="71"/>
      <c r="Q155" s="66"/>
      <c r="R155" s="71"/>
    </row>
    <row r="156" spans="2:18" s="30" customFormat="1" x14ac:dyDescent="0.3">
      <c r="B156" s="81" t="s">
        <v>704</v>
      </c>
      <c r="C156" s="86" t="s">
        <v>332</v>
      </c>
      <c r="D156" s="60" t="s">
        <v>711</v>
      </c>
      <c r="E156" s="87"/>
      <c r="F156" s="101"/>
      <c r="G156" s="105"/>
      <c r="H156" s="78"/>
      <c r="I156" s="71"/>
      <c r="J156" s="65"/>
      <c r="K156" s="71"/>
      <c r="L156" s="65"/>
      <c r="M156" s="71"/>
      <c r="N156" s="71"/>
      <c r="O156" s="71"/>
      <c r="P156" s="71"/>
      <c r="Q156" s="66"/>
      <c r="R156" s="71"/>
    </row>
    <row r="157" spans="2:18" s="30" customFormat="1" ht="27.6" x14ac:dyDescent="0.3">
      <c r="B157" s="81" t="s">
        <v>704</v>
      </c>
      <c r="C157" s="86" t="s">
        <v>333</v>
      </c>
      <c r="D157" s="60" t="s">
        <v>712</v>
      </c>
      <c r="E157" s="87"/>
      <c r="F157" s="101"/>
      <c r="G157" s="105"/>
      <c r="H157" s="78"/>
      <c r="I157" s="71"/>
      <c r="J157" s="65"/>
      <c r="K157" s="71"/>
      <c r="L157" s="65"/>
      <c r="M157" s="71"/>
      <c r="N157" s="71"/>
      <c r="O157" s="71"/>
      <c r="P157" s="71"/>
      <c r="Q157" s="66"/>
      <c r="R157" s="71"/>
    </row>
    <row r="158" spans="2:18" s="30" customFormat="1" ht="27.6" x14ac:dyDescent="0.3">
      <c r="B158" s="81" t="s">
        <v>704</v>
      </c>
      <c r="C158" s="86" t="s">
        <v>713</v>
      </c>
      <c r="D158" s="60" t="s">
        <v>714</v>
      </c>
      <c r="E158" s="87"/>
      <c r="F158" s="101"/>
      <c r="G158" s="105"/>
      <c r="H158" s="78"/>
      <c r="I158" s="71"/>
      <c r="J158" s="65"/>
      <c r="K158" s="71"/>
      <c r="L158" s="65"/>
      <c r="M158" s="71"/>
      <c r="N158" s="71"/>
      <c r="O158" s="71"/>
      <c r="P158" s="71"/>
      <c r="Q158" s="66"/>
      <c r="R158" s="71"/>
    </row>
    <row r="159" spans="2:18" s="30" customFormat="1" ht="27.6" x14ac:dyDescent="0.3">
      <c r="B159" s="81" t="s">
        <v>704</v>
      </c>
      <c r="C159" s="86" t="s">
        <v>298</v>
      </c>
      <c r="D159" s="60" t="s">
        <v>74</v>
      </c>
      <c r="E159" s="85"/>
      <c r="F159" s="101"/>
      <c r="G159" s="105"/>
      <c r="H159" s="78"/>
      <c r="I159" s="71"/>
      <c r="J159" s="65"/>
      <c r="K159" s="71"/>
      <c r="L159" s="65" t="s">
        <v>18</v>
      </c>
      <c r="M159" s="71"/>
      <c r="N159" s="71"/>
      <c r="O159" s="71"/>
      <c r="P159" s="71"/>
      <c r="Q159" s="66"/>
      <c r="R159" s="71"/>
    </row>
    <row r="160" spans="2:18" s="30" customFormat="1" x14ac:dyDescent="0.3">
      <c r="B160" s="81" t="s">
        <v>704</v>
      </c>
      <c r="C160" s="82" t="s">
        <v>300</v>
      </c>
      <c r="D160" s="83" t="s">
        <v>76</v>
      </c>
      <c r="E160" s="87"/>
      <c r="F160" s="101"/>
      <c r="G160" s="105"/>
      <c r="H160" s="78"/>
      <c r="I160" s="71"/>
      <c r="J160" s="65"/>
      <c r="K160" s="71"/>
      <c r="L160" s="65"/>
      <c r="M160" s="71"/>
      <c r="N160" s="71"/>
      <c r="O160" s="71"/>
      <c r="P160" s="71"/>
      <c r="Q160" s="66"/>
      <c r="R160" s="71"/>
    </row>
    <row r="161" spans="2:18" s="30" customFormat="1" ht="27.6" x14ac:dyDescent="0.3">
      <c r="B161" s="81" t="s">
        <v>704</v>
      </c>
      <c r="C161" s="86" t="s">
        <v>301</v>
      </c>
      <c r="D161" s="60" t="s">
        <v>715</v>
      </c>
      <c r="E161" s="87"/>
      <c r="F161" s="101"/>
      <c r="G161" s="105"/>
      <c r="H161" s="78"/>
      <c r="I161" s="71"/>
      <c r="J161" s="65"/>
      <c r="K161" s="71"/>
      <c r="L161" s="65"/>
      <c r="M161" s="71"/>
      <c r="N161" s="71"/>
      <c r="O161" s="71"/>
      <c r="P161" s="71"/>
      <c r="Q161" s="66"/>
      <c r="R161" s="71"/>
    </row>
    <row r="162" spans="2:18" s="30" customFormat="1" ht="27.6" x14ac:dyDescent="0.3">
      <c r="B162" s="81" t="s">
        <v>704</v>
      </c>
      <c r="C162" s="82" t="s">
        <v>302</v>
      </c>
      <c r="D162" s="83" t="s">
        <v>716</v>
      </c>
      <c r="E162" s="85"/>
      <c r="F162" s="101"/>
      <c r="G162" s="105"/>
      <c r="H162" s="78"/>
      <c r="I162" s="71"/>
      <c r="J162" s="65"/>
      <c r="K162" s="71"/>
      <c r="L162" s="65" t="s">
        <v>18</v>
      </c>
      <c r="M162" s="71"/>
      <c r="N162" s="71"/>
      <c r="O162" s="71"/>
      <c r="P162" s="71"/>
      <c r="Q162" s="66"/>
      <c r="R162" s="71"/>
    </row>
    <row r="163" spans="2:18" s="30" customFormat="1" x14ac:dyDescent="0.3">
      <c r="B163" s="81" t="s">
        <v>704</v>
      </c>
      <c r="C163" s="86" t="s">
        <v>336</v>
      </c>
      <c r="D163" s="60" t="s">
        <v>717</v>
      </c>
      <c r="E163" s="87"/>
      <c r="F163" s="101"/>
      <c r="G163" s="105"/>
      <c r="H163" s="78"/>
      <c r="I163" s="71"/>
      <c r="J163" s="65"/>
      <c r="K163" s="71"/>
      <c r="L163" s="65"/>
      <c r="M163" s="71"/>
      <c r="N163" s="71"/>
      <c r="O163" s="71"/>
      <c r="P163" s="71"/>
      <c r="Q163" s="66"/>
      <c r="R163" s="71"/>
    </row>
    <row r="164" spans="2:18" s="30" customFormat="1" x14ac:dyDescent="0.3">
      <c r="B164" s="81" t="s">
        <v>704</v>
      </c>
      <c r="C164" s="86" t="s">
        <v>337</v>
      </c>
      <c r="D164" s="60" t="s">
        <v>718</v>
      </c>
      <c r="E164" s="87"/>
      <c r="F164" s="101"/>
      <c r="G164" s="105"/>
      <c r="H164" s="78"/>
      <c r="I164" s="71"/>
      <c r="J164" s="65"/>
      <c r="K164" s="71"/>
      <c r="L164" s="65"/>
      <c r="M164" s="71"/>
      <c r="N164" s="71"/>
      <c r="O164" s="71"/>
      <c r="P164" s="71"/>
      <c r="Q164" s="66"/>
      <c r="R164" s="71"/>
    </row>
    <row r="165" spans="2:18" s="30" customFormat="1" x14ac:dyDescent="0.3">
      <c r="B165" s="81" t="s">
        <v>704</v>
      </c>
      <c r="C165" s="86" t="s">
        <v>303</v>
      </c>
      <c r="D165" s="60" t="s">
        <v>719</v>
      </c>
      <c r="E165" s="87"/>
      <c r="F165" s="101"/>
      <c r="G165" s="105"/>
      <c r="H165" s="78"/>
      <c r="I165" s="71"/>
      <c r="J165" s="65"/>
      <c r="K165" s="71"/>
      <c r="L165" s="65"/>
      <c r="M165" s="71"/>
      <c r="N165" s="71"/>
      <c r="O165" s="71"/>
      <c r="P165" s="71"/>
      <c r="Q165" s="66"/>
      <c r="R165" s="71"/>
    </row>
    <row r="166" spans="2:18" s="30" customFormat="1" x14ac:dyDescent="0.3">
      <c r="B166" s="81" t="s">
        <v>704</v>
      </c>
      <c r="C166" s="82" t="s">
        <v>307</v>
      </c>
      <c r="D166" s="83" t="s">
        <v>720</v>
      </c>
      <c r="E166" s="85"/>
      <c r="F166" s="101"/>
      <c r="G166" s="105"/>
      <c r="H166" s="78"/>
      <c r="I166" s="71"/>
      <c r="J166" s="65"/>
      <c r="K166" s="71"/>
      <c r="L166" s="65"/>
      <c r="M166" s="71"/>
      <c r="N166" s="71"/>
      <c r="O166" s="71"/>
      <c r="P166" s="71"/>
      <c r="Q166" s="66"/>
      <c r="R166" s="71"/>
    </row>
    <row r="167" spans="2:18" s="30" customFormat="1" x14ac:dyDescent="0.3">
      <c r="B167" s="81" t="s">
        <v>704</v>
      </c>
      <c r="C167" s="86" t="s">
        <v>308</v>
      </c>
      <c r="D167" s="60" t="s">
        <v>86</v>
      </c>
      <c r="E167" s="87"/>
      <c r="F167" s="101"/>
      <c r="G167" s="105"/>
      <c r="H167" s="78"/>
      <c r="I167" s="71"/>
      <c r="J167" s="65"/>
      <c r="K167" s="71"/>
      <c r="L167" s="65"/>
      <c r="M167" s="71"/>
      <c r="N167" s="71"/>
      <c r="O167" s="71"/>
      <c r="P167" s="71"/>
      <c r="Q167" s="66"/>
      <c r="R167" s="71"/>
    </row>
    <row r="168" spans="2:18" s="30" customFormat="1" x14ac:dyDescent="0.3">
      <c r="B168" s="81" t="s">
        <v>704</v>
      </c>
      <c r="C168" s="86" t="s">
        <v>309</v>
      </c>
      <c r="D168" s="60" t="s">
        <v>97</v>
      </c>
      <c r="E168" s="87"/>
      <c r="F168" s="101"/>
      <c r="G168" s="105"/>
      <c r="H168" s="78"/>
      <c r="I168" s="71"/>
      <c r="J168" s="65"/>
      <c r="K168" s="71"/>
      <c r="L168" s="65"/>
      <c r="M168" s="71"/>
      <c r="N168" s="71"/>
      <c r="O168" s="71"/>
      <c r="P168" s="71"/>
      <c r="Q168" s="66"/>
      <c r="R168" s="71"/>
    </row>
    <row r="169" spans="2:18" s="30" customFormat="1" x14ac:dyDescent="0.3">
      <c r="B169" s="81" t="s">
        <v>704</v>
      </c>
      <c r="C169" s="86" t="s">
        <v>310</v>
      </c>
      <c r="D169" s="60" t="s">
        <v>98</v>
      </c>
      <c r="E169" s="87"/>
      <c r="F169" s="101"/>
      <c r="G169" s="105"/>
      <c r="H169" s="78"/>
      <c r="I169" s="71"/>
      <c r="J169" s="65"/>
      <c r="K169" s="71"/>
      <c r="L169" s="65"/>
      <c r="M169" s="71"/>
      <c r="N169" s="71"/>
      <c r="O169" s="71"/>
      <c r="P169" s="71"/>
      <c r="Q169" s="66"/>
      <c r="R169" s="71"/>
    </row>
    <row r="170" spans="2:18" s="30" customFormat="1" x14ac:dyDescent="0.3">
      <c r="B170" s="81" t="s">
        <v>704</v>
      </c>
      <c r="C170" s="86" t="s">
        <v>311</v>
      </c>
      <c r="D170" s="60" t="s">
        <v>101</v>
      </c>
      <c r="E170" s="85"/>
      <c r="F170" s="101"/>
      <c r="G170" s="105"/>
      <c r="H170" s="78"/>
      <c r="I170" s="71"/>
      <c r="J170" s="65"/>
      <c r="K170" s="71"/>
      <c r="L170" s="65"/>
      <c r="M170" s="71"/>
      <c r="N170" s="71"/>
      <c r="O170" s="71"/>
      <c r="P170" s="71"/>
      <c r="Q170" s="66"/>
      <c r="R170" s="71"/>
    </row>
    <row r="171" spans="2:18" s="30" customFormat="1" x14ac:dyDescent="0.3">
      <c r="B171" s="81" t="s">
        <v>704</v>
      </c>
      <c r="C171" s="82" t="s">
        <v>312</v>
      </c>
      <c r="D171" s="83" t="s">
        <v>102</v>
      </c>
      <c r="E171" s="87"/>
      <c r="F171" s="101"/>
      <c r="G171" s="105"/>
      <c r="H171" s="78"/>
      <c r="I171" s="71"/>
      <c r="J171" s="65"/>
      <c r="K171" s="71"/>
      <c r="L171" s="65"/>
      <c r="M171" s="71"/>
      <c r="N171" s="71"/>
      <c r="O171" s="71"/>
      <c r="P171" s="71"/>
      <c r="Q171" s="66"/>
      <c r="R171" s="71"/>
    </row>
    <row r="172" spans="2:18" s="30" customFormat="1" x14ac:dyDescent="0.3">
      <c r="B172" s="81" t="s">
        <v>704</v>
      </c>
      <c r="C172" s="86" t="s">
        <v>352</v>
      </c>
      <c r="D172" s="60" t="s">
        <v>66</v>
      </c>
      <c r="E172" s="87"/>
      <c r="F172" s="101"/>
      <c r="G172" s="105"/>
      <c r="H172" s="78"/>
      <c r="I172" s="71"/>
      <c r="J172" s="65"/>
      <c r="K172" s="71"/>
      <c r="L172" s="65"/>
      <c r="M172" s="71"/>
      <c r="N172" s="71"/>
      <c r="O172" s="71"/>
      <c r="P172" s="71"/>
      <c r="Q172" s="66"/>
      <c r="R172" s="71"/>
    </row>
    <row r="173" spans="2:18" s="30" customFormat="1" ht="27.6" x14ac:dyDescent="0.3">
      <c r="B173" s="81" t="s">
        <v>704</v>
      </c>
      <c r="C173" s="86" t="s">
        <v>353</v>
      </c>
      <c r="D173" s="60" t="s">
        <v>721</v>
      </c>
      <c r="E173" s="85"/>
      <c r="F173" s="101"/>
      <c r="G173" s="105"/>
      <c r="H173" s="78"/>
      <c r="I173" s="71"/>
      <c r="J173" s="65"/>
      <c r="K173" s="71"/>
      <c r="L173" s="65"/>
      <c r="M173" s="71"/>
      <c r="N173" s="71"/>
      <c r="O173" s="71"/>
      <c r="P173" s="71"/>
      <c r="Q173" s="66"/>
      <c r="R173" s="71"/>
    </row>
    <row r="174" spans="2:18" s="30" customFormat="1" x14ac:dyDescent="0.3">
      <c r="B174" s="81" t="s">
        <v>704</v>
      </c>
      <c r="C174" s="86" t="s">
        <v>354</v>
      </c>
      <c r="D174" s="60" t="s">
        <v>722</v>
      </c>
      <c r="E174" s="87"/>
      <c r="F174" s="101"/>
      <c r="G174" s="105"/>
      <c r="H174" s="78"/>
      <c r="I174" s="71"/>
      <c r="J174" s="65"/>
      <c r="K174" s="71"/>
      <c r="L174" s="65"/>
      <c r="M174" s="71"/>
      <c r="N174" s="71"/>
      <c r="O174" s="71"/>
      <c r="P174" s="71"/>
      <c r="Q174" s="66"/>
      <c r="R174" s="71"/>
    </row>
    <row r="175" spans="2:18" s="30" customFormat="1" ht="27.6" x14ac:dyDescent="0.3">
      <c r="B175" s="81" t="s">
        <v>704</v>
      </c>
      <c r="C175" s="86" t="s">
        <v>723</v>
      </c>
      <c r="D175" s="60" t="s">
        <v>724</v>
      </c>
      <c r="E175" s="87"/>
      <c r="F175" s="101"/>
      <c r="G175" s="105"/>
      <c r="H175" s="78"/>
      <c r="I175" s="71"/>
      <c r="J175" s="65"/>
      <c r="K175" s="71"/>
      <c r="L175" s="65"/>
      <c r="M175" s="71"/>
      <c r="N175" s="71"/>
      <c r="O175" s="71"/>
      <c r="P175" s="71"/>
      <c r="Q175" s="66"/>
      <c r="R175" s="71"/>
    </row>
    <row r="176" spans="2:18" s="30" customFormat="1" x14ac:dyDescent="0.3">
      <c r="B176" s="81" t="s">
        <v>704</v>
      </c>
      <c r="C176" s="86" t="s">
        <v>725</v>
      </c>
      <c r="D176" s="60" t="s">
        <v>726</v>
      </c>
      <c r="E176" s="87"/>
      <c r="F176" s="101"/>
      <c r="G176" s="105"/>
      <c r="H176" s="78"/>
      <c r="I176" s="71"/>
      <c r="J176" s="65"/>
      <c r="K176" s="71"/>
      <c r="L176" s="65"/>
      <c r="M176" s="71"/>
      <c r="N176" s="71"/>
      <c r="O176" s="71"/>
      <c r="P176" s="71"/>
      <c r="Q176" s="66"/>
      <c r="R176" s="71"/>
    </row>
    <row r="177" spans="2:18" s="30" customFormat="1" ht="27.6" x14ac:dyDescent="0.3">
      <c r="B177" s="81" t="s">
        <v>704</v>
      </c>
      <c r="C177" s="82" t="s">
        <v>313</v>
      </c>
      <c r="D177" s="83" t="s">
        <v>727</v>
      </c>
      <c r="E177" s="87"/>
      <c r="F177" s="101"/>
      <c r="G177" s="105"/>
      <c r="H177" s="78"/>
      <c r="I177" s="71"/>
      <c r="J177" s="65"/>
      <c r="K177" s="71"/>
      <c r="L177" s="65"/>
      <c r="M177" s="71"/>
      <c r="N177" s="71"/>
      <c r="O177" s="71"/>
      <c r="P177" s="71"/>
      <c r="Q177" s="66"/>
      <c r="R177" s="71"/>
    </row>
    <row r="178" spans="2:18" s="30" customFormat="1" x14ac:dyDescent="0.3">
      <c r="B178" s="81" t="s">
        <v>704</v>
      </c>
      <c r="C178" s="86" t="s">
        <v>314</v>
      </c>
      <c r="D178" s="60" t="s">
        <v>728</v>
      </c>
      <c r="E178" s="85"/>
      <c r="F178" s="101"/>
      <c r="G178" s="105"/>
      <c r="H178" s="78"/>
      <c r="I178" s="71"/>
      <c r="J178" s="65"/>
      <c r="K178" s="71"/>
      <c r="L178" s="65"/>
      <c r="M178" s="71"/>
      <c r="N178" s="71"/>
      <c r="O178" s="71"/>
      <c r="P178" s="71"/>
      <c r="Q178" s="66"/>
      <c r="R178" s="71"/>
    </row>
    <row r="179" spans="2:18" s="30" customFormat="1" x14ac:dyDescent="0.3">
      <c r="B179" s="81" t="s">
        <v>704</v>
      </c>
      <c r="C179" s="82" t="s">
        <v>315</v>
      </c>
      <c r="D179" s="83" t="s">
        <v>729</v>
      </c>
      <c r="E179" s="87"/>
      <c r="F179" s="101"/>
      <c r="G179" s="105"/>
      <c r="H179" s="78"/>
      <c r="I179" s="71"/>
      <c r="J179" s="65"/>
      <c r="K179" s="71"/>
      <c r="L179" s="65"/>
      <c r="M179" s="71"/>
      <c r="N179" s="71"/>
      <c r="O179" s="71"/>
      <c r="P179" s="71"/>
      <c r="Q179" s="66"/>
      <c r="R179" s="71"/>
    </row>
    <row r="180" spans="2:18" s="30" customFormat="1" x14ac:dyDescent="0.3">
      <c r="B180" s="81" t="s">
        <v>704</v>
      </c>
      <c r="C180" s="86" t="s">
        <v>357</v>
      </c>
      <c r="D180" s="60" t="s">
        <v>730</v>
      </c>
      <c r="E180" s="87"/>
      <c r="F180" s="101"/>
      <c r="G180" s="105"/>
      <c r="H180" s="78"/>
      <c r="I180" s="71"/>
      <c r="J180" s="65"/>
      <c r="K180" s="71"/>
      <c r="L180" s="65"/>
      <c r="M180" s="71"/>
      <c r="N180" s="71"/>
      <c r="O180" s="71"/>
      <c r="P180" s="71"/>
      <c r="Q180" s="66"/>
      <c r="R180" s="71"/>
    </row>
    <row r="181" spans="2:18" s="30" customFormat="1" x14ac:dyDescent="0.3">
      <c r="B181" s="81" t="s">
        <v>704</v>
      </c>
      <c r="C181" s="86" t="s">
        <v>358</v>
      </c>
      <c r="D181" s="60" t="s">
        <v>731</v>
      </c>
      <c r="E181" s="85"/>
      <c r="F181" s="101"/>
      <c r="G181" s="105"/>
      <c r="H181" s="78"/>
      <c r="I181" s="71"/>
      <c r="J181" s="65"/>
      <c r="K181" s="71"/>
      <c r="L181" s="65"/>
      <c r="M181" s="71"/>
      <c r="N181" s="71"/>
      <c r="O181" s="71"/>
      <c r="P181" s="71"/>
      <c r="Q181" s="66"/>
      <c r="R181" s="71"/>
    </row>
    <row r="182" spans="2:18" s="30" customFormat="1" ht="27.6" x14ac:dyDescent="0.3">
      <c r="B182" s="81" t="s">
        <v>704</v>
      </c>
      <c r="C182" s="86" t="s">
        <v>359</v>
      </c>
      <c r="D182" s="60" t="s">
        <v>732</v>
      </c>
      <c r="E182" s="87"/>
      <c r="F182" s="101"/>
      <c r="G182" s="105"/>
      <c r="H182" s="78"/>
      <c r="I182" s="71"/>
      <c r="J182" s="65"/>
      <c r="K182" s="71"/>
      <c r="L182" s="65"/>
      <c r="M182" s="71"/>
      <c r="N182" s="71"/>
      <c r="O182" s="71"/>
      <c r="P182" s="71"/>
      <c r="Q182" s="66"/>
      <c r="R182" s="71"/>
    </row>
    <row r="183" spans="2:18" s="30" customFormat="1" x14ac:dyDescent="0.3">
      <c r="B183" s="81" t="s">
        <v>704</v>
      </c>
      <c r="C183" s="86" t="s">
        <v>362</v>
      </c>
      <c r="D183" s="60" t="s">
        <v>733</v>
      </c>
      <c r="E183" s="87"/>
      <c r="F183" s="101"/>
      <c r="G183" s="105"/>
      <c r="H183" s="78"/>
      <c r="I183" s="71"/>
      <c r="J183" s="65"/>
      <c r="K183" s="71"/>
      <c r="L183" s="65"/>
      <c r="M183" s="71"/>
      <c r="N183" s="71"/>
      <c r="O183" s="71"/>
      <c r="P183" s="71"/>
      <c r="Q183" s="66"/>
      <c r="R183" s="71"/>
    </row>
    <row r="184" spans="2:18" s="30" customFormat="1" x14ac:dyDescent="0.3">
      <c r="B184" s="81" t="s">
        <v>704</v>
      </c>
      <c r="C184" s="86" t="s">
        <v>734</v>
      </c>
      <c r="D184" s="60" t="s">
        <v>735</v>
      </c>
      <c r="E184" s="87"/>
      <c r="F184" s="101"/>
      <c r="G184" s="105"/>
      <c r="H184" s="78"/>
      <c r="I184" s="71"/>
      <c r="J184" s="65"/>
      <c r="K184" s="71"/>
      <c r="L184" s="65"/>
      <c r="M184" s="71"/>
      <c r="N184" s="71"/>
      <c r="O184" s="71"/>
      <c r="P184" s="71"/>
      <c r="Q184" s="66"/>
      <c r="R184" s="71"/>
    </row>
    <row r="185" spans="2:18" s="30" customFormat="1" x14ac:dyDescent="0.3">
      <c r="B185" s="81" t="s">
        <v>704</v>
      </c>
      <c r="C185" s="86" t="s">
        <v>736</v>
      </c>
      <c r="D185" s="60" t="s">
        <v>737</v>
      </c>
      <c r="E185" s="87"/>
      <c r="F185" s="101"/>
      <c r="G185" s="105"/>
      <c r="H185" s="78"/>
      <c r="I185" s="71"/>
      <c r="J185" s="65"/>
      <c r="K185" s="71"/>
      <c r="L185" s="65"/>
      <c r="M185" s="71"/>
      <c r="N185" s="71"/>
      <c r="O185" s="71"/>
      <c r="P185" s="71"/>
      <c r="Q185" s="66"/>
      <c r="R185" s="71"/>
    </row>
    <row r="186" spans="2:18" s="30" customFormat="1" x14ac:dyDescent="0.3">
      <c r="B186" s="81" t="s">
        <v>704</v>
      </c>
      <c r="C186" s="82" t="s">
        <v>316</v>
      </c>
      <c r="D186" s="83" t="s">
        <v>738</v>
      </c>
      <c r="E186" s="87"/>
      <c r="F186" s="101"/>
      <c r="G186" s="105"/>
      <c r="H186" s="78"/>
      <c r="I186" s="71"/>
      <c r="J186" s="65"/>
      <c r="K186" s="71"/>
      <c r="L186" s="65"/>
      <c r="M186" s="71"/>
      <c r="N186" s="71"/>
      <c r="O186" s="71"/>
      <c r="P186" s="71"/>
      <c r="Q186" s="66"/>
      <c r="R186" s="71"/>
    </row>
    <row r="187" spans="2:18" s="30" customFormat="1" x14ac:dyDescent="0.3">
      <c r="B187" s="81" t="s">
        <v>704</v>
      </c>
      <c r="C187" s="86" t="s">
        <v>363</v>
      </c>
      <c r="D187" s="60" t="s">
        <v>66</v>
      </c>
      <c r="E187" s="85"/>
      <c r="F187" s="101"/>
      <c r="G187" s="105"/>
      <c r="H187" s="78"/>
      <c r="I187" s="71"/>
      <c r="J187" s="65"/>
      <c r="K187" s="71"/>
      <c r="L187" s="65"/>
      <c r="M187" s="71"/>
      <c r="N187" s="71"/>
      <c r="O187" s="71"/>
      <c r="P187" s="71"/>
      <c r="Q187" s="66"/>
      <c r="R187" s="71"/>
    </row>
    <row r="188" spans="2:18" s="30" customFormat="1" x14ac:dyDescent="0.3">
      <c r="B188" s="81" t="s">
        <v>704</v>
      </c>
      <c r="C188" s="86" t="s">
        <v>364</v>
      </c>
      <c r="D188" s="60" t="s">
        <v>248</v>
      </c>
      <c r="E188" s="87"/>
      <c r="F188" s="101"/>
      <c r="G188" s="105"/>
      <c r="H188" s="78"/>
      <c r="I188" s="71"/>
      <c r="J188" s="65"/>
      <c r="K188" s="71"/>
      <c r="L188" s="65"/>
      <c r="M188" s="71"/>
      <c r="N188" s="71"/>
      <c r="O188" s="71"/>
      <c r="P188" s="71"/>
      <c r="Q188" s="66"/>
      <c r="R188" s="71"/>
    </row>
    <row r="189" spans="2:18" s="30" customFormat="1" x14ac:dyDescent="0.3">
      <c r="B189" s="81" t="s">
        <v>704</v>
      </c>
      <c r="C189" s="86" t="s">
        <v>365</v>
      </c>
      <c r="D189" s="60" t="s">
        <v>739</v>
      </c>
      <c r="E189" s="87"/>
      <c r="F189" s="101"/>
      <c r="G189" s="105"/>
      <c r="H189" s="78"/>
      <c r="I189" s="71"/>
      <c r="J189" s="65"/>
      <c r="K189" s="71"/>
      <c r="L189" s="65"/>
      <c r="M189" s="71"/>
      <c r="N189" s="71"/>
      <c r="O189" s="71"/>
      <c r="P189" s="71"/>
      <c r="Q189" s="66"/>
      <c r="R189" s="71"/>
    </row>
    <row r="190" spans="2:18" s="30" customFormat="1" x14ac:dyDescent="0.3">
      <c r="B190" s="81" t="s">
        <v>704</v>
      </c>
      <c r="C190" s="86" t="s">
        <v>366</v>
      </c>
      <c r="D190" s="60" t="s">
        <v>250</v>
      </c>
      <c r="E190" s="87"/>
      <c r="F190" s="101"/>
      <c r="G190" s="105"/>
      <c r="H190" s="78"/>
      <c r="I190" s="71"/>
      <c r="J190" s="65"/>
      <c r="K190" s="71"/>
      <c r="L190" s="65"/>
      <c r="M190" s="71"/>
      <c r="N190" s="71"/>
      <c r="O190" s="71"/>
      <c r="P190" s="71"/>
      <c r="Q190" s="66"/>
      <c r="R190" s="71"/>
    </row>
    <row r="191" spans="2:18" s="30" customFormat="1" x14ac:dyDescent="0.3">
      <c r="B191" s="81" t="s">
        <v>704</v>
      </c>
      <c r="C191" s="82" t="s">
        <v>317</v>
      </c>
      <c r="D191" s="83" t="s">
        <v>740</v>
      </c>
      <c r="E191" s="85"/>
      <c r="F191" s="101"/>
      <c r="G191" s="105"/>
      <c r="H191" s="78"/>
      <c r="I191" s="71"/>
      <c r="J191" s="65"/>
      <c r="K191" s="71"/>
      <c r="L191" s="65"/>
      <c r="M191" s="71"/>
      <c r="N191" s="71"/>
      <c r="O191" s="71"/>
      <c r="P191" s="71"/>
      <c r="Q191" s="66"/>
      <c r="R191" s="71"/>
    </row>
    <row r="192" spans="2:18" s="30" customFormat="1" x14ac:dyDescent="0.3">
      <c r="B192" s="81" t="s">
        <v>704</v>
      </c>
      <c r="C192" s="86" t="s">
        <v>413</v>
      </c>
      <c r="D192" s="60" t="s">
        <v>237</v>
      </c>
      <c r="E192" s="87"/>
      <c r="F192" s="101"/>
      <c r="G192" s="105"/>
      <c r="H192" s="78"/>
      <c r="I192" s="71"/>
      <c r="J192" s="65"/>
      <c r="K192" s="71"/>
      <c r="L192" s="65"/>
      <c r="M192" s="71"/>
      <c r="N192" s="71"/>
      <c r="O192" s="71"/>
      <c r="P192" s="71"/>
      <c r="Q192" s="66"/>
      <c r="R192" s="71"/>
    </row>
    <row r="193" spans="2:18" s="30" customFormat="1" x14ac:dyDescent="0.3">
      <c r="B193" s="81" t="s">
        <v>704</v>
      </c>
      <c r="C193" s="86" t="s">
        <v>369</v>
      </c>
      <c r="D193" s="60" t="s">
        <v>741</v>
      </c>
      <c r="E193" s="87"/>
      <c r="F193" s="101"/>
      <c r="G193" s="105"/>
      <c r="H193" s="78"/>
      <c r="I193" s="71"/>
      <c r="J193" s="65"/>
      <c r="K193" s="71"/>
      <c r="L193" s="65"/>
      <c r="M193" s="71"/>
      <c r="N193" s="71"/>
      <c r="O193" s="71"/>
      <c r="P193" s="71"/>
      <c r="Q193" s="66"/>
      <c r="R193" s="71"/>
    </row>
    <row r="194" spans="2:18" s="30" customFormat="1" x14ac:dyDescent="0.3">
      <c r="B194" s="81" t="s">
        <v>704</v>
      </c>
      <c r="C194" s="86" t="s">
        <v>370</v>
      </c>
      <c r="D194" s="60" t="s">
        <v>238</v>
      </c>
      <c r="E194" s="85"/>
      <c r="F194" s="101"/>
      <c r="G194" s="105"/>
      <c r="H194" s="78"/>
      <c r="I194" s="71"/>
      <c r="J194" s="65"/>
      <c r="K194" s="71"/>
      <c r="L194" s="65"/>
      <c r="M194" s="71"/>
      <c r="N194" s="71"/>
      <c r="O194" s="71"/>
      <c r="P194" s="71"/>
      <c r="Q194" s="66"/>
      <c r="R194" s="71"/>
    </row>
    <row r="195" spans="2:18" s="30" customFormat="1" x14ac:dyDescent="0.3">
      <c r="B195" s="81" t="s">
        <v>704</v>
      </c>
      <c r="C195" s="82" t="s">
        <v>318</v>
      </c>
      <c r="D195" s="83" t="s">
        <v>742</v>
      </c>
      <c r="E195" s="87"/>
      <c r="F195" s="101"/>
      <c r="G195" s="105"/>
      <c r="H195" s="78"/>
      <c r="I195" s="71"/>
      <c r="J195" s="65"/>
      <c r="K195" s="71"/>
      <c r="L195" s="65"/>
      <c r="M195" s="71"/>
      <c r="N195" s="71"/>
      <c r="O195" s="71"/>
      <c r="P195" s="71"/>
      <c r="Q195" s="66"/>
      <c r="R195" s="71"/>
    </row>
    <row r="196" spans="2:18" s="30" customFormat="1" x14ac:dyDescent="0.3">
      <c r="B196" s="81" t="s">
        <v>704</v>
      </c>
      <c r="C196" s="86" t="s">
        <v>371</v>
      </c>
      <c r="D196" s="60" t="s">
        <v>258</v>
      </c>
      <c r="E196" s="87"/>
      <c r="F196" s="101"/>
      <c r="G196" s="105"/>
      <c r="H196" s="78"/>
      <c r="I196" s="71"/>
      <c r="J196" s="65"/>
      <c r="K196" s="71"/>
      <c r="L196" s="65"/>
      <c r="M196" s="71"/>
      <c r="N196" s="71"/>
      <c r="O196" s="71"/>
      <c r="P196" s="71"/>
      <c r="Q196" s="66"/>
      <c r="R196" s="71"/>
    </row>
    <row r="197" spans="2:18" s="30" customFormat="1" x14ac:dyDescent="0.3">
      <c r="B197" s="81" t="s">
        <v>704</v>
      </c>
      <c r="C197" s="86" t="s">
        <v>372</v>
      </c>
      <c r="D197" s="60" t="s">
        <v>743</v>
      </c>
      <c r="E197" s="85"/>
      <c r="F197" s="101"/>
      <c r="G197" s="105"/>
      <c r="H197" s="78"/>
      <c r="I197" s="71"/>
      <c r="J197" s="65"/>
      <c r="K197" s="71"/>
      <c r="L197" s="65"/>
      <c r="M197" s="71"/>
      <c r="N197" s="71"/>
      <c r="O197" s="71"/>
      <c r="P197" s="71"/>
      <c r="Q197" s="66"/>
      <c r="R197" s="71"/>
    </row>
    <row r="198" spans="2:18" s="30" customFormat="1" x14ac:dyDescent="0.3">
      <c r="B198" s="81" t="s">
        <v>704</v>
      </c>
      <c r="C198" s="86" t="s">
        <v>373</v>
      </c>
      <c r="D198" s="60" t="s">
        <v>744</v>
      </c>
      <c r="E198" s="87"/>
      <c r="F198" s="101"/>
      <c r="G198" s="105"/>
      <c r="H198" s="78"/>
      <c r="I198" s="71"/>
      <c r="J198" s="65"/>
      <c r="K198" s="71"/>
      <c r="L198" s="65"/>
      <c r="M198" s="71"/>
      <c r="N198" s="71"/>
      <c r="O198" s="71"/>
      <c r="P198" s="71"/>
      <c r="Q198" s="66"/>
      <c r="R198" s="71"/>
    </row>
    <row r="199" spans="2:18" s="30" customFormat="1" x14ac:dyDescent="0.3">
      <c r="B199" s="81" t="s">
        <v>704</v>
      </c>
      <c r="C199" s="82" t="s">
        <v>319</v>
      </c>
      <c r="D199" s="83" t="s">
        <v>745</v>
      </c>
      <c r="E199" s="87"/>
      <c r="F199" s="101"/>
      <c r="G199" s="105"/>
      <c r="H199" s="78"/>
      <c r="I199" s="71"/>
      <c r="J199" s="65"/>
      <c r="K199" s="71"/>
      <c r="L199" s="65"/>
      <c r="M199" s="71"/>
      <c r="N199" s="71"/>
      <c r="O199" s="71"/>
      <c r="P199" s="71"/>
      <c r="Q199" s="66"/>
      <c r="R199" s="71"/>
    </row>
    <row r="200" spans="2:18" s="30" customFormat="1" x14ac:dyDescent="0.3">
      <c r="B200" s="81" t="s">
        <v>704</v>
      </c>
      <c r="C200" s="86" t="s">
        <v>746</v>
      </c>
      <c r="D200" s="60" t="s">
        <v>747</v>
      </c>
      <c r="E200" s="87"/>
      <c r="F200" s="101"/>
      <c r="G200" s="105"/>
      <c r="H200" s="78"/>
      <c r="I200" s="71"/>
      <c r="J200" s="65"/>
      <c r="K200" s="71"/>
      <c r="L200" s="65"/>
      <c r="M200" s="71"/>
      <c r="N200" s="71"/>
      <c r="O200" s="71"/>
      <c r="P200" s="71"/>
      <c r="Q200" s="66"/>
      <c r="R200" s="71"/>
    </row>
    <row r="201" spans="2:18" x14ac:dyDescent="0.3">
      <c r="B201" s="81" t="s">
        <v>704</v>
      </c>
      <c r="C201" s="86" t="s">
        <v>748</v>
      </c>
      <c r="D201" s="60" t="s">
        <v>749</v>
      </c>
      <c r="E201" s="87"/>
      <c r="F201" s="101"/>
      <c r="G201" s="105"/>
      <c r="H201" s="78"/>
      <c r="I201" s="71"/>
      <c r="J201" s="65"/>
      <c r="K201" s="71"/>
      <c r="L201" s="65"/>
      <c r="M201" s="71"/>
      <c r="N201" s="71"/>
      <c r="O201" s="71"/>
      <c r="P201" s="71"/>
      <c r="Q201" s="66"/>
      <c r="R201" s="71"/>
    </row>
    <row r="202" spans="2:18" x14ac:dyDescent="0.3">
      <c r="B202" s="81" t="s">
        <v>704</v>
      </c>
      <c r="C202" s="86" t="s">
        <v>750</v>
      </c>
      <c r="D202" s="60" t="s">
        <v>751</v>
      </c>
      <c r="E202" s="87"/>
      <c r="F202" s="101"/>
      <c r="G202" s="105"/>
      <c r="H202" s="78"/>
      <c r="I202" s="71"/>
      <c r="J202" s="65"/>
      <c r="K202" s="71"/>
      <c r="L202" s="65"/>
      <c r="M202" s="71"/>
      <c r="N202" s="71"/>
      <c r="O202" s="71"/>
      <c r="P202" s="71"/>
      <c r="Q202" s="66"/>
      <c r="R202" s="71"/>
    </row>
    <row r="203" spans="2:18" x14ac:dyDescent="0.3">
      <c r="B203" s="81" t="s">
        <v>704</v>
      </c>
      <c r="C203" s="82" t="s">
        <v>320</v>
      </c>
      <c r="D203" s="83" t="s">
        <v>752</v>
      </c>
      <c r="E203" s="87"/>
      <c r="F203" s="101"/>
      <c r="G203" s="105"/>
      <c r="H203" s="78"/>
      <c r="I203" s="71"/>
      <c r="J203" s="65"/>
      <c r="K203" s="71"/>
      <c r="L203" s="65"/>
      <c r="M203" s="71"/>
      <c r="N203" s="71"/>
      <c r="O203" s="71"/>
      <c r="P203" s="71"/>
      <c r="Q203" s="66"/>
      <c r="R203" s="71"/>
    </row>
    <row r="204" spans="2:18" x14ac:dyDescent="0.3">
      <c r="B204" s="81" t="s">
        <v>704</v>
      </c>
      <c r="C204" s="86" t="s">
        <v>374</v>
      </c>
      <c r="D204" s="60" t="s">
        <v>753</v>
      </c>
      <c r="E204" s="87"/>
      <c r="F204" s="101"/>
      <c r="G204" s="105"/>
      <c r="H204" s="78"/>
      <c r="I204" s="71"/>
      <c r="J204" s="65"/>
      <c r="K204" s="71"/>
      <c r="L204" s="65"/>
      <c r="M204" s="71"/>
      <c r="N204" s="71"/>
      <c r="O204" s="71"/>
      <c r="P204" s="71"/>
      <c r="Q204" s="66"/>
      <c r="R204" s="71"/>
    </row>
    <row r="205" spans="2:18" x14ac:dyDescent="0.3">
      <c r="B205" s="81" t="s">
        <v>704</v>
      </c>
      <c r="C205" s="86" t="s">
        <v>375</v>
      </c>
      <c r="D205" s="60" t="s">
        <v>754</v>
      </c>
      <c r="E205" s="87"/>
      <c r="F205" s="101"/>
      <c r="G205" s="105"/>
      <c r="H205" s="78"/>
      <c r="I205" s="71"/>
      <c r="J205" s="65"/>
      <c r="K205" s="71"/>
      <c r="L205" s="65"/>
      <c r="M205" s="71"/>
      <c r="N205" s="71"/>
      <c r="O205" s="71"/>
      <c r="P205" s="71"/>
      <c r="Q205" s="66"/>
      <c r="R205" s="71"/>
    </row>
    <row r="206" spans="2:18" x14ac:dyDescent="0.3">
      <c r="B206" s="81" t="s">
        <v>704</v>
      </c>
      <c r="C206" s="86" t="s">
        <v>755</v>
      </c>
      <c r="D206" s="60" t="s">
        <v>756</v>
      </c>
      <c r="E206" s="87"/>
      <c r="F206" s="101"/>
      <c r="G206" s="105"/>
      <c r="H206" s="78"/>
      <c r="I206" s="71"/>
      <c r="J206" s="65"/>
      <c r="K206" s="71"/>
      <c r="L206" s="65"/>
      <c r="M206" s="71"/>
      <c r="N206" s="71"/>
      <c r="O206" s="71"/>
      <c r="P206" s="71"/>
      <c r="Q206" s="66"/>
      <c r="R206" s="71"/>
    </row>
    <row r="207" spans="2:18" x14ac:dyDescent="0.3">
      <c r="B207" s="81" t="s">
        <v>704</v>
      </c>
      <c r="C207" s="82" t="s">
        <v>321</v>
      </c>
      <c r="D207" s="83" t="s">
        <v>757</v>
      </c>
      <c r="E207" s="87"/>
      <c r="F207" s="101"/>
      <c r="G207" s="105"/>
      <c r="H207" s="78"/>
      <c r="I207" s="71"/>
      <c r="J207" s="65"/>
      <c r="K207" s="71"/>
      <c r="L207" s="65"/>
      <c r="M207" s="71"/>
      <c r="N207" s="71"/>
      <c r="O207" s="71"/>
      <c r="P207" s="71"/>
      <c r="Q207" s="66"/>
      <c r="R207" s="71"/>
    </row>
    <row r="208" spans="2:18" ht="27.6" x14ac:dyDescent="0.3">
      <c r="B208" s="81" t="s">
        <v>704</v>
      </c>
      <c r="C208" s="86" t="s">
        <v>322</v>
      </c>
      <c r="D208" s="60" t="s">
        <v>758</v>
      </c>
      <c r="E208" s="87"/>
      <c r="F208" s="101"/>
      <c r="G208" s="105"/>
      <c r="H208" s="78"/>
      <c r="I208" s="71"/>
      <c r="J208" s="65"/>
      <c r="K208" s="71"/>
      <c r="L208" s="65"/>
      <c r="M208" s="71"/>
      <c r="N208" s="71"/>
      <c r="O208" s="71"/>
      <c r="P208" s="71"/>
      <c r="Q208" s="66"/>
      <c r="R208" s="71"/>
    </row>
    <row r="209" spans="2:18" x14ac:dyDescent="0.3">
      <c r="B209" s="81" t="s">
        <v>704</v>
      </c>
      <c r="C209" s="86" t="s">
        <v>323</v>
      </c>
      <c r="D209" s="60" t="s">
        <v>160</v>
      </c>
      <c r="E209" s="87"/>
      <c r="F209" s="101"/>
      <c r="G209" s="105"/>
      <c r="H209" s="78"/>
      <c r="I209" s="71"/>
      <c r="J209" s="65"/>
      <c r="K209" s="71"/>
      <c r="L209" s="65"/>
      <c r="M209" s="71"/>
      <c r="N209" s="71"/>
      <c r="O209" s="71"/>
      <c r="P209" s="71"/>
      <c r="Q209" s="66"/>
      <c r="R209" s="71"/>
    </row>
    <row r="210" spans="2:18" x14ac:dyDescent="0.3">
      <c r="B210" s="81" t="s">
        <v>704</v>
      </c>
      <c r="C210" s="86" t="s">
        <v>324</v>
      </c>
      <c r="D210" s="60" t="s">
        <v>759</v>
      </c>
      <c r="E210" s="87"/>
      <c r="F210" s="101"/>
      <c r="G210" s="105"/>
      <c r="H210" s="78"/>
      <c r="I210" s="71"/>
      <c r="J210" s="65"/>
      <c r="K210" s="71"/>
      <c r="L210" s="65"/>
      <c r="M210" s="71"/>
      <c r="N210" s="71"/>
      <c r="O210" s="71"/>
      <c r="P210" s="71"/>
      <c r="Q210" s="66"/>
      <c r="R210" s="71"/>
    </row>
    <row r="211" spans="2:18" x14ac:dyDescent="0.3">
      <c r="B211" s="81" t="s">
        <v>704</v>
      </c>
      <c r="C211" s="86" t="s">
        <v>760</v>
      </c>
      <c r="D211" s="60" t="s">
        <v>229</v>
      </c>
      <c r="E211" s="87"/>
      <c r="F211" s="101"/>
      <c r="G211" s="105"/>
      <c r="H211" s="78"/>
      <c r="I211" s="71"/>
      <c r="J211" s="65"/>
      <c r="K211" s="71"/>
      <c r="L211" s="65"/>
      <c r="M211" s="71"/>
      <c r="N211" s="71"/>
      <c r="O211" s="71"/>
      <c r="P211" s="71"/>
      <c r="Q211" s="66"/>
      <c r="R211" s="71"/>
    </row>
    <row r="212" spans="2:18" x14ac:dyDescent="0.3">
      <c r="B212" s="81" t="s">
        <v>704</v>
      </c>
      <c r="C212" s="82" t="s">
        <v>325</v>
      </c>
      <c r="D212" s="83" t="s">
        <v>171</v>
      </c>
      <c r="E212" s="87"/>
      <c r="F212" s="101"/>
      <c r="G212" s="105"/>
      <c r="H212" s="78"/>
      <c r="I212" s="71"/>
      <c r="J212" s="65"/>
      <c r="K212" s="71"/>
      <c r="L212" s="65"/>
      <c r="M212" s="71"/>
      <c r="N212" s="71"/>
      <c r="O212" s="71"/>
      <c r="P212" s="71"/>
      <c r="Q212" s="66"/>
      <c r="R212" s="71"/>
    </row>
    <row r="213" spans="2:18" x14ac:dyDescent="0.3">
      <c r="B213" s="81" t="s">
        <v>704</v>
      </c>
      <c r="C213" s="86" t="s">
        <v>326</v>
      </c>
      <c r="D213" s="60" t="s">
        <v>761</v>
      </c>
      <c r="E213" s="87"/>
      <c r="F213" s="101"/>
      <c r="G213" s="105"/>
      <c r="H213" s="78"/>
      <c r="I213" s="71"/>
      <c r="J213" s="65"/>
      <c r="K213" s="71"/>
      <c r="L213" s="65"/>
      <c r="M213" s="71"/>
      <c r="N213" s="71"/>
      <c r="O213" s="71"/>
      <c r="P213" s="71"/>
      <c r="Q213" s="66"/>
      <c r="R213" s="71"/>
    </row>
    <row r="214" spans="2:18" x14ac:dyDescent="0.3">
      <c r="B214" s="81" t="s">
        <v>704</v>
      </c>
      <c r="C214" s="86" t="s">
        <v>327</v>
      </c>
      <c r="D214" s="60" t="s">
        <v>762</v>
      </c>
      <c r="E214" s="87"/>
      <c r="F214" s="101"/>
      <c r="G214" s="105"/>
      <c r="H214" s="78"/>
      <c r="I214" s="71"/>
      <c r="J214" s="65"/>
      <c r="K214" s="71"/>
      <c r="L214" s="65"/>
      <c r="M214" s="71"/>
      <c r="N214" s="71"/>
      <c r="O214" s="71"/>
      <c r="P214" s="71"/>
      <c r="Q214" s="66"/>
      <c r="R214" s="71"/>
    </row>
  </sheetData>
  <sheetProtection password="DAE1" sheet="1" objects="1" scenarios="1" formatColumns="0" formatRows="0" autoFilter="0"/>
  <autoFilter ref="B3:R214">
    <filterColumn colId="0">
      <filters>
        <filter val="20000-1:2018"/>
      </filters>
    </filterColumn>
  </autoFilter>
  <mergeCells count="1">
    <mergeCell ref="E2:I2"/>
  </mergeCells>
  <conditionalFormatting sqref="J4:J5">
    <cfRule type="expression" dxfId="495" priority="2184">
      <formula>#REF!="n/a"</formula>
    </cfRule>
    <cfRule type="expression" dxfId="494" priority="2185">
      <formula>#REF!&gt;2.99</formula>
    </cfRule>
  </conditionalFormatting>
  <conditionalFormatting sqref="J6">
    <cfRule type="expression" dxfId="493" priority="2182">
      <formula>#REF!="n/a"</formula>
    </cfRule>
    <cfRule type="expression" dxfId="492" priority="2183">
      <formula>#REF!&gt;2.99</formula>
    </cfRule>
  </conditionalFormatting>
  <conditionalFormatting sqref="J7">
    <cfRule type="expression" dxfId="491" priority="1494">
      <formula>#REF!="n/a"</formula>
    </cfRule>
    <cfRule type="expression" dxfId="490" priority="1495">
      <formula>#REF!&gt;2.99</formula>
    </cfRule>
  </conditionalFormatting>
  <conditionalFormatting sqref="J8">
    <cfRule type="expression" dxfId="489" priority="1486">
      <formula>#REF!="n/a"</formula>
    </cfRule>
    <cfRule type="expression" dxfId="488" priority="1487">
      <formula>#REF!&gt;2.99</formula>
    </cfRule>
  </conditionalFormatting>
  <conditionalFormatting sqref="J9">
    <cfRule type="expression" dxfId="487" priority="1478">
      <formula>#REF!="n/a"</formula>
    </cfRule>
    <cfRule type="expression" dxfId="486" priority="1479">
      <formula>#REF!&gt;2.99</formula>
    </cfRule>
  </conditionalFormatting>
  <conditionalFormatting sqref="J10">
    <cfRule type="expression" dxfId="485" priority="1470">
      <formula>#REF!="n/a"</formula>
    </cfRule>
    <cfRule type="expression" dxfId="484" priority="1471">
      <formula>#REF!&gt;2.99</formula>
    </cfRule>
  </conditionalFormatting>
  <conditionalFormatting sqref="J11">
    <cfRule type="expression" dxfId="483" priority="1462">
      <formula>#REF!="n/a"</formula>
    </cfRule>
    <cfRule type="expression" dxfId="482" priority="1463">
      <formula>#REF!&gt;2.99</formula>
    </cfRule>
  </conditionalFormatting>
  <conditionalFormatting sqref="J12">
    <cfRule type="expression" dxfId="481" priority="1454">
      <formula>#REF!="n/a"</formula>
    </cfRule>
    <cfRule type="expression" dxfId="480" priority="1455">
      <formula>#REF!&gt;2.99</formula>
    </cfRule>
  </conditionalFormatting>
  <conditionalFormatting sqref="J13">
    <cfRule type="expression" dxfId="479" priority="1446">
      <formula>#REF!="n/a"</formula>
    </cfRule>
    <cfRule type="expression" dxfId="478" priority="1447">
      <formula>#REF!&gt;2.99</formula>
    </cfRule>
  </conditionalFormatting>
  <conditionalFormatting sqref="J14">
    <cfRule type="expression" dxfId="477" priority="1438">
      <formula>#REF!="n/a"</formula>
    </cfRule>
    <cfRule type="expression" dxfId="476" priority="1439">
      <formula>#REF!&gt;2.99</formula>
    </cfRule>
  </conditionalFormatting>
  <conditionalFormatting sqref="J15">
    <cfRule type="expression" dxfId="475" priority="1430">
      <formula>#REF!="n/a"</formula>
    </cfRule>
    <cfRule type="expression" dxfId="474" priority="1431">
      <formula>#REF!&gt;2.99</formula>
    </cfRule>
  </conditionalFormatting>
  <conditionalFormatting sqref="J16">
    <cfRule type="expression" dxfId="473" priority="1422">
      <formula>#REF!="n/a"</formula>
    </cfRule>
    <cfRule type="expression" dxfId="472" priority="1423">
      <formula>#REF!&gt;2.99</formula>
    </cfRule>
  </conditionalFormatting>
  <conditionalFormatting sqref="J17">
    <cfRule type="expression" dxfId="471" priority="1414">
      <formula>#REF!="n/a"</formula>
    </cfRule>
    <cfRule type="expression" dxfId="470" priority="1415">
      <formula>#REF!&gt;2.99</formula>
    </cfRule>
  </conditionalFormatting>
  <conditionalFormatting sqref="J18">
    <cfRule type="expression" dxfId="469" priority="1406">
      <formula>#REF!="n/a"</formula>
    </cfRule>
    <cfRule type="expression" dxfId="468" priority="1407">
      <formula>#REF!&gt;2.99</formula>
    </cfRule>
  </conditionalFormatting>
  <conditionalFormatting sqref="J19">
    <cfRule type="expression" dxfId="467" priority="1398">
      <formula>#REF!="n/a"</formula>
    </cfRule>
    <cfRule type="expression" dxfId="466" priority="1399">
      <formula>#REF!&gt;2.99</formula>
    </cfRule>
  </conditionalFormatting>
  <conditionalFormatting sqref="J20">
    <cfRule type="expression" dxfId="465" priority="1390">
      <formula>#REF!="n/a"</formula>
    </cfRule>
    <cfRule type="expression" dxfId="464" priority="1391">
      <formula>#REF!&gt;2.99</formula>
    </cfRule>
  </conditionalFormatting>
  <conditionalFormatting sqref="J21">
    <cfRule type="expression" dxfId="463" priority="1382">
      <formula>#REF!="n/a"</formula>
    </cfRule>
    <cfRule type="expression" dxfId="462" priority="1383">
      <formula>#REF!&gt;2.99</formula>
    </cfRule>
  </conditionalFormatting>
  <conditionalFormatting sqref="J22">
    <cfRule type="expression" dxfId="461" priority="1374">
      <formula>#REF!="n/a"</formula>
    </cfRule>
    <cfRule type="expression" dxfId="460" priority="1375">
      <formula>#REF!&gt;2.99</formula>
    </cfRule>
  </conditionalFormatting>
  <conditionalFormatting sqref="J23">
    <cfRule type="expression" dxfId="459" priority="1366">
      <formula>#REF!="n/a"</formula>
    </cfRule>
    <cfRule type="expression" dxfId="458" priority="1367">
      <formula>#REF!&gt;2.99</formula>
    </cfRule>
  </conditionalFormatting>
  <conditionalFormatting sqref="J24">
    <cfRule type="expression" dxfId="457" priority="1358">
      <formula>#REF!="n/a"</formula>
    </cfRule>
    <cfRule type="expression" dxfId="456" priority="1359">
      <formula>#REF!&gt;2.99</formula>
    </cfRule>
  </conditionalFormatting>
  <conditionalFormatting sqref="J25">
    <cfRule type="expression" dxfId="455" priority="1350">
      <formula>#REF!="n/a"</formula>
    </cfRule>
    <cfRule type="expression" dxfId="454" priority="1351">
      <formula>#REF!&gt;2.99</formula>
    </cfRule>
  </conditionalFormatting>
  <conditionalFormatting sqref="J26">
    <cfRule type="expression" dxfId="453" priority="1342">
      <formula>#REF!="n/a"</formula>
    </cfRule>
    <cfRule type="expression" dxfId="452" priority="1343">
      <formula>#REF!&gt;2.99</formula>
    </cfRule>
  </conditionalFormatting>
  <conditionalFormatting sqref="J27">
    <cfRule type="expression" dxfId="451" priority="1334">
      <formula>#REF!="n/a"</formula>
    </cfRule>
    <cfRule type="expression" dxfId="450" priority="1335">
      <formula>#REF!&gt;2.99</formula>
    </cfRule>
  </conditionalFormatting>
  <conditionalFormatting sqref="J28">
    <cfRule type="expression" dxfId="449" priority="1326">
      <formula>#REF!="n/a"</formula>
    </cfRule>
    <cfRule type="expression" dxfId="448" priority="1327">
      <formula>#REF!&gt;2.99</formula>
    </cfRule>
  </conditionalFormatting>
  <conditionalFormatting sqref="J29">
    <cfRule type="expression" dxfId="447" priority="1318">
      <formula>#REF!="n/a"</formula>
    </cfRule>
    <cfRule type="expression" dxfId="446" priority="1319">
      <formula>#REF!&gt;2.99</formula>
    </cfRule>
  </conditionalFormatting>
  <conditionalFormatting sqref="J30">
    <cfRule type="expression" dxfId="445" priority="1310">
      <formula>#REF!="n/a"</formula>
    </cfRule>
    <cfRule type="expression" dxfId="444" priority="1311">
      <formula>#REF!&gt;2.99</formula>
    </cfRule>
  </conditionalFormatting>
  <conditionalFormatting sqref="J31">
    <cfRule type="expression" dxfId="443" priority="1302">
      <formula>#REF!="n/a"</formula>
    </cfRule>
    <cfRule type="expression" dxfId="442" priority="1303">
      <formula>#REF!&gt;2.99</formula>
    </cfRule>
  </conditionalFormatting>
  <conditionalFormatting sqref="J32">
    <cfRule type="expression" dxfId="441" priority="1294">
      <formula>#REF!="n/a"</formula>
    </cfRule>
    <cfRule type="expression" dxfId="440" priority="1295">
      <formula>#REF!&gt;2.99</formula>
    </cfRule>
  </conditionalFormatting>
  <conditionalFormatting sqref="J33">
    <cfRule type="expression" dxfId="439" priority="1286">
      <formula>#REF!="n/a"</formula>
    </cfRule>
    <cfRule type="expression" dxfId="438" priority="1287">
      <formula>#REF!&gt;2.99</formula>
    </cfRule>
  </conditionalFormatting>
  <conditionalFormatting sqref="J34">
    <cfRule type="expression" dxfId="437" priority="1278">
      <formula>#REF!="n/a"</formula>
    </cfRule>
    <cfRule type="expression" dxfId="436" priority="1279">
      <formula>#REF!&gt;2.99</formula>
    </cfRule>
  </conditionalFormatting>
  <conditionalFormatting sqref="J35">
    <cfRule type="expression" dxfId="435" priority="1270">
      <formula>#REF!="n/a"</formula>
    </cfRule>
    <cfRule type="expression" dxfId="434" priority="1271">
      <formula>#REF!&gt;2.99</formula>
    </cfRule>
  </conditionalFormatting>
  <conditionalFormatting sqref="J36">
    <cfRule type="expression" dxfId="433" priority="1262">
      <formula>#REF!="n/a"</formula>
    </cfRule>
    <cfRule type="expression" dxfId="432" priority="1263">
      <formula>#REF!&gt;2.99</formula>
    </cfRule>
  </conditionalFormatting>
  <conditionalFormatting sqref="J37">
    <cfRule type="expression" dxfId="431" priority="1254">
      <formula>#REF!="n/a"</formula>
    </cfRule>
    <cfRule type="expression" dxfId="430" priority="1255">
      <formula>#REF!&gt;2.99</formula>
    </cfRule>
  </conditionalFormatting>
  <conditionalFormatting sqref="J38">
    <cfRule type="expression" dxfId="429" priority="1246">
      <formula>#REF!="n/a"</formula>
    </cfRule>
    <cfRule type="expression" dxfId="428" priority="1247">
      <formula>#REF!&gt;2.99</formula>
    </cfRule>
  </conditionalFormatting>
  <conditionalFormatting sqref="J39">
    <cfRule type="expression" dxfId="427" priority="1238">
      <formula>#REF!="n/a"</formula>
    </cfRule>
    <cfRule type="expression" dxfId="426" priority="1239">
      <formula>#REF!&gt;2.99</formula>
    </cfRule>
  </conditionalFormatting>
  <conditionalFormatting sqref="J40">
    <cfRule type="expression" dxfId="425" priority="1230">
      <formula>#REF!="n/a"</formula>
    </cfRule>
    <cfRule type="expression" dxfId="424" priority="1231">
      <formula>#REF!&gt;2.99</formula>
    </cfRule>
  </conditionalFormatting>
  <conditionalFormatting sqref="J41">
    <cfRule type="expression" dxfId="423" priority="1222">
      <formula>#REF!="n/a"</formula>
    </cfRule>
    <cfRule type="expression" dxfId="422" priority="1223">
      <formula>#REF!&gt;2.99</formula>
    </cfRule>
  </conditionalFormatting>
  <conditionalFormatting sqref="J42">
    <cfRule type="expression" dxfId="421" priority="1214">
      <formula>#REF!="n/a"</formula>
    </cfRule>
    <cfRule type="expression" dxfId="420" priority="1215">
      <formula>#REF!&gt;2.99</formula>
    </cfRule>
  </conditionalFormatting>
  <conditionalFormatting sqref="J43">
    <cfRule type="expression" dxfId="419" priority="1206">
      <formula>#REF!="n/a"</formula>
    </cfRule>
    <cfRule type="expression" dxfId="418" priority="1207">
      <formula>#REF!&gt;2.99</formula>
    </cfRule>
  </conditionalFormatting>
  <conditionalFormatting sqref="J44">
    <cfRule type="expression" dxfId="417" priority="1198">
      <formula>#REF!="n/a"</formula>
    </cfRule>
    <cfRule type="expression" dxfId="416" priority="1199">
      <formula>#REF!&gt;2.99</formula>
    </cfRule>
  </conditionalFormatting>
  <conditionalFormatting sqref="J45">
    <cfRule type="expression" dxfId="415" priority="1190">
      <formula>#REF!="n/a"</formula>
    </cfRule>
    <cfRule type="expression" dxfId="414" priority="1191">
      <formula>#REF!&gt;2.99</formula>
    </cfRule>
  </conditionalFormatting>
  <conditionalFormatting sqref="J46">
    <cfRule type="expression" dxfId="413" priority="1182">
      <formula>#REF!="n/a"</formula>
    </cfRule>
    <cfRule type="expression" dxfId="412" priority="1183">
      <formula>#REF!&gt;2.99</formula>
    </cfRule>
  </conditionalFormatting>
  <conditionalFormatting sqref="J47">
    <cfRule type="expression" dxfId="411" priority="1174">
      <formula>#REF!="n/a"</formula>
    </cfRule>
    <cfRule type="expression" dxfId="410" priority="1175">
      <formula>#REF!&gt;2.99</formula>
    </cfRule>
  </conditionalFormatting>
  <conditionalFormatting sqref="J48">
    <cfRule type="expression" dxfId="409" priority="1166">
      <formula>#REF!="n/a"</formula>
    </cfRule>
    <cfRule type="expression" dxfId="408" priority="1167">
      <formula>#REF!&gt;2.99</formula>
    </cfRule>
  </conditionalFormatting>
  <conditionalFormatting sqref="J49">
    <cfRule type="expression" dxfId="407" priority="1158">
      <formula>#REF!="n/a"</formula>
    </cfRule>
    <cfRule type="expression" dxfId="406" priority="1159">
      <formula>#REF!&gt;2.99</formula>
    </cfRule>
  </conditionalFormatting>
  <conditionalFormatting sqref="J50">
    <cfRule type="expression" dxfId="405" priority="1150">
      <formula>#REF!="n/a"</formula>
    </cfRule>
    <cfRule type="expression" dxfId="404" priority="1151">
      <formula>#REF!&gt;2.99</formula>
    </cfRule>
  </conditionalFormatting>
  <conditionalFormatting sqref="J51">
    <cfRule type="expression" dxfId="403" priority="1142">
      <formula>#REF!="n/a"</formula>
    </cfRule>
    <cfRule type="expression" dxfId="402" priority="1143">
      <formula>#REF!&gt;2.99</formula>
    </cfRule>
  </conditionalFormatting>
  <conditionalFormatting sqref="J52">
    <cfRule type="expression" dxfId="401" priority="1134">
      <formula>#REF!="n/a"</formula>
    </cfRule>
    <cfRule type="expression" dxfId="400" priority="1135">
      <formula>#REF!&gt;2.99</formula>
    </cfRule>
  </conditionalFormatting>
  <conditionalFormatting sqref="J53">
    <cfRule type="expression" dxfId="399" priority="1126">
      <formula>#REF!="n/a"</formula>
    </cfRule>
    <cfRule type="expression" dxfId="398" priority="1127">
      <formula>#REF!&gt;2.99</formula>
    </cfRule>
  </conditionalFormatting>
  <conditionalFormatting sqref="J54">
    <cfRule type="expression" dxfId="397" priority="1118">
      <formula>#REF!="n/a"</formula>
    </cfRule>
    <cfRule type="expression" dxfId="396" priority="1119">
      <formula>#REF!&gt;2.99</formula>
    </cfRule>
  </conditionalFormatting>
  <conditionalFormatting sqref="J55">
    <cfRule type="expression" dxfId="395" priority="1110">
      <formula>#REF!="n/a"</formula>
    </cfRule>
    <cfRule type="expression" dxfId="394" priority="1111">
      <formula>#REF!&gt;2.99</formula>
    </cfRule>
  </conditionalFormatting>
  <conditionalFormatting sqref="J56">
    <cfRule type="expression" dxfId="393" priority="1102">
      <formula>#REF!="n/a"</formula>
    </cfRule>
    <cfRule type="expression" dxfId="392" priority="1103">
      <formula>#REF!&gt;2.99</formula>
    </cfRule>
  </conditionalFormatting>
  <conditionalFormatting sqref="I4">
    <cfRule type="expression" dxfId="391" priority="410">
      <formula>#REF!="n/a"</formula>
    </cfRule>
    <cfRule type="expression" dxfId="390" priority="411">
      <formula>#REF!&gt;2.99</formula>
    </cfRule>
  </conditionalFormatting>
  <conditionalFormatting sqref="I5:I115 I117:I147">
    <cfRule type="expression" dxfId="389" priority="132">
      <formula>#REF!="n/a"</formula>
    </cfRule>
    <cfRule type="expression" dxfId="388" priority="133">
      <formula>#REF!&gt;2.99</formula>
    </cfRule>
  </conditionalFormatting>
  <conditionalFormatting sqref="J57:J58 J60 J62">
    <cfRule type="expression" dxfId="387" priority="1094">
      <formula>#REF!="n/a"</formula>
    </cfRule>
    <cfRule type="expression" dxfId="386" priority="1095">
      <formula>#REF!&gt;2.99</formula>
    </cfRule>
  </conditionalFormatting>
  <conditionalFormatting sqref="J59">
    <cfRule type="expression" dxfId="385" priority="1092">
      <formula>#REF!="n/a"</formula>
    </cfRule>
    <cfRule type="expression" dxfId="384" priority="1093">
      <formula>#REF!&gt;2.99</formula>
    </cfRule>
  </conditionalFormatting>
  <conditionalFormatting sqref="K57:R60 K62:R62">
    <cfRule type="notContainsBlanks" dxfId="383" priority="1101">
      <formula>LEN(TRIM(#REF!))&gt;0</formula>
    </cfRule>
  </conditionalFormatting>
  <conditionalFormatting sqref="J61">
    <cfRule type="expression" dxfId="382" priority="1084">
      <formula>#REF!="n/a"</formula>
    </cfRule>
    <cfRule type="expression" dxfId="381" priority="1085">
      <formula>#REF!&gt;2.99</formula>
    </cfRule>
  </conditionalFormatting>
  <conditionalFormatting sqref="K61:R61">
    <cfRule type="notContainsBlanks" dxfId="380" priority="1091">
      <formula>LEN(TRIM(#REF!))&gt;0</formula>
    </cfRule>
  </conditionalFormatting>
  <conditionalFormatting sqref="J63">
    <cfRule type="expression" dxfId="379" priority="1076">
      <formula>#REF!="n/a"</formula>
    </cfRule>
    <cfRule type="expression" dxfId="378" priority="1077">
      <formula>#REF!&gt;2.99</formula>
    </cfRule>
  </conditionalFormatting>
  <conditionalFormatting sqref="K63:R63">
    <cfRule type="notContainsBlanks" dxfId="377" priority="1083">
      <formula>LEN(TRIM(#REF!))&gt;0</formula>
    </cfRule>
  </conditionalFormatting>
  <conditionalFormatting sqref="J64">
    <cfRule type="expression" dxfId="376" priority="1068">
      <formula>#REF!="n/a"</formula>
    </cfRule>
    <cfRule type="expression" dxfId="375" priority="1069">
      <formula>#REF!&gt;2.99</formula>
    </cfRule>
  </conditionalFormatting>
  <conditionalFormatting sqref="K64:R64">
    <cfRule type="notContainsBlanks" dxfId="374" priority="1075">
      <formula>LEN(TRIM(#REF!))&gt;0</formula>
    </cfRule>
  </conditionalFormatting>
  <conditionalFormatting sqref="J65">
    <cfRule type="expression" dxfId="373" priority="1060">
      <formula>#REF!="n/a"</formula>
    </cfRule>
    <cfRule type="expression" dxfId="372" priority="1061">
      <formula>#REF!&gt;2.99</formula>
    </cfRule>
  </conditionalFormatting>
  <conditionalFormatting sqref="K65:R65">
    <cfRule type="notContainsBlanks" dxfId="371" priority="1067">
      <formula>LEN(TRIM(#REF!))&gt;0</formula>
    </cfRule>
  </conditionalFormatting>
  <conditionalFormatting sqref="J66">
    <cfRule type="expression" dxfId="370" priority="1052">
      <formula>#REF!="n/a"</formula>
    </cfRule>
    <cfRule type="expression" dxfId="369" priority="1053">
      <formula>#REF!&gt;2.99</formula>
    </cfRule>
  </conditionalFormatting>
  <conditionalFormatting sqref="K66:R66">
    <cfRule type="notContainsBlanks" dxfId="368" priority="1059">
      <formula>LEN(TRIM(#REF!))&gt;0</formula>
    </cfRule>
  </conditionalFormatting>
  <conditionalFormatting sqref="J67">
    <cfRule type="expression" dxfId="367" priority="1044">
      <formula>#REF!="n/a"</formula>
    </cfRule>
    <cfRule type="expression" dxfId="366" priority="1045">
      <formula>#REF!&gt;2.99</formula>
    </cfRule>
  </conditionalFormatting>
  <conditionalFormatting sqref="K67:R67">
    <cfRule type="notContainsBlanks" dxfId="365" priority="1051">
      <formula>LEN(TRIM(#REF!))&gt;0</formula>
    </cfRule>
  </conditionalFormatting>
  <conditionalFormatting sqref="J68">
    <cfRule type="expression" dxfId="364" priority="1036">
      <formula>#REF!="n/a"</formula>
    </cfRule>
    <cfRule type="expression" dxfId="363" priority="1037">
      <formula>#REF!&gt;2.99</formula>
    </cfRule>
  </conditionalFormatting>
  <conditionalFormatting sqref="K68:R68">
    <cfRule type="notContainsBlanks" dxfId="362" priority="1043">
      <formula>LEN(TRIM(#REF!))&gt;0</formula>
    </cfRule>
  </conditionalFormatting>
  <conditionalFormatting sqref="J69">
    <cfRule type="expression" dxfId="361" priority="1028">
      <formula>#REF!="n/a"</formula>
    </cfRule>
    <cfRule type="expression" dxfId="360" priority="1029">
      <formula>#REF!&gt;2.99</formula>
    </cfRule>
  </conditionalFormatting>
  <conditionalFormatting sqref="K69:R69">
    <cfRule type="notContainsBlanks" dxfId="359" priority="1035">
      <formula>LEN(TRIM(#REF!))&gt;0</formula>
    </cfRule>
  </conditionalFormatting>
  <conditionalFormatting sqref="J70">
    <cfRule type="expression" dxfId="358" priority="1020">
      <formula>#REF!="n/a"</formula>
    </cfRule>
    <cfRule type="expression" dxfId="357" priority="1021">
      <formula>#REF!&gt;2.99</formula>
    </cfRule>
  </conditionalFormatting>
  <conditionalFormatting sqref="K70:R70">
    <cfRule type="notContainsBlanks" dxfId="356" priority="1027">
      <formula>LEN(TRIM(#REF!))&gt;0</formula>
    </cfRule>
  </conditionalFormatting>
  <conditionalFormatting sqref="J71">
    <cfRule type="expression" dxfId="355" priority="1012">
      <formula>#REF!="n/a"</formula>
    </cfRule>
    <cfRule type="expression" dxfId="354" priority="1013">
      <formula>#REF!&gt;2.99</formula>
    </cfRule>
  </conditionalFormatting>
  <conditionalFormatting sqref="K71:R71">
    <cfRule type="notContainsBlanks" dxfId="353" priority="1019">
      <formula>LEN(TRIM(#REF!))&gt;0</formula>
    </cfRule>
  </conditionalFormatting>
  <conditionalFormatting sqref="J72">
    <cfRule type="expression" dxfId="352" priority="1004">
      <formula>#REF!="n/a"</formula>
    </cfRule>
    <cfRule type="expression" dxfId="351" priority="1005">
      <formula>#REF!&gt;2.99</formula>
    </cfRule>
  </conditionalFormatting>
  <conditionalFormatting sqref="J73">
    <cfRule type="expression" dxfId="350" priority="996">
      <formula>#REF!="n/a"</formula>
    </cfRule>
    <cfRule type="expression" dxfId="349" priority="997">
      <formula>#REF!&gt;2.99</formula>
    </cfRule>
  </conditionalFormatting>
  <conditionalFormatting sqref="K72:R72">
    <cfRule type="notContainsBlanks" dxfId="348" priority="1011">
      <formula>LEN(TRIM(#REF!))&gt;0</formula>
    </cfRule>
  </conditionalFormatting>
  <conditionalFormatting sqref="J74">
    <cfRule type="expression" dxfId="347" priority="988">
      <formula>#REF!="n/a"</formula>
    </cfRule>
    <cfRule type="expression" dxfId="346" priority="989">
      <formula>#REF!&gt;2.99</formula>
    </cfRule>
  </conditionalFormatting>
  <conditionalFormatting sqref="K73:R73">
    <cfRule type="notContainsBlanks" dxfId="345" priority="1003">
      <formula>LEN(TRIM(#REF!))&gt;0</formula>
    </cfRule>
  </conditionalFormatting>
  <conditionalFormatting sqref="J75">
    <cfRule type="expression" dxfId="344" priority="980">
      <formula>#REF!="n/a"</formula>
    </cfRule>
    <cfRule type="expression" dxfId="343" priority="981">
      <formula>#REF!&gt;2.99</formula>
    </cfRule>
  </conditionalFormatting>
  <conditionalFormatting sqref="K74:R74">
    <cfRule type="notContainsBlanks" dxfId="342" priority="995">
      <formula>LEN(TRIM(#REF!))&gt;0</formula>
    </cfRule>
  </conditionalFormatting>
  <conditionalFormatting sqref="J76">
    <cfRule type="expression" dxfId="341" priority="972">
      <formula>#REF!="n/a"</formula>
    </cfRule>
    <cfRule type="expression" dxfId="340" priority="973">
      <formula>#REF!&gt;2.99</formula>
    </cfRule>
  </conditionalFormatting>
  <conditionalFormatting sqref="K75:R75">
    <cfRule type="notContainsBlanks" dxfId="339" priority="987">
      <formula>LEN(TRIM(#REF!))&gt;0</formula>
    </cfRule>
  </conditionalFormatting>
  <conditionalFormatting sqref="J77">
    <cfRule type="expression" dxfId="338" priority="964">
      <formula>#REF!="n/a"</formula>
    </cfRule>
    <cfRule type="expression" dxfId="337" priority="965">
      <formula>#REF!&gt;2.99</formula>
    </cfRule>
  </conditionalFormatting>
  <conditionalFormatting sqref="K76:R76">
    <cfRule type="notContainsBlanks" dxfId="336" priority="979">
      <formula>LEN(TRIM(#REF!))&gt;0</formula>
    </cfRule>
  </conditionalFormatting>
  <conditionalFormatting sqref="J78">
    <cfRule type="expression" dxfId="335" priority="956">
      <formula>#REF!="n/a"</formula>
    </cfRule>
    <cfRule type="expression" dxfId="334" priority="957">
      <formula>#REF!&gt;2.99</formula>
    </cfRule>
  </conditionalFormatting>
  <conditionalFormatting sqref="K77:R77">
    <cfRule type="notContainsBlanks" dxfId="333" priority="971">
      <formula>LEN(TRIM(#REF!))&gt;0</formula>
    </cfRule>
  </conditionalFormatting>
  <conditionalFormatting sqref="J79">
    <cfRule type="expression" dxfId="332" priority="948">
      <formula>#REF!="n/a"</formula>
    </cfRule>
    <cfRule type="expression" dxfId="331" priority="949">
      <formula>#REF!&gt;2.99</formula>
    </cfRule>
  </conditionalFormatting>
  <conditionalFormatting sqref="K78:R78">
    <cfRule type="notContainsBlanks" dxfId="330" priority="963">
      <formula>LEN(TRIM(#REF!))&gt;0</formula>
    </cfRule>
  </conditionalFormatting>
  <conditionalFormatting sqref="J81">
    <cfRule type="expression" dxfId="329" priority="932">
      <formula>#REF!="n/a"</formula>
    </cfRule>
    <cfRule type="expression" dxfId="328" priority="933">
      <formula>#REF!&gt;2.99</formula>
    </cfRule>
  </conditionalFormatting>
  <conditionalFormatting sqref="K79:R79">
    <cfRule type="notContainsBlanks" dxfId="327" priority="955">
      <formula>LEN(TRIM(#REF!))&gt;0</formula>
    </cfRule>
  </conditionalFormatting>
  <conditionalFormatting sqref="J80">
    <cfRule type="expression" dxfId="326" priority="940">
      <formula>#REF!="n/a"</formula>
    </cfRule>
    <cfRule type="expression" dxfId="325" priority="941">
      <formula>#REF!&gt;2.99</formula>
    </cfRule>
  </conditionalFormatting>
  <conditionalFormatting sqref="J82">
    <cfRule type="expression" dxfId="324" priority="924">
      <formula>#REF!="n/a"</formula>
    </cfRule>
    <cfRule type="expression" dxfId="323" priority="925">
      <formula>#REF!&gt;2.99</formula>
    </cfRule>
  </conditionalFormatting>
  <conditionalFormatting sqref="K80:R80">
    <cfRule type="notContainsBlanks" dxfId="322" priority="947">
      <formula>LEN(TRIM(#REF!))&gt;0</formula>
    </cfRule>
  </conditionalFormatting>
  <conditionalFormatting sqref="K81:R81">
    <cfRule type="notContainsBlanks" dxfId="321" priority="939">
      <formula>LEN(TRIM(#REF!))&gt;0</formula>
    </cfRule>
  </conditionalFormatting>
  <conditionalFormatting sqref="J83">
    <cfRule type="expression" dxfId="320" priority="916">
      <formula>#REF!="n/a"</formula>
    </cfRule>
    <cfRule type="expression" dxfId="319" priority="917">
      <formula>#REF!&gt;2.99</formula>
    </cfRule>
  </conditionalFormatting>
  <conditionalFormatting sqref="K82:R82">
    <cfRule type="notContainsBlanks" dxfId="318" priority="931">
      <formula>LEN(TRIM(#REF!))&gt;0</formula>
    </cfRule>
  </conditionalFormatting>
  <conditionalFormatting sqref="J84">
    <cfRule type="expression" dxfId="317" priority="908">
      <formula>#REF!="n/a"</formula>
    </cfRule>
    <cfRule type="expression" dxfId="316" priority="909">
      <formula>#REF!&gt;2.99</formula>
    </cfRule>
  </conditionalFormatting>
  <conditionalFormatting sqref="K83:R83">
    <cfRule type="notContainsBlanks" dxfId="315" priority="923">
      <formula>LEN(TRIM(#REF!))&gt;0</formula>
    </cfRule>
  </conditionalFormatting>
  <conditionalFormatting sqref="J85">
    <cfRule type="expression" dxfId="314" priority="900">
      <formula>#REF!="n/a"</formula>
    </cfRule>
    <cfRule type="expression" dxfId="313" priority="901">
      <formula>#REF!&gt;2.99</formula>
    </cfRule>
  </conditionalFormatting>
  <conditionalFormatting sqref="K84:R84">
    <cfRule type="notContainsBlanks" dxfId="312" priority="915">
      <formula>LEN(TRIM(#REF!))&gt;0</formula>
    </cfRule>
  </conditionalFormatting>
  <conditionalFormatting sqref="J86">
    <cfRule type="expression" dxfId="311" priority="892">
      <formula>#REF!="n/a"</formula>
    </cfRule>
    <cfRule type="expression" dxfId="310" priority="893">
      <formula>#REF!&gt;2.99</formula>
    </cfRule>
  </conditionalFormatting>
  <conditionalFormatting sqref="K85:R85">
    <cfRule type="notContainsBlanks" dxfId="309" priority="907">
      <formula>LEN(TRIM(#REF!))&gt;0</formula>
    </cfRule>
  </conditionalFormatting>
  <conditionalFormatting sqref="J87">
    <cfRule type="expression" dxfId="308" priority="884">
      <formula>#REF!="n/a"</formula>
    </cfRule>
    <cfRule type="expression" dxfId="307" priority="885">
      <formula>#REF!&gt;2.99</formula>
    </cfRule>
  </conditionalFormatting>
  <conditionalFormatting sqref="K86:R86">
    <cfRule type="notContainsBlanks" dxfId="306" priority="899">
      <formula>LEN(TRIM(#REF!))&gt;0</formula>
    </cfRule>
  </conditionalFormatting>
  <conditionalFormatting sqref="J88">
    <cfRule type="expression" dxfId="305" priority="876">
      <formula>#REF!="n/a"</formula>
    </cfRule>
    <cfRule type="expression" dxfId="304" priority="877">
      <formula>#REF!&gt;2.99</formula>
    </cfRule>
  </conditionalFormatting>
  <conditionalFormatting sqref="K87:R87">
    <cfRule type="notContainsBlanks" dxfId="303" priority="891">
      <formula>LEN(TRIM(#REF!))&gt;0</formula>
    </cfRule>
  </conditionalFormatting>
  <conditionalFormatting sqref="J89">
    <cfRule type="expression" dxfId="302" priority="868">
      <formula>#REF!="n/a"</formula>
    </cfRule>
    <cfRule type="expression" dxfId="301" priority="869">
      <formula>#REF!&gt;2.99</formula>
    </cfRule>
  </conditionalFormatting>
  <conditionalFormatting sqref="K88:R88">
    <cfRule type="notContainsBlanks" dxfId="300" priority="883">
      <formula>LEN(TRIM(#REF!))&gt;0</formula>
    </cfRule>
  </conditionalFormatting>
  <conditionalFormatting sqref="J90">
    <cfRule type="expression" dxfId="299" priority="860">
      <formula>#REF!="n/a"</formula>
    </cfRule>
    <cfRule type="expression" dxfId="298" priority="861">
      <formula>#REF!&gt;2.99</formula>
    </cfRule>
  </conditionalFormatting>
  <conditionalFormatting sqref="K89:R89">
    <cfRule type="notContainsBlanks" dxfId="297" priority="875">
      <formula>LEN(TRIM(#REF!))&gt;0</formula>
    </cfRule>
  </conditionalFormatting>
  <conditionalFormatting sqref="J91">
    <cfRule type="expression" dxfId="296" priority="852">
      <formula>#REF!="n/a"</formula>
    </cfRule>
    <cfRule type="expression" dxfId="295" priority="853">
      <formula>#REF!&gt;2.99</formula>
    </cfRule>
  </conditionalFormatting>
  <conditionalFormatting sqref="K90:R90">
    <cfRule type="notContainsBlanks" dxfId="294" priority="867">
      <formula>LEN(TRIM(#REF!))&gt;0</formula>
    </cfRule>
  </conditionalFormatting>
  <conditionalFormatting sqref="J92">
    <cfRule type="expression" dxfId="293" priority="844">
      <formula>#REF!="n/a"</formula>
    </cfRule>
    <cfRule type="expression" dxfId="292" priority="845">
      <formula>#REF!&gt;2.99</formula>
    </cfRule>
  </conditionalFormatting>
  <conditionalFormatting sqref="K91:R91">
    <cfRule type="notContainsBlanks" dxfId="291" priority="859">
      <formula>LEN(TRIM(#REF!))&gt;0</formula>
    </cfRule>
  </conditionalFormatting>
  <conditionalFormatting sqref="J93">
    <cfRule type="expression" dxfId="290" priority="836">
      <formula>#REF!="n/a"</formula>
    </cfRule>
    <cfRule type="expression" dxfId="289" priority="837">
      <formula>#REF!&gt;2.99</formula>
    </cfRule>
  </conditionalFormatting>
  <conditionalFormatting sqref="K92:R92">
    <cfRule type="notContainsBlanks" dxfId="288" priority="851">
      <formula>LEN(TRIM(#REF!))&gt;0</formula>
    </cfRule>
  </conditionalFormatting>
  <conditionalFormatting sqref="J94">
    <cfRule type="expression" dxfId="287" priority="828">
      <formula>#REF!="n/a"</formula>
    </cfRule>
    <cfRule type="expression" dxfId="286" priority="829">
      <formula>#REF!&gt;2.99</formula>
    </cfRule>
  </conditionalFormatting>
  <conditionalFormatting sqref="K93:R93">
    <cfRule type="notContainsBlanks" dxfId="285" priority="843">
      <formula>LEN(TRIM(#REF!))&gt;0</formula>
    </cfRule>
  </conditionalFormatting>
  <conditionalFormatting sqref="J95">
    <cfRule type="expression" dxfId="284" priority="820">
      <formula>#REF!="n/a"</formula>
    </cfRule>
    <cfRule type="expression" dxfId="283" priority="821">
      <formula>#REF!&gt;2.99</formula>
    </cfRule>
  </conditionalFormatting>
  <conditionalFormatting sqref="K94:R94">
    <cfRule type="notContainsBlanks" dxfId="282" priority="835">
      <formula>LEN(TRIM(#REF!))&gt;0</formula>
    </cfRule>
  </conditionalFormatting>
  <conditionalFormatting sqref="J96">
    <cfRule type="expression" dxfId="281" priority="812">
      <formula>#REF!="n/a"</formula>
    </cfRule>
    <cfRule type="expression" dxfId="280" priority="813">
      <formula>#REF!&gt;2.99</formula>
    </cfRule>
  </conditionalFormatting>
  <conditionalFormatting sqref="K95:R95">
    <cfRule type="notContainsBlanks" dxfId="279" priority="827">
      <formula>LEN(TRIM(#REF!))&gt;0</formula>
    </cfRule>
  </conditionalFormatting>
  <conditionalFormatting sqref="J97">
    <cfRule type="expression" dxfId="278" priority="804">
      <formula>#REF!="n/a"</formula>
    </cfRule>
    <cfRule type="expression" dxfId="277" priority="805">
      <formula>#REF!&gt;2.99</formula>
    </cfRule>
  </conditionalFormatting>
  <conditionalFormatting sqref="K96:R96">
    <cfRule type="notContainsBlanks" dxfId="276" priority="819">
      <formula>LEN(TRIM(#REF!))&gt;0</formula>
    </cfRule>
  </conditionalFormatting>
  <conditionalFormatting sqref="J98">
    <cfRule type="expression" dxfId="275" priority="796">
      <formula>#REF!="n/a"</formula>
    </cfRule>
    <cfRule type="expression" dxfId="274" priority="797">
      <formula>#REF!&gt;2.99</formula>
    </cfRule>
  </conditionalFormatting>
  <conditionalFormatting sqref="K97:R97">
    <cfRule type="notContainsBlanks" dxfId="273" priority="811">
      <formula>LEN(TRIM(#REF!))&gt;0</formula>
    </cfRule>
  </conditionalFormatting>
  <conditionalFormatting sqref="J99">
    <cfRule type="expression" dxfId="272" priority="788">
      <formula>#REF!="n/a"</formula>
    </cfRule>
    <cfRule type="expression" dxfId="271" priority="789">
      <formula>#REF!&gt;2.99</formula>
    </cfRule>
  </conditionalFormatting>
  <conditionalFormatting sqref="K98:R98">
    <cfRule type="notContainsBlanks" dxfId="270" priority="803">
      <formula>LEN(TRIM(#REF!))&gt;0</formula>
    </cfRule>
  </conditionalFormatting>
  <conditionalFormatting sqref="J100">
    <cfRule type="expression" dxfId="269" priority="780">
      <formula>#REF!="n/a"</formula>
    </cfRule>
    <cfRule type="expression" dxfId="268" priority="781">
      <formula>#REF!&gt;2.99</formula>
    </cfRule>
  </conditionalFormatting>
  <conditionalFormatting sqref="K99:R99">
    <cfRule type="notContainsBlanks" dxfId="267" priority="795">
      <formula>LEN(TRIM(#REF!))&gt;0</formula>
    </cfRule>
  </conditionalFormatting>
  <conditionalFormatting sqref="J101">
    <cfRule type="expression" dxfId="266" priority="772">
      <formula>#REF!="n/a"</formula>
    </cfRule>
    <cfRule type="expression" dxfId="265" priority="773">
      <formula>#REF!&gt;2.99</formula>
    </cfRule>
  </conditionalFormatting>
  <conditionalFormatting sqref="K100:R100">
    <cfRule type="notContainsBlanks" dxfId="264" priority="787">
      <formula>LEN(TRIM(#REF!))&gt;0</formula>
    </cfRule>
  </conditionalFormatting>
  <conditionalFormatting sqref="J102">
    <cfRule type="expression" dxfId="263" priority="764">
      <formula>#REF!="n/a"</formula>
    </cfRule>
    <cfRule type="expression" dxfId="262" priority="765">
      <formula>#REF!&gt;2.99</formula>
    </cfRule>
  </conditionalFormatting>
  <conditionalFormatting sqref="K101:R101">
    <cfRule type="notContainsBlanks" dxfId="261" priority="779">
      <formula>LEN(TRIM(#REF!))&gt;0</formula>
    </cfRule>
  </conditionalFormatting>
  <conditionalFormatting sqref="J103">
    <cfRule type="expression" dxfId="260" priority="756">
      <formula>#REF!="n/a"</formula>
    </cfRule>
    <cfRule type="expression" dxfId="259" priority="757">
      <formula>#REF!&gt;2.99</formula>
    </cfRule>
  </conditionalFormatting>
  <conditionalFormatting sqref="K102:R102">
    <cfRule type="notContainsBlanks" dxfId="258" priority="771">
      <formula>LEN(TRIM(#REF!))&gt;0</formula>
    </cfRule>
  </conditionalFormatting>
  <conditionalFormatting sqref="J104">
    <cfRule type="expression" dxfId="257" priority="748">
      <formula>#REF!="n/a"</formula>
    </cfRule>
    <cfRule type="expression" dxfId="256" priority="749">
      <formula>#REF!&gt;2.99</formula>
    </cfRule>
  </conditionalFormatting>
  <conditionalFormatting sqref="K103:R103">
    <cfRule type="notContainsBlanks" dxfId="255" priority="763">
      <formula>LEN(TRIM(#REF!))&gt;0</formula>
    </cfRule>
  </conditionalFormatting>
  <conditionalFormatting sqref="J105">
    <cfRule type="expression" dxfId="254" priority="740">
      <formula>#REF!="n/a"</formula>
    </cfRule>
    <cfRule type="expression" dxfId="253" priority="741">
      <formula>#REF!&gt;2.99</formula>
    </cfRule>
  </conditionalFormatting>
  <conditionalFormatting sqref="K104:R104">
    <cfRule type="notContainsBlanks" dxfId="252" priority="755">
      <formula>LEN(TRIM(#REF!))&gt;0</formula>
    </cfRule>
  </conditionalFormatting>
  <conditionalFormatting sqref="J106">
    <cfRule type="expression" dxfId="251" priority="732">
      <formula>#REF!="n/a"</formula>
    </cfRule>
    <cfRule type="expression" dxfId="250" priority="733">
      <formula>#REF!&gt;2.99</formula>
    </cfRule>
  </conditionalFormatting>
  <conditionalFormatting sqref="K105:R105">
    <cfRule type="notContainsBlanks" dxfId="249" priority="747">
      <formula>LEN(TRIM(#REF!))&gt;0</formula>
    </cfRule>
  </conditionalFormatting>
  <conditionalFormatting sqref="J107">
    <cfRule type="expression" dxfId="248" priority="724">
      <formula>#REF!="n/a"</formula>
    </cfRule>
    <cfRule type="expression" dxfId="247" priority="725">
      <formula>#REF!&gt;2.99</formula>
    </cfRule>
  </conditionalFormatting>
  <conditionalFormatting sqref="K106:R106">
    <cfRule type="notContainsBlanks" dxfId="246" priority="739">
      <formula>LEN(TRIM(#REF!))&gt;0</formula>
    </cfRule>
  </conditionalFormatting>
  <conditionalFormatting sqref="J108">
    <cfRule type="expression" dxfId="245" priority="716">
      <formula>#REF!="n/a"</formula>
    </cfRule>
    <cfRule type="expression" dxfId="244" priority="717">
      <formula>#REF!&gt;2.99</formula>
    </cfRule>
  </conditionalFormatting>
  <conditionalFormatting sqref="K107:R107">
    <cfRule type="notContainsBlanks" dxfId="243" priority="731">
      <formula>LEN(TRIM(#REF!))&gt;0</formula>
    </cfRule>
  </conditionalFormatting>
  <conditionalFormatting sqref="J109">
    <cfRule type="expression" dxfId="242" priority="708">
      <formula>#REF!="n/a"</formula>
    </cfRule>
    <cfRule type="expression" dxfId="241" priority="709">
      <formula>#REF!&gt;2.99</formula>
    </cfRule>
  </conditionalFormatting>
  <conditionalFormatting sqref="K108:R108">
    <cfRule type="notContainsBlanks" dxfId="240" priority="723">
      <formula>LEN(TRIM(#REF!))&gt;0</formula>
    </cfRule>
  </conditionalFormatting>
  <conditionalFormatting sqref="J110">
    <cfRule type="expression" dxfId="239" priority="700">
      <formula>#REF!="n/a"</formula>
    </cfRule>
    <cfRule type="expression" dxfId="238" priority="701">
      <formula>#REF!&gt;2.99</formula>
    </cfRule>
  </conditionalFormatting>
  <conditionalFormatting sqref="K109:R109">
    <cfRule type="notContainsBlanks" dxfId="237" priority="715">
      <formula>LEN(TRIM(#REF!))&gt;0</formula>
    </cfRule>
  </conditionalFormatting>
  <conditionalFormatting sqref="J111">
    <cfRule type="expression" dxfId="236" priority="692">
      <formula>#REF!="n/a"</formula>
    </cfRule>
    <cfRule type="expression" dxfId="235" priority="693">
      <formula>#REF!&gt;2.99</formula>
    </cfRule>
  </conditionalFormatting>
  <conditionalFormatting sqref="K110:R110">
    <cfRule type="notContainsBlanks" dxfId="234" priority="707">
      <formula>LEN(TRIM(#REF!))&gt;0</formula>
    </cfRule>
  </conditionalFormatting>
  <conditionalFormatting sqref="J112">
    <cfRule type="expression" dxfId="233" priority="684">
      <formula>#REF!="n/a"</formula>
    </cfRule>
    <cfRule type="expression" dxfId="232" priority="685">
      <formula>#REF!&gt;2.99</formula>
    </cfRule>
  </conditionalFormatting>
  <conditionalFormatting sqref="K111:R111">
    <cfRule type="notContainsBlanks" dxfId="231" priority="699">
      <formula>LEN(TRIM(#REF!))&gt;0</formula>
    </cfRule>
  </conditionalFormatting>
  <conditionalFormatting sqref="J113">
    <cfRule type="expression" dxfId="230" priority="676">
      <formula>#REF!="n/a"</formula>
    </cfRule>
    <cfRule type="expression" dxfId="229" priority="677">
      <formula>#REF!&gt;2.99</formula>
    </cfRule>
  </conditionalFormatting>
  <conditionalFormatting sqref="K112:R112">
    <cfRule type="notContainsBlanks" dxfId="228" priority="691">
      <formula>LEN(TRIM(#REF!))&gt;0</formula>
    </cfRule>
  </conditionalFormatting>
  <conditionalFormatting sqref="J114">
    <cfRule type="expression" dxfId="227" priority="668">
      <formula>#REF!="n/a"</formula>
    </cfRule>
    <cfRule type="expression" dxfId="226" priority="669">
      <formula>#REF!&gt;2.99</formula>
    </cfRule>
  </conditionalFormatting>
  <conditionalFormatting sqref="K113:R113">
    <cfRule type="notContainsBlanks" dxfId="225" priority="683">
      <formula>LEN(TRIM(#REF!))&gt;0</formula>
    </cfRule>
  </conditionalFormatting>
  <conditionalFormatting sqref="J115">
    <cfRule type="expression" dxfId="224" priority="660">
      <formula>#REF!="n/a"</formula>
    </cfRule>
    <cfRule type="expression" dxfId="223" priority="661">
      <formula>#REF!&gt;2.99</formula>
    </cfRule>
  </conditionalFormatting>
  <conditionalFormatting sqref="K114:R114">
    <cfRule type="notContainsBlanks" dxfId="222" priority="675">
      <formula>LEN(TRIM(#REF!))&gt;0</formula>
    </cfRule>
  </conditionalFormatting>
  <conditionalFormatting sqref="J117">
    <cfRule type="expression" dxfId="221" priority="652">
      <formula>#REF!="n/a"</formula>
    </cfRule>
    <cfRule type="expression" dxfId="220" priority="653">
      <formula>#REF!&gt;2.99</formula>
    </cfRule>
  </conditionalFormatting>
  <conditionalFormatting sqref="K115:R115">
    <cfRule type="notContainsBlanks" dxfId="219" priority="667">
      <formula>LEN(TRIM(#REF!))&gt;0</formula>
    </cfRule>
  </conditionalFormatting>
  <conditionalFormatting sqref="J118">
    <cfRule type="expression" dxfId="218" priority="644">
      <formula>#REF!="n/a"</formula>
    </cfRule>
    <cfRule type="expression" dxfId="217" priority="645">
      <formula>#REF!&gt;2.99</formula>
    </cfRule>
  </conditionalFormatting>
  <conditionalFormatting sqref="K117:R117">
    <cfRule type="notContainsBlanks" dxfId="216" priority="659">
      <formula>LEN(TRIM(#REF!))&gt;0</formula>
    </cfRule>
  </conditionalFormatting>
  <conditionalFormatting sqref="J119">
    <cfRule type="expression" dxfId="215" priority="636">
      <formula>#REF!="n/a"</formula>
    </cfRule>
    <cfRule type="expression" dxfId="214" priority="637">
      <formula>#REF!&gt;2.99</formula>
    </cfRule>
  </conditionalFormatting>
  <conditionalFormatting sqref="K118:R118">
    <cfRule type="notContainsBlanks" dxfId="213" priority="651">
      <formula>LEN(TRIM(#REF!))&gt;0</formula>
    </cfRule>
  </conditionalFormatting>
  <conditionalFormatting sqref="J120">
    <cfRule type="expression" dxfId="212" priority="628">
      <formula>#REF!="n/a"</formula>
    </cfRule>
    <cfRule type="expression" dxfId="211" priority="629">
      <formula>#REF!&gt;2.99</formula>
    </cfRule>
  </conditionalFormatting>
  <conditionalFormatting sqref="K119:R119">
    <cfRule type="notContainsBlanks" dxfId="210" priority="643">
      <formula>LEN(TRIM(#REF!))&gt;0</formula>
    </cfRule>
  </conditionalFormatting>
  <conditionalFormatting sqref="J121">
    <cfRule type="expression" dxfId="209" priority="620">
      <formula>#REF!="n/a"</formula>
    </cfRule>
    <cfRule type="expression" dxfId="208" priority="621">
      <formula>#REF!&gt;2.99</formula>
    </cfRule>
  </conditionalFormatting>
  <conditionalFormatting sqref="K120:R120">
    <cfRule type="notContainsBlanks" dxfId="207" priority="635">
      <formula>LEN(TRIM(#REF!))&gt;0</formula>
    </cfRule>
  </conditionalFormatting>
  <conditionalFormatting sqref="J122">
    <cfRule type="expression" dxfId="206" priority="612">
      <formula>#REF!="n/a"</formula>
    </cfRule>
    <cfRule type="expression" dxfId="205" priority="613">
      <formula>#REF!&gt;2.99</formula>
    </cfRule>
  </conditionalFormatting>
  <conditionalFormatting sqref="K121:R121">
    <cfRule type="notContainsBlanks" dxfId="204" priority="627">
      <formula>LEN(TRIM(#REF!))&gt;0</formula>
    </cfRule>
  </conditionalFormatting>
  <conditionalFormatting sqref="J123">
    <cfRule type="expression" dxfId="203" priority="604">
      <formula>#REF!="n/a"</formula>
    </cfRule>
    <cfRule type="expression" dxfId="202" priority="605">
      <formula>#REF!&gt;2.99</formula>
    </cfRule>
  </conditionalFormatting>
  <conditionalFormatting sqref="K122:R122">
    <cfRule type="notContainsBlanks" dxfId="201" priority="619">
      <formula>LEN(TRIM(#REF!))&gt;0</formula>
    </cfRule>
  </conditionalFormatting>
  <conditionalFormatting sqref="J124">
    <cfRule type="expression" dxfId="200" priority="596">
      <formula>#REF!="n/a"</formula>
    </cfRule>
    <cfRule type="expression" dxfId="199" priority="597">
      <formula>#REF!&gt;2.99</formula>
    </cfRule>
  </conditionalFormatting>
  <conditionalFormatting sqref="K123:R123">
    <cfRule type="notContainsBlanks" dxfId="198" priority="611">
      <formula>LEN(TRIM(#REF!))&gt;0</formula>
    </cfRule>
  </conditionalFormatting>
  <conditionalFormatting sqref="J125">
    <cfRule type="expression" dxfId="197" priority="588">
      <formula>#REF!="n/a"</formula>
    </cfRule>
    <cfRule type="expression" dxfId="196" priority="589">
      <formula>#REF!&gt;2.99</formula>
    </cfRule>
  </conditionalFormatting>
  <conditionalFormatting sqref="K124:R124">
    <cfRule type="notContainsBlanks" dxfId="195" priority="603">
      <formula>LEN(TRIM(#REF!))&gt;0</formula>
    </cfRule>
  </conditionalFormatting>
  <conditionalFormatting sqref="J126">
    <cfRule type="expression" dxfId="194" priority="580">
      <formula>#REF!="n/a"</formula>
    </cfRule>
    <cfRule type="expression" dxfId="193" priority="581">
      <formula>#REF!&gt;2.99</formula>
    </cfRule>
  </conditionalFormatting>
  <conditionalFormatting sqref="K125:R125">
    <cfRule type="notContainsBlanks" dxfId="192" priority="595">
      <formula>LEN(TRIM(#REF!))&gt;0</formula>
    </cfRule>
  </conditionalFormatting>
  <conditionalFormatting sqref="J127">
    <cfRule type="expression" dxfId="191" priority="572">
      <formula>#REF!="n/a"</formula>
    </cfRule>
    <cfRule type="expression" dxfId="190" priority="573">
      <formula>#REF!&gt;2.99</formula>
    </cfRule>
  </conditionalFormatting>
  <conditionalFormatting sqref="K126:R126">
    <cfRule type="notContainsBlanks" dxfId="189" priority="587">
      <formula>LEN(TRIM(#REF!))&gt;0</formula>
    </cfRule>
  </conditionalFormatting>
  <conditionalFormatting sqref="J128">
    <cfRule type="expression" dxfId="188" priority="564">
      <formula>#REF!="n/a"</formula>
    </cfRule>
    <cfRule type="expression" dxfId="187" priority="565">
      <formula>#REF!&gt;2.99</formula>
    </cfRule>
  </conditionalFormatting>
  <conditionalFormatting sqref="K127:R127">
    <cfRule type="notContainsBlanks" dxfId="186" priority="579">
      <formula>LEN(TRIM(#REF!))&gt;0</formula>
    </cfRule>
  </conditionalFormatting>
  <conditionalFormatting sqref="K128:R128">
    <cfRule type="notContainsBlanks" dxfId="185" priority="571">
      <formula>LEN(TRIM(#REF!))&gt;0</formula>
    </cfRule>
  </conditionalFormatting>
  <conditionalFormatting sqref="J129">
    <cfRule type="expression" dxfId="184" priority="556">
      <formula>#REF!="n/a"</formula>
    </cfRule>
    <cfRule type="expression" dxfId="183" priority="557">
      <formula>#REF!&gt;2.99</formula>
    </cfRule>
  </conditionalFormatting>
  <conditionalFormatting sqref="K129:R129">
    <cfRule type="notContainsBlanks" dxfId="182" priority="563">
      <formula>LEN(TRIM(#REF!))&gt;0</formula>
    </cfRule>
  </conditionalFormatting>
  <conditionalFormatting sqref="J130">
    <cfRule type="expression" dxfId="181" priority="548">
      <formula>#REF!="n/a"</formula>
    </cfRule>
    <cfRule type="expression" dxfId="180" priority="549">
      <formula>#REF!&gt;2.99</formula>
    </cfRule>
  </conditionalFormatting>
  <conditionalFormatting sqref="K130:R130">
    <cfRule type="notContainsBlanks" dxfId="179" priority="555">
      <formula>LEN(TRIM(#REF!))&gt;0</formula>
    </cfRule>
  </conditionalFormatting>
  <conditionalFormatting sqref="J131">
    <cfRule type="expression" dxfId="178" priority="540">
      <formula>#REF!="n/a"</formula>
    </cfRule>
    <cfRule type="expression" dxfId="177" priority="541">
      <formula>#REF!&gt;2.99</formula>
    </cfRule>
  </conditionalFormatting>
  <conditionalFormatting sqref="K131:R131">
    <cfRule type="notContainsBlanks" dxfId="176" priority="547">
      <formula>LEN(TRIM(#REF!))&gt;0</formula>
    </cfRule>
  </conditionalFormatting>
  <conditionalFormatting sqref="J132">
    <cfRule type="expression" dxfId="175" priority="532">
      <formula>#REF!="n/a"</formula>
    </cfRule>
    <cfRule type="expression" dxfId="174" priority="533">
      <formula>#REF!&gt;2.99</formula>
    </cfRule>
  </conditionalFormatting>
  <conditionalFormatting sqref="K132:R132">
    <cfRule type="notContainsBlanks" dxfId="173" priority="539">
      <formula>LEN(TRIM(#REF!))&gt;0</formula>
    </cfRule>
  </conditionalFormatting>
  <conditionalFormatting sqref="J133">
    <cfRule type="expression" dxfId="172" priority="524">
      <formula>#REF!="n/a"</formula>
    </cfRule>
    <cfRule type="expression" dxfId="171" priority="525">
      <formula>#REF!&gt;2.99</formula>
    </cfRule>
  </conditionalFormatting>
  <conditionalFormatting sqref="K133:R133">
    <cfRule type="notContainsBlanks" dxfId="170" priority="531">
      <formula>LEN(TRIM(#REF!))&gt;0</formula>
    </cfRule>
  </conditionalFormatting>
  <conditionalFormatting sqref="J134">
    <cfRule type="expression" dxfId="169" priority="516">
      <formula>#REF!="n/a"</formula>
    </cfRule>
    <cfRule type="expression" dxfId="168" priority="517">
      <formula>#REF!&gt;2.99</formula>
    </cfRule>
  </conditionalFormatting>
  <conditionalFormatting sqref="K134:R134">
    <cfRule type="notContainsBlanks" dxfId="167" priority="523">
      <formula>LEN(TRIM(#REF!))&gt;0</formula>
    </cfRule>
  </conditionalFormatting>
  <conditionalFormatting sqref="J135">
    <cfRule type="expression" dxfId="166" priority="508">
      <formula>#REF!="n/a"</formula>
    </cfRule>
    <cfRule type="expression" dxfId="165" priority="509">
      <formula>#REF!&gt;2.99</formula>
    </cfRule>
  </conditionalFormatting>
  <conditionalFormatting sqref="K135:R135">
    <cfRule type="notContainsBlanks" dxfId="164" priority="515">
      <formula>LEN(TRIM(#REF!))&gt;0</formula>
    </cfRule>
  </conditionalFormatting>
  <conditionalFormatting sqref="J136">
    <cfRule type="expression" dxfId="163" priority="500">
      <formula>#REF!="n/a"</formula>
    </cfRule>
    <cfRule type="expression" dxfId="162" priority="501">
      <formula>#REF!&gt;2.99</formula>
    </cfRule>
  </conditionalFormatting>
  <conditionalFormatting sqref="K136:R136">
    <cfRule type="notContainsBlanks" dxfId="161" priority="507">
      <formula>LEN(TRIM(#REF!))&gt;0</formula>
    </cfRule>
  </conditionalFormatting>
  <conditionalFormatting sqref="J137">
    <cfRule type="expression" dxfId="160" priority="492">
      <formula>#REF!="n/a"</formula>
    </cfRule>
    <cfRule type="expression" dxfId="159" priority="493">
      <formula>#REF!&gt;2.99</formula>
    </cfRule>
  </conditionalFormatting>
  <conditionalFormatting sqref="K137:R137">
    <cfRule type="notContainsBlanks" dxfId="158" priority="499">
      <formula>LEN(TRIM(#REF!))&gt;0</formula>
    </cfRule>
  </conditionalFormatting>
  <conditionalFormatting sqref="J138">
    <cfRule type="expression" dxfId="157" priority="484">
      <formula>#REF!="n/a"</formula>
    </cfRule>
    <cfRule type="expression" dxfId="156" priority="485">
      <formula>#REF!&gt;2.99</formula>
    </cfRule>
  </conditionalFormatting>
  <conditionalFormatting sqref="K138:R138">
    <cfRule type="notContainsBlanks" dxfId="155" priority="491">
      <formula>LEN(TRIM(#REF!))&gt;0</formula>
    </cfRule>
  </conditionalFormatting>
  <conditionalFormatting sqref="J139">
    <cfRule type="expression" dxfId="154" priority="476">
      <formula>#REF!="n/a"</formula>
    </cfRule>
    <cfRule type="expression" dxfId="153" priority="477">
      <formula>#REF!&gt;2.99</formula>
    </cfRule>
  </conditionalFormatting>
  <conditionalFormatting sqref="K139:R139">
    <cfRule type="notContainsBlanks" dxfId="152" priority="483">
      <formula>LEN(TRIM(#REF!))&gt;0</formula>
    </cfRule>
  </conditionalFormatting>
  <conditionalFormatting sqref="J140">
    <cfRule type="expression" dxfId="151" priority="468">
      <formula>#REF!="n/a"</formula>
    </cfRule>
    <cfRule type="expression" dxfId="150" priority="469">
      <formula>#REF!&gt;2.99</formula>
    </cfRule>
  </conditionalFormatting>
  <conditionalFormatting sqref="K140:R140">
    <cfRule type="notContainsBlanks" dxfId="149" priority="475">
      <formula>LEN(TRIM(#REF!))&gt;0</formula>
    </cfRule>
  </conditionalFormatting>
  <conditionalFormatting sqref="J141">
    <cfRule type="expression" dxfId="148" priority="460">
      <formula>#REF!="n/a"</formula>
    </cfRule>
    <cfRule type="expression" dxfId="147" priority="461">
      <formula>#REF!&gt;2.99</formula>
    </cfRule>
  </conditionalFormatting>
  <conditionalFormatting sqref="K141:R141">
    <cfRule type="notContainsBlanks" dxfId="146" priority="467">
      <formula>LEN(TRIM(#REF!))&gt;0</formula>
    </cfRule>
  </conditionalFormatting>
  <conditionalFormatting sqref="J142">
    <cfRule type="expression" dxfId="145" priority="452">
      <formula>#REF!="n/a"</formula>
    </cfRule>
    <cfRule type="expression" dxfId="144" priority="453">
      <formula>#REF!&gt;2.99</formula>
    </cfRule>
  </conditionalFormatting>
  <conditionalFormatting sqref="K142:R142">
    <cfRule type="notContainsBlanks" dxfId="143" priority="459">
      <formula>LEN(TRIM(#REF!))&gt;0</formula>
    </cfRule>
  </conditionalFormatting>
  <conditionalFormatting sqref="J143">
    <cfRule type="expression" dxfId="142" priority="444">
      <formula>#REF!="n/a"</formula>
    </cfRule>
    <cfRule type="expression" dxfId="141" priority="445">
      <formula>#REF!&gt;2.99</formula>
    </cfRule>
  </conditionalFormatting>
  <conditionalFormatting sqref="K143:R143">
    <cfRule type="notContainsBlanks" dxfId="140" priority="451">
      <formula>LEN(TRIM(#REF!))&gt;0</formula>
    </cfRule>
  </conditionalFormatting>
  <conditionalFormatting sqref="J144">
    <cfRule type="expression" dxfId="139" priority="436">
      <formula>#REF!="n/a"</formula>
    </cfRule>
    <cfRule type="expression" dxfId="138" priority="437">
      <formula>#REF!&gt;2.99</formula>
    </cfRule>
  </conditionalFormatting>
  <conditionalFormatting sqref="K144:R144">
    <cfRule type="notContainsBlanks" dxfId="137" priority="443">
      <formula>LEN(TRIM(#REF!))&gt;0</formula>
    </cfRule>
  </conditionalFormatting>
  <conditionalFormatting sqref="J145">
    <cfRule type="expression" dxfId="136" priority="428">
      <formula>#REF!="n/a"</formula>
    </cfRule>
    <cfRule type="expression" dxfId="135" priority="429">
      <formula>#REF!&gt;2.99</formula>
    </cfRule>
  </conditionalFormatting>
  <conditionalFormatting sqref="K145:R145">
    <cfRule type="notContainsBlanks" dxfId="134" priority="435">
      <formula>LEN(TRIM(#REF!))&gt;0</formula>
    </cfRule>
  </conditionalFormatting>
  <conditionalFormatting sqref="J146">
    <cfRule type="expression" dxfId="133" priority="420">
      <formula>#REF!="n/a"</formula>
    </cfRule>
    <cfRule type="expression" dxfId="132" priority="421">
      <formula>#REF!&gt;2.99</formula>
    </cfRule>
  </conditionalFormatting>
  <conditionalFormatting sqref="K146:R146">
    <cfRule type="notContainsBlanks" dxfId="131" priority="427">
      <formula>LEN(TRIM(#REF!))&gt;0</formula>
    </cfRule>
  </conditionalFormatting>
  <conditionalFormatting sqref="J147">
    <cfRule type="expression" dxfId="130" priority="412">
      <formula>#REF!="n/a"</formula>
    </cfRule>
    <cfRule type="expression" dxfId="129" priority="413">
      <formula>#REF!&gt;2.99</formula>
    </cfRule>
  </conditionalFormatting>
  <conditionalFormatting sqref="K147:R147">
    <cfRule type="notContainsBlanks" dxfId="128" priority="419">
      <formula>LEN(TRIM(#REF!))&gt;0</formula>
    </cfRule>
  </conditionalFormatting>
  <conditionalFormatting sqref="L4:R56">
    <cfRule type="notContainsBlanks" dxfId="127" priority="131">
      <formula>LEN(TRIM(#REF!))&gt;0</formula>
    </cfRule>
  </conditionalFormatting>
  <conditionalFormatting sqref="K4:K55">
    <cfRule type="notContainsBlanks" dxfId="126" priority="129">
      <formula>LEN(TRIM(#REF!))&gt;0</formula>
    </cfRule>
  </conditionalFormatting>
  <conditionalFormatting sqref="K56">
    <cfRule type="notContainsBlanks" dxfId="125" priority="130">
      <formula>LEN(TRIM(#REF!))&gt;0</formula>
    </cfRule>
  </conditionalFormatting>
  <conditionalFormatting sqref="I116">
    <cfRule type="expression" dxfId="124" priority="124">
      <formula>#REF!="n/a"</formula>
    </cfRule>
    <cfRule type="expression" dxfId="123" priority="125">
      <formula>#REF!&gt;2.99</formula>
    </cfRule>
  </conditionalFormatting>
  <conditionalFormatting sqref="J116">
    <cfRule type="expression" dxfId="122" priority="126">
      <formula>#REF!="n/a"</formula>
    </cfRule>
    <cfRule type="expression" dxfId="121" priority="127">
      <formula>#REF!&gt;2.99</formula>
    </cfRule>
  </conditionalFormatting>
  <conditionalFormatting sqref="K116:R116">
    <cfRule type="notContainsBlanks" dxfId="120" priority="128">
      <formula>LEN(TRIM(#REF!))&gt;0</formula>
    </cfRule>
  </conditionalFormatting>
  <conditionalFormatting sqref="J148:J149">
    <cfRule type="expression" dxfId="119" priority="122">
      <formula>#REF!="n/a"</formula>
    </cfRule>
    <cfRule type="expression" dxfId="118" priority="123">
      <formula>#REF!&gt;2.99</formula>
    </cfRule>
  </conditionalFormatting>
  <conditionalFormatting sqref="J150">
    <cfRule type="expression" dxfId="117" priority="120">
      <formula>#REF!="n/a"</formula>
    </cfRule>
    <cfRule type="expression" dxfId="116" priority="121">
      <formula>#REF!&gt;2.99</formula>
    </cfRule>
  </conditionalFormatting>
  <conditionalFormatting sqref="J151">
    <cfRule type="expression" dxfId="115" priority="118">
      <formula>#REF!="n/a"</formula>
    </cfRule>
    <cfRule type="expression" dxfId="114" priority="119">
      <formula>#REF!&gt;2.99</formula>
    </cfRule>
  </conditionalFormatting>
  <conditionalFormatting sqref="J152">
    <cfRule type="expression" dxfId="113" priority="116">
      <formula>#REF!="n/a"</formula>
    </cfRule>
    <cfRule type="expression" dxfId="112" priority="117">
      <formula>#REF!&gt;2.99</formula>
    </cfRule>
  </conditionalFormatting>
  <conditionalFormatting sqref="J153">
    <cfRule type="expression" dxfId="111" priority="114">
      <formula>#REF!="n/a"</formula>
    </cfRule>
    <cfRule type="expression" dxfId="110" priority="115">
      <formula>#REF!&gt;2.99</formula>
    </cfRule>
  </conditionalFormatting>
  <conditionalFormatting sqref="J154">
    <cfRule type="expression" dxfId="109" priority="112">
      <formula>#REF!="n/a"</formula>
    </cfRule>
    <cfRule type="expression" dxfId="108" priority="113">
      <formula>#REF!&gt;2.99</formula>
    </cfRule>
  </conditionalFormatting>
  <conditionalFormatting sqref="J155">
    <cfRule type="expression" dxfId="107" priority="110">
      <formula>#REF!="n/a"</formula>
    </cfRule>
    <cfRule type="expression" dxfId="106" priority="111">
      <formula>#REF!&gt;2.99</formula>
    </cfRule>
  </conditionalFormatting>
  <conditionalFormatting sqref="J156">
    <cfRule type="expression" dxfId="105" priority="108">
      <formula>#REF!="n/a"</formula>
    </cfRule>
    <cfRule type="expression" dxfId="104" priority="109">
      <formula>#REF!&gt;2.99</formula>
    </cfRule>
  </conditionalFormatting>
  <conditionalFormatting sqref="J157">
    <cfRule type="expression" dxfId="103" priority="106">
      <formula>#REF!="n/a"</formula>
    </cfRule>
    <cfRule type="expression" dxfId="102" priority="107">
      <formula>#REF!&gt;2.99</formula>
    </cfRule>
  </conditionalFormatting>
  <conditionalFormatting sqref="J158">
    <cfRule type="expression" dxfId="101" priority="104">
      <formula>#REF!="n/a"</formula>
    </cfRule>
    <cfRule type="expression" dxfId="100" priority="105">
      <formula>#REF!&gt;2.99</formula>
    </cfRule>
  </conditionalFormatting>
  <conditionalFormatting sqref="J159">
    <cfRule type="expression" dxfId="99" priority="102">
      <formula>#REF!="n/a"</formula>
    </cfRule>
    <cfRule type="expression" dxfId="98" priority="103">
      <formula>#REF!&gt;2.99</formula>
    </cfRule>
  </conditionalFormatting>
  <conditionalFormatting sqref="J160">
    <cfRule type="expression" dxfId="97" priority="100">
      <formula>#REF!="n/a"</formula>
    </cfRule>
    <cfRule type="expression" dxfId="96" priority="101">
      <formula>#REF!&gt;2.99</formula>
    </cfRule>
  </conditionalFormatting>
  <conditionalFormatting sqref="J161">
    <cfRule type="expression" dxfId="95" priority="98">
      <formula>#REF!="n/a"</formula>
    </cfRule>
    <cfRule type="expression" dxfId="94" priority="99">
      <formula>#REF!&gt;2.99</formula>
    </cfRule>
  </conditionalFormatting>
  <conditionalFormatting sqref="J162">
    <cfRule type="expression" dxfId="93" priority="96">
      <formula>#REF!="n/a"</formula>
    </cfRule>
    <cfRule type="expression" dxfId="92" priority="97">
      <formula>#REF!&gt;2.99</formula>
    </cfRule>
  </conditionalFormatting>
  <conditionalFormatting sqref="J163">
    <cfRule type="expression" dxfId="91" priority="94">
      <formula>#REF!="n/a"</formula>
    </cfRule>
    <cfRule type="expression" dxfId="90" priority="95">
      <formula>#REF!&gt;2.99</formula>
    </cfRule>
  </conditionalFormatting>
  <conditionalFormatting sqref="J164">
    <cfRule type="expression" dxfId="89" priority="92">
      <formula>#REF!="n/a"</formula>
    </cfRule>
    <cfRule type="expression" dxfId="88" priority="93">
      <formula>#REF!&gt;2.99</formula>
    </cfRule>
  </conditionalFormatting>
  <conditionalFormatting sqref="J165">
    <cfRule type="expression" dxfId="87" priority="90">
      <formula>#REF!="n/a"</formula>
    </cfRule>
    <cfRule type="expression" dxfId="86" priority="91">
      <formula>#REF!&gt;2.99</formula>
    </cfRule>
  </conditionalFormatting>
  <conditionalFormatting sqref="J166">
    <cfRule type="expression" dxfId="85" priority="88">
      <formula>#REF!="n/a"</formula>
    </cfRule>
    <cfRule type="expression" dxfId="84" priority="89">
      <formula>#REF!&gt;2.99</formula>
    </cfRule>
  </conditionalFormatting>
  <conditionalFormatting sqref="J167">
    <cfRule type="expression" dxfId="83" priority="86">
      <formula>#REF!="n/a"</formula>
    </cfRule>
    <cfRule type="expression" dxfId="82" priority="87">
      <formula>#REF!&gt;2.99</formula>
    </cfRule>
  </conditionalFormatting>
  <conditionalFormatting sqref="J168">
    <cfRule type="expression" dxfId="81" priority="84">
      <formula>#REF!="n/a"</formula>
    </cfRule>
    <cfRule type="expression" dxfId="80" priority="85">
      <formula>#REF!&gt;2.99</formula>
    </cfRule>
  </conditionalFormatting>
  <conditionalFormatting sqref="J169">
    <cfRule type="expression" dxfId="79" priority="82">
      <formula>#REF!="n/a"</formula>
    </cfRule>
    <cfRule type="expression" dxfId="78" priority="83">
      <formula>#REF!&gt;2.99</formula>
    </cfRule>
  </conditionalFormatting>
  <conditionalFormatting sqref="J170">
    <cfRule type="expression" dxfId="77" priority="80">
      <formula>#REF!="n/a"</formula>
    </cfRule>
    <cfRule type="expression" dxfId="76" priority="81">
      <formula>#REF!&gt;2.99</formula>
    </cfRule>
  </conditionalFormatting>
  <conditionalFormatting sqref="J171">
    <cfRule type="expression" dxfId="75" priority="78">
      <formula>#REF!="n/a"</formula>
    </cfRule>
    <cfRule type="expression" dxfId="74" priority="79">
      <formula>#REF!&gt;2.99</formula>
    </cfRule>
  </conditionalFormatting>
  <conditionalFormatting sqref="J172">
    <cfRule type="expression" dxfId="73" priority="76">
      <formula>#REF!="n/a"</formula>
    </cfRule>
    <cfRule type="expression" dxfId="72" priority="77">
      <formula>#REF!&gt;2.99</formula>
    </cfRule>
  </conditionalFormatting>
  <conditionalFormatting sqref="J173">
    <cfRule type="expression" dxfId="71" priority="74">
      <formula>#REF!="n/a"</formula>
    </cfRule>
    <cfRule type="expression" dxfId="70" priority="75">
      <formula>#REF!&gt;2.99</formula>
    </cfRule>
  </conditionalFormatting>
  <conditionalFormatting sqref="J174">
    <cfRule type="expression" dxfId="69" priority="72">
      <formula>#REF!="n/a"</formula>
    </cfRule>
    <cfRule type="expression" dxfId="68" priority="73">
      <formula>#REF!&gt;2.99</formula>
    </cfRule>
  </conditionalFormatting>
  <conditionalFormatting sqref="J175">
    <cfRule type="expression" dxfId="67" priority="70">
      <formula>#REF!="n/a"</formula>
    </cfRule>
    <cfRule type="expression" dxfId="66" priority="71">
      <formula>#REF!&gt;2.99</formula>
    </cfRule>
  </conditionalFormatting>
  <conditionalFormatting sqref="J176">
    <cfRule type="expression" dxfId="65" priority="68">
      <formula>#REF!="n/a"</formula>
    </cfRule>
    <cfRule type="expression" dxfId="64" priority="69">
      <formula>#REF!&gt;2.99</formula>
    </cfRule>
  </conditionalFormatting>
  <conditionalFormatting sqref="J177">
    <cfRule type="expression" dxfId="63" priority="66">
      <formula>#REF!="n/a"</formula>
    </cfRule>
    <cfRule type="expression" dxfId="62" priority="67">
      <formula>#REF!&gt;2.99</formula>
    </cfRule>
  </conditionalFormatting>
  <conditionalFormatting sqref="J178">
    <cfRule type="expression" dxfId="61" priority="64">
      <formula>#REF!="n/a"</formula>
    </cfRule>
    <cfRule type="expression" dxfId="60" priority="65">
      <formula>#REF!&gt;2.99</formula>
    </cfRule>
  </conditionalFormatting>
  <conditionalFormatting sqref="J179">
    <cfRule type="expression" dxfId="59" priority="62">
      <formula>#REF!="n/a"</formula>
    </cfRule>
    <cfRule type="expression" dxfId="58" priority="63">
      <formula>#REF!&gt;2.99</formula>
    </cfRule>
  </conditionalFormatting>
  <conditionalFormatting sqref="J180">
    <cfRule type="expression" dxfId="57" priority="60">
      <formula>#REF!="n/a"</formula>
    </cfRule>
    <cfRule type="expression" dxfId="56" priority="61">
      <formula>#REF!&gt;2.99</formula>
    </cfRule>
  </conditionalFormatting>
  <conditionalFormatting sqref="J181">
    <cfRule type="expression" dxfId="55" priority="58">
      <formula>#REF!="n/a"</formula>
    </cfRule>
    <cfRule type="expression" dxfId="54" priority="59">
      <formula>#REF!&gt;2.99</formula>
    </cfRule>
  </conditionalFormatting>
  <conditionalFormatting sqref="J182">
    <cfRule type="expression" dxfId="53" priority="56">
      <formula>#REF!="n/a"</formula>
    </cfRule>
    <cfRule type="expression" dxfId="52" priority="57">
      <formula>#REF!&gt;2.99</formula>
    </cfRule>
  </conditionalFormatting>
  <conditionalFormatting sqref="J183">
    <cfRule type="expression" dxfId="51" priority="54">
      <formula>#REF!="n/a"</formula>
    </cfRule>
    <cfRule type="expression" dxfId="50" priority="55">
      <formula>#REF!&gt;2.99</formula>
    </cfRule>
  </conditionalFormatting>
  <conditionalFormatting sqref="J184">
    <cfRule type="expression" dxfId="49" priority="52">
      <formula>#REF!="n/a"</formula>
    </cfRule>
    <cfRule type="expression" dxfId="48" priority="53">
      <formula>#REF!&gt;2.99</formula>
    </cfRule>
  </conditionalFormatting>
  <conditionalFormatting sqref="J185">
    <cfRule type="expression" dxfId="47" priority="50">
      <formula>#REF!="n/a"</formula>
    </cfRule>
    <cfRule type="expression" dxfId="46" priority="51">
      <formula>#REF!&gt;2.99</formula>
    </cfRule>
  </conditionalFormatting>
  <conditionalFormatting sqref="J186">
    <cfRule type="expression" dxfId="45" priority="48">
      <formula>#REF!="n/a"</formula>
    </cfRule>
    <cfRule type="expression" dxfId="44" priority="49">
      <formula>#REF!&gt;2.99</formula>
    </cfRule>
  </conditionalFormatting>
  <conditionalFormatting sqref="J187">
    <cfRule type="expression" dxfId="43" priority="46">
      <formula>#REF!="n/a"</formula>
    </cfRule>
    <cfRule type="expression" dxfId="42" priority="47">
      <formula>#REF!&gt;2.99</formula>
    </cfRule>
  </conditionalFormatting>
  <conditionalFormatting sqref="J188">
    <cfRule type="expression" dxfId="41" priority="44">
      <formula>#REF!="n/a"</formula>
    </cfRule>
    <cfRule type="expression" dxfId="40" priority="45">
      <formula>#REF!&gt;2.99</formula>
    </cfRule>
  </conditionalFormatting>
  <conditionalFormatting sqref="J189">
    <cfRule type="expression" dxfId="39" priority="42">
      <formula>#REF!="n/a"</formula>
    </cfRule>
    <cfRule type="expression" dxfId="38" priority="43">
      <formula>#REF!&gt;2.99</formula>
    </cfRule>
  </conditionalFormatting>
  <conditionalFormatting sqref="J190">
    <cfRule type="expression" dxfId="37" priority="40">
      <formula>#REF!="n/a"</formula>
    </cfRule>
    <cfRule type="expression" dxfId="36" priority="41">
      <formula>#REF!&gt;2.99</formula>
    </cfRule>
  </conditionalFormatting>
  <conditionalFormatting sqref="J191">
    <cfRule type="expression" dxfId="35" priority="38">
      <formula>#REF!="n/a"</formula>
    </cfRule>
    <cfRule type="expression" dxfId="34" priority="39">
      <formula>#REF!&gt;2.99</formula>
    </cfRule>
  </conditionalFormatting>
  <conditionalFormatting sqref="J192">
    <cfRule type="expression" dxfId="33" priority="36">
      <formula>#REF!="n/a"</formula>
    </cfRule>
    <cfRule type="expression" dxfId="32" priority="37">
      <formula>#REF!&gt;2.99</formula>
    </cfRule>
  </conditionalFormatting>
  <conditionalFormatting sqref="J193">
    <cfRule type="expression" dxfId="31" priority="34">
      <formula>#REF!="n/a"</formula>
    </cfRule>
    <cfRule type="expression" dxfId="30" priority="35">
      <formula>#REF!&gt;2.99</formula>
    </cfRule>
  </conditionalFormatting>
  <conditionalFormatting sqref="J194">
    <cfRule type="expression" dxfId="29" priority="32">
      <formula>#REF!="n/a"</formula>
    </cfRule>
    <cfRule type="expression" dxfId="28" priority="33">
      <formula>#REF!&gt;2.99</formula>
    </cfRule>
  </conditionalFormatting>
  <conditionalFormatting sqref="J195">
    <cfRule type="expression" dxfId="27" priority="30">
      <formula>#REF!="n/a"</formula>
    </cfRule>
    <cfRule type="expression" dxfId="26" priority="31">
      <formula>#REF!&gt;2.99</formula>
    </cfRule>
  </conditionalFormatting>
  <conditionalFormatting sqref="J196">
    <cfRule type="expression" dxfId="25" priority="28">
      <formula>#REF!="n/a"</formula>
    </cfRule>
    <cfRule type="expression" dxfId="24" priority="29">
      <formula>#REF!&gt;2.99</formula>
    </cfRule>
  </conditionalFormatting>
  <conditionalFormatting sqref="J197">
    <cfRule type="expression" dxfId="23" priority="26">
      <formula>#REF!="n/a"</formula>
    </cfRule>
    <cfRule type="expression" dxfId="22" priority="27">
      <formula>#REF!&gt;2.99</formula>
    </cfRule>
  </conditionalFormatting>
  <conditionalFormatting sqref="J198">
    <cfRule type="expression" dxfId="21" priority="24">
      <formula>#REF!="n/a"</formula>
    </cfRule>
    <cfRule type="expression" dxfId="20" priority="25">
      <formula>#REF!&gt;2.99</formula>
    </cfRule>
  </conditionalFormatting>
  <conditionalFormatting sqref="J199">
    <cfRule type="expression" dxfId="19" priority="22">
      <formula>#REF!="n/a"</formula>
    </cfRule>
    <cfRule type="expression" dxfId="18" priority="23">
      <formula>#REF!&gt;2.99</formula>
    </cfRule>
  </conditionalFormatting>
  <conditionalFormatting sqref="I148">
    <cfRule type="expression" dxfId="17" priority="18">
      <formula>#REF!="n/a"</formula>
    </cfRule>
    <cfRule type="expression" dxfId="16" priority="19">
      <formula>#REF!&gt;2.99</formula>
    </cfRule>
  </conditionalFormatting>
  <conditionalFormatting sqref="I149:I199">
    <cfRule type="expression" dxfId="15" priority="16">
      <formula>#REF!="n/a"</formula>
    </cfRule>
    <cfRule type="expression" dxfId="14" priority="17">
      <formula>#REF!&gt;2.99</formula>
    </cfRule>
  </conditionalFormatting>
  <conditionalFormatting sqref="L148:R199">
    <cfRule type="notContainsBlanks" dxfId="13" priority="15">
      <formula>LEN(TRIM(#REF!))&gt;0</formula>
    </cfRule>
  </conditionalFormatting>
  <conditionalFormatting sqref="K148:K199">
    <cfRule type="notContainsBlanks" dxfId="12" priority="13">
      <formula>LEN(TRIM(#REF!))&gt;0</formula>
    </cfRule>
  </conditionalFormatting>
  <conditionalFormatting sqref="J200">
    <cfRule type="expression" dxfId="11" priority="11">
      <formula>#REF!="n/a"</formula>
    </cfRule>
    <cfRule type="expression" dxfId="10" priority="12">
      <formula>#REF!&gt;2.99</formula>
    </cfRule>
  </conditionalFormatting>
  <conditionalFormatting sqref="I200">
    <cfRule type="expression" dxfId="9" priority="9">
      <formula>#REF!="n/a"</formula>
    </cfRule>
    <cfRule type="expression" dxfId="8" priority="10">
      <formula>#REF!&gt;2.99</formula>
    </cfRule>
  </conditionalFormatting>
  <conditionalFormatting sqref="L200:R200">
    <cfRule type="notContainsBlanks" dxfId="7" priority="8">
      <formula>LEN(TRIM(#REF!))&gt;0</formula>
    </cfRule>
  </conditionalFormatting>
  <conditionalFormatting sqref="K200">
    <cfRule type="notContainsBlanks" dxfId="6" priority="7">
      <formula>LEN(TRIM(#REF!))&gt;0</formula>
    </cfRule>
  </conditionalFormatting>
  <conditionalFormatting sqref="J201:J214">
    <cfRule type="expression" dxfId="5" priority="5">
      <formula>#REF!="n/a"</formula>
    </cfRule>
    <cfRule type="expression" dxfId="4" priority="6">
      <formula>#REF!&gt;2.99</formula>
    </cfRule>
  </conditionalFormatting>
  <conditionalFormatting sqref="I201:I214">
    <cfRule type="expression" dxfId="3" priority="3">
      <formula>#REF!="n/a"</formula>
    </cfRule>
    <cfRule type="expression" dxfId="2" priority="4">
      <formula>#REF!&gt;2.99</formula>
    </cfRule>
  </conditionalFormatting>
  <conditionalFormatting sqref="L201:R214">
    <cfRule type="notContainsBlanks" dxfId="1" priority="2">
      <formula>LEN(TRIM(#REF!))&gt;0</formula>
    </cfRule>
  </conditionalFormatting>
  <conditionalFormatting sqref="K201:K214">
    <cfRule type="notContainsBlanks" dxfId="0" priority="1">
      <formula>LEN(TRIM(#REF!))&gt;0</formula>
    </cfRule>
  </conditionalFormatting>
  <dataValidations count="3">
    <dataValidation type="list" allowBlank="1" showInputMessage="1" showErrorMessage="1" sqref="O4:O200">
      <formula1>Status</formula1>
    </dataValidation>
    <dataValidation type="list" allowBlank="1" showInputMessage="1" showErrorMessage="1" sqref="G4:G200">
      <formula1>"Y, N"</formula1>
    </dataValidation>
    <dataValidation type="list" allowBlank="1" showInputMessage="1" showErrorMessage="1" sqref="I4:I200">
      <formula1>"Major Non-conformance, Minor Non-conformance, Opportunity for Improvement, Comments / Remarks, Noteworthy / Best Practice"</formula1>
    </dataValidation>
  </dataValidations>
  <printOptions horizontalCentered="1" gridLines="1"/>
  <pageMargins left="0.27559055118110237" right="0.27559055118110237" top="0.39370078740157483" bottom="0.43307086614173229" header="0.23622047244094491" footer="0.19685039370078741"/>
  <pageSetup paperSize="9" scale="43" fitToHeight="100" orientation="landscape" r:id="rId1"/>
  <headerFooter>
    <oddHeader>&amp;RInformation Classification: SEC2 Customer Confidential</oddHeader>
    <oddFooter>&amp;L&amp;"Arial,Normaali"&amp;10File: &amp;F&amp;C&amp;"Arial,Normaali"&amp;10Worksheet: &amp;A&amp;R&amp;"Arial,Normaali"&amp;10Page: &amp;P / &amp;N</oddFooter>
  </headerFooter>
  <ignoredErrors>
    <ignoredError sqref="C4:C5 C143:C144 C147 C10:C11 C15 C18 C59 C31:C32 C115 C52" numberStoredAsText="1"/>
  </ignoredErrors>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W35"/>
  <sheetViews>
    <sheetView zoomScale="89" zoomScaleNormal="89" workbookViewId="0">
      <selection activeCell="B2" sqref="B2"/>
    </sheetView>
  </sheetViews>
  <sheetFormatPr defaultRowHeight="14.4" x14ac:dyDescent="0.3"/>
  <cols>
    <col min="1" max="1" width="1.44140625" style="23" customWidth="1"/>
    <col min="2" max="2" width="24.6640625" customWidth="1"/>
    <col min="3" max="3" width="17.33203125" bestFit="1" customWidth="1"/>
    <col min="4" max="4" width="38.6640625" customWidth="1"/>
    <col min="5" max="5" width="76.44140625" customWidth="1"/>
    <col min="6" max="6" width="28.33203125" customWidth="1"/>
  </cols>
  <sheetData>
    <row r="1" spans="2:257" s="23" customFormat="1" x14ac:dyDescent="0.3">
      <c r="B1" s="23" t="s">
        <v>18</v>
      </c>
    </row>
    <row r="2" spans="2:257" s="8" customFormat="1" ht="57" customHeight="1" x14ac:dyDescent="0.3">
      <c r="B2" s="14" t="s">
        <v>39</v>
      </c>
      <c r="C2" s="33" t="s">
        <v>16</v>
      </c>
      <c r="D2" s="382" t="s">
        <v>17</v>
      </c>
      <c r="E2" s="383"/>
      <c r="F2" s="13"/>
      <c r="G2" s="5"/>
      <c r="H2" s="6"/>
      <c r="I2" s="7"/>
      <c r="J2" s="4"/>
      <c r="K2" s="5"/>
      <c r="L2" s="6"/>
      <c r="M2" s="7"/>
      <c r="N2" s="4"/>
      <c r="O2" s="5"/>
      <c r="P2" s="6"/>
      <c r="Q2" s="7"/>
      <c r="R2" s="4"/>
      <c r="S2" s="5"/>
      <c r="T2" s="6"/>
      <c r="U2" s="7"/>
      <c r="V2" s="4"/>
      <c r="W2" s="5"/>
      <c r="X2" s="6"/>
      <c r="Y2" s="7"/>
      <c r="Z2" s="4"/>
      <c r="AA2" s="5"/>
      <c r="AB2" s="6"/>
      <c r="AC2" s="7"/>
      <c r="AD2" s="4"/>
      <c r="AE2" s="5"/>
      <c r="AF2" s="6"/>
      <c r="AG2" s="7"/>
      <c r="AH2" s="4"/>
      <c r="AI2" s="5"/>
      <c r="AJ2" s="6"/>
      <c r="AK2" s="7"/>
      <c r="AL2" s="4"/>
      <c r="AM2" s="5"/>
      <c r="AN2" s="6"/>
      <c r="AO2" s="7"/>
      <c r="AP2" s="4"/>
      <c r="AQ2" s="5"/>
      <c r="AR2" s="6"/>
      <c r="AS2" s="7"/>
      <c r="AT2" s="4"/>
      <c r="AU2" s="5"/>
      <c r="AV2" s="6"/>
      <c r="AW2" s="7"/>
      <c r="AX2" s="4"/>
      <c r="AY2" s="5"/>
      <c r="AZ2" s="6"/>
      <c r="BA2" s="7"/>
      <c r="BB2" s="4"/>
      <c r="BC2" s="5"/>
      <c r="BD2" s="6"/>
      <c r="BE2" s="7"/>
      <c r="BF2" s="4"/>
      <c r="BG2" s="5"/>
      <c r="BH2" s="6"/>
      <c r="BI2" s="7"/>
      <c r="BJ2" s="4"/>
      <c r="BK2" s="5"/>
      <c r="BL2" s="6"/>
      <c r="BM2" s="7"/>
      <c r="BN2" s="4"/>
      <c r="BO2" s="5"/>
      <c r="BP2" s="6"/>
      <c r="BQ2" s="7"/>
      <c r="BR2" s="4"/>
      <c r="BS2" s="5"/>
      <c r="BT2" s="6"/>
      <c r="BU2" s="7"/>
      <c r="BV2" s="4"/>
      <c r="BW2" s="5"/>
      <c r="BX2" s="6"/>
      <c r="BY2" s="7"/>
      <c r="BZ2" s="4"/>
      <c r="CA2" s="5"/>
      <c r="CB2" s="6"/>
      <c r="CC2" s="7"/>
      <c r="CD2" s="4"/>
      <c r="CE2" s="5"/>
      <c r="CF2" s="6"/>
      <c r="CG2" s="7"/>
      <c r="CH2" s="4"/>
      <c r="CI2" s="5"/>
      <c r="CJ2" s="6"/>
      <c r="CK2" s="7"/>
      <c r="CL2" s="4"/>
      <c r="CM2" s="5"/>
      <c r="CN2" s="6"/>
      <c r="CO2" s="7"/>
      <c r="CP2" s="4"/>
      <c r="CQ2" s="5"/>
      <c r="CR2" s="6"/>
      <c r="CS2" s="7"/>
      <c r="CT2" s="4"/>
      <c r="CU2" s="5"/>
      <c r="CV2" s="6"/>
      <c r="CW2" s="7"/>
      <c r="CX2" s="4"/>
      <c r="CY2" s="5"/>
      <c r="CZ2" s="6"/>
      <c r="DA2" s="7"/>
      <c r="DB2" s="4"/>
      <c r="DC2" s="5"/>
      <c r="DD2" s="6"/>
      <c r="DE2" s="7"/>
      <c r="DF2" s="4"/>
      <c r="DG2" s="5"/>
      <c r="DH2" s="6"/>
      <c r="DI2" s="7"/>
      <c r="DJ2" s="4"/>
      <c r="DK2" s="5"/>
      <c r="DL2" s="6"/>
      <c r="DM2" s="7"/>
      <c r="DN2" s="4"/>
      <c r="DO2" s="5"/>
      <c r="DP2" s="6"/>
      <c r="DQ2" s="7"/>
      <c r="DR2" s="4"/>
      <c r="DS2" s="5"/>
      <c r="DT2" s="6"/>
      <c r="DU2" s="7"/>
      <c r="DV2" s="4"/>
      <c r="DW2" s="5"/>
      <c r="DX2" s="6"/>
      <c r="DY2" s="7"/>
      <c r="DZ2" s="4"/>
      <c r="EA2" s="5"/>
      <c r="EB2" s="6"/>
      <c r="EC2" s="7"/>
      <c r="ED2" s="4"/>
      <c r="EE2" s="5"/>
      <c r="EF2" s="6"/>
      <c r="EG2" s="7"/>
      <c r="EH2" s="4"/>
      <c r="EI2" s="5"/>
      <c r="EJ2" s="6"/>
      <c r="EK2" s="7"/>
      <c r="EL2" s="4"/>
      <c r="EM2" s="5"/>
      <c r="EN2" s="6"/>
      <c r="EO2" s="7"/>
      <c r="EP2" s="4"/>
      <c r="EQ2" s="5"/>
      <c r="ER2" s="6"/>
      <c r="ES2" s="7"/>
      <c r="ET2" s="4"/>
      <c r="EU2" s="5"/>
      <c r="EV2" s="6"/>
      <c r="EW2" s="7"/>
      <c r="EX2" s="4"/>
      <c r="EY2" s="5"/>
      <c r="EZ2" s="6"/>
      <c r="FA2" s="7"/>
      <c r="FB2" s="4"/>
      <c r="FC2" s="5"/>
      <c r="FD2" s="6"/>
      <c r="FE2" s="7"/>
      <c r="FF2" s="4"/>
      <c r="FG2" s="5"/>
      <c r="FH2" s="6"/>
      <c r="FI2" s="7"/>
      <c r="FJ2" s="4"/>
      <c r="FK2" s="5"/>
      <c r="FL2" s="6"/>
      <c r="FM2" s="7"/>
      <c r="FN2" s="4"/>
      <c r="FO2" s="5"/>
      <c r="FP2" s="6"/>
      <c r="FQ2" s="7"/>
      <c r="FR2" s="4"/>
      <c r="FS2" s="5"/>
      <c r="FT2" s="6"/>
      <c r="FU2" s="7"/>
      <c r="FV2" s="4"/>
      <c r="FW2" s="5"/>
      <c r="FX2" s="6"/>
      <c r="FY2" s="7"/>
      <c r="FZ2" s="4"/>
      <c r="GA2" s="5"/>
      <c r="GB2" s="6"/>
      <c r="GC2" s="7"/>
      <c r="GD2" s="4"/>
      <c r="GE2" s="5"/>
      <c r="GF2" s="6"/>
      <c r="GG2" s="7"/>
      <c r="GH2" s="4"/>
      <c r="GI2" s="5"/>
      <c r="GJ2" s="6"/>
      <c r="GK2" s="7"/>
      <c r="GL2" s="4"/>
      <c r="GM2" s="5"/>
      <c r="GN2" s="6"/>
      <c r="GO2" s="7"/>
      <c r="GP2" s="4"/>
      <c r="GQ2" s="5"/>
      <c r="GR2" s="6"/>
      <c r="GS2" s="7"/>
      <c r="GT2" s="4"/>
      <c r="GU2" s="5"/>
      <c r="GV2" s="6"/>
      <c r="GW2" s="7"/>
      <c r="GX2" s="4"/>
      <c r="GY2" s="5"/>
      <c r="GZ2" s="6"/>
      <c r="HA2" s="7"/>
      <c r="HB2" s="4"/>
      <c r="HC2" s="5"/>
      <c r="HD2" s="6"/>
      <c r="HE2" s="7"/>
      <c r="HF2" s="4"/>
      <c r="HG2" s="5"/>
      <c r="HH2" s="6"/>
      <c r="HI2" s="7"/>
      <c r="HJ2" s="4"/>
      <c r="HK2" s="5"/>
      <c r="HL2" s="6"/>
      <c r="HM2" s="7"/>
      <c r="HN2" s="4"/>
      <c r="HO2" s="5"/>
      <c r="HP2" s="6"/>
      <c r="HQ2" s="7"/>
      <c r="HR2" s="4"/>
      <c r="HS2" s="5"/>
      <c r="HT2" s="6"/>
      <c r="HU2" s="7"/>
      <c r="HV2" s="4"/>
      <c r="HW2" s="5"/>
      <c r="HX2" s="6"/>
      <c r="HY2" s="7"/>
      <c r="HZ2" s="4"/>
      <c r="IA2" s="5"/>
      <c r="IB2" s="6"/>
      <c r="IC2" s="7"/>
      <c r="ID2" s="4"/>
      <c r="IE2" s="5"/>
      <c r="IF2" s="6"/>
      <c r="IG2" s="7"/>
      <c r="IH2" s="4"/>
      <c r="II2" s="5"/>
      <c r="IJ2" s="6"/>
      <c r="IK2" s="7"/>
      <c r="IL2" s="4"/>
      <c r="IM2" s="5"/>
      <c r="IN2" s="6"/>
      <c r="IO2" s="7"/>
      <c r="IP2" s="4"/>
      <c r="IQ2" s="5"/>
      <c r="IR2" s="6"/>
      <c r="IS2" s="7"/>
      <c r="IT2" s="4"/>
      <c r="IU2" s="5"/>
      <c r="IV2" s="6"/>
      <c r="IW2" s="7"/>
    </row>
    <row r="3" spans="2:257" s="8" customFormat="1" ht="15" x14ac:dyDescent="0.3">
      <c r="B3" s="4"/>
      <c r="C3" s="5"/>
      <c r="D3" s="6"/>
      <c r="E3" s="7"/>
      <c r="F3" s="4"/>
      <c r="G3" s="5"/>
      <c r="H3" s="6"/>
      <c r="I3" s="7"/>
      <c r="J3" s="4"/>
      <c r="K3" s="5"/>
      <c r="L3" s="6"/>
      <c r="M3" s="7"/>
      <c r="N3" s="4"/>
      <c r="O3" s="5"/>
      <c r="P3" s="6"/>
      <c r="Q3" s="7"/>
      <c r="R3" s="4"/>
      <c r="S3" s="5"/>
      <c r="T3" s="6"/>
      <c r="U3" s="7"/>
      <c r="V3" s="4"/>
      <c r="W3" s="5"/>
      <c r="X3" s="6"/>
      <c r="Y3" s="7"/>
      <c r="Z3" s="4"/>
      <c r="AA3" s="5"/>
      <c r="AB3" s="6"/>
      <c r="AC3" s="7"/>
      <c r="AD3" s="4"/>
      <c r="AE3" s="5"/>
      <c r="AF3" s="6"/>
      <c r="AG3" s="7"/>
      <c r="AH3" s="4"/>
      <c r="AI3" s="5"/>
      <c r="AJ3" s="6"/>
      <c r="AK3" s="7"/>
      <c r="AL3" s="4"/>
      <c r="AM3" s="5"/>
      <c r="AN3" s="6"/>
      <c r="AO3" s="7"/>
      <c r="AP3" s="4"/>
      <c r="AQ3" s="5"/>
      <c r="AR3" s="6"/>
      <c r="AS3" s="7"/>
      <c r="AT3" s="4"/>
      <c r="AU3" s="5"/>
      <c r="AV3" s="6"/>
      <c r="AW3" s="7"/>
      <c r="AX3" s="4"/>
      <c r="AY3" s="5"/>
      <c r="AZ3" s="6"/>
      <c r="BA3" s="7"/>
      <c r="BB3" s="4"/>
      <c r="BC3" s="5"/>
      <c r="BD3" s="6"/>
      <c r="BE3" s="7"/>
      <c r="BF3" s="4"/>
      <c r="BG3" s="5"/>
      <c r="BH3" s="6"/>
      <c r="BI3" s="7"/>
      <c r="BJ3" s="4"/>
      <c r="BK3" s="5"/>
      <c r="BL3" s="6"/>
      <c r="BM3" s="7"/>
      <c r="BN3" s="4"/>
      <c r="BO3" s="5"/>
      <c r="BP3" s="6"/>
      <c r="BQ3" s="7"/>
      <c r="BR3" s="4"/>
      <c r="BS3" s="5"/>
      <c r="BT3" s="6"/>
      <c r="BU3" s="7"/>
      <c r="BV3" s="4"/>
      <c r="BW3" s="5"/>
      <c r="BX3" s="6"/>
      <c r="BY3" s="7"/>
      <c r="BZ3" s="4"/>
      <c r="CA3" s="5"/>
      <c r="CB3" s="6"/>
      <c r="CC3" s="7"/>
      <c r="CD3" s="4"/>
      <c r="CE3" s="5"/>
      <c r="CF3" s="6"/>
      <c r="CG3" s="7"/>
      <c r="CH3" s="4"/>
      <c r="CI3" s="5"/>
      <c r="CJ3" s="6"/>
      <c r="CK3" s="7"/>
      <c r="CL3" s="4"/>
      <c r="CM3" s="5"/>
      <c r="CN3" s="6"/>
      <c r="CO3" s="7"/>
      <c r="CP3" s="4"/>
      <c r="CQ3" s="5"/>
      <c r="CR3" s="6"/>
      <c r="CS3" s="7"/>
      <c r="CT3" s="4"/>
      <c r="CU3" s="5"/>
      <c r="CV3" s="6"/>
      <c r="CW3" s="7"/>
      <c r="CX3" s="4"/>
      <c r="CY3" s="5"/>
      <c r="CZ3" s="6"/>
      <c r="DA3" s="7"/>
      <c r="DB3" s="4"/>
      <c r="DC3" s="5"/>
      <c r="DD3" s="6"/>
      <c r="DE3" s="7"/>
      <c r="DF3" s="4"/>
      <c r="DG3" s="5"/>
      <c r="DH3" s="6"/>
      <c r="DI3" s="7"/>
      <c r="DJ3" s="4"/>
      <c r="DK3" s="5"/>
      <c r="DL3" s="6"/>
      <c r="DM3" s="7"/>
      <c r="DN3" s="4"/>
      <c r="DO3" s="5"/>
      <c r="DP3" s="6"/>
      <c r="DQ3" s="7"/>
      <c r="DR3" s="4"/>
      <c r="DS3" s="5"/>
      <c r="DT3" s="6"/>
      <c r="DU3" s="7"/>
      <c r="DV3" s="4"/>
      <c r="DW3" s="5"/>
      <c r="DX3" s="6"/>
      <c r="DY3" s="7"/>
      <c r="DZ3" s="4"/>
      <c r="EA3" s="5"/>
      <c r="EB3" s="6"/>
      <c r="EC3" s="7"/>
      <c r="ED3" s="4"/>
      <c r="EE3" s="5"/>
      <c r="EF3" s="6"/>
      <c r="EG3" s="7"/>
      <c r="EH3" s="4"/>
      <c r="EI3" s="5"/>
      <c r="EJ3" s="6"/>
      <c r="EK3" s="7"/>
      <c r="EL3" s="4"/>
      <c r="EM3" s="5"/>
      <c r="EN3" s="6"/>
      <c r="EO3" s="7"/>
      <c r="EP3" s="4"/>
      <c r="EQ3" s="5"/>
      <c r="ER3" s="6"/>
      <c r="ES3" s="7"/>
      <c r="ET3" s="4"/>
      <c r="EU3" s="5"/>
      <c r="EV3" s="6"/>
      <c r="EW3" s="7"/>
      <c r="EX3" s="4"/>
      <c r="EY3" s="5"/>
      <c r="EZ3" s="6"/>
      <c r="FA3" s="7"/>
      <c r="FB3" s="4"/>
      <c r="FC3" s="5"/>
      <c r="FD3" s="6"/>
      <c r="FE3" s="7"/>
      <c r="FF3" s="4"/>
      <c r="FG3" s="5"/>
      <c r="FH3" s="6"/>
      <c r="FI3" s="7"/>
      <c r="FJ3" s="4"/>
      <c r="FK3" s="5"/>
      <c r="FL3" s="6"/>
      <c r="FM3" s="7"/>
      <c r="FN3" s="4"/>
      <c r="FO3" s="5"/>
      <c r="FP3" s="6"/>
      <c r="FQ3" s="7"/>
      <c r="FR3" s="4"/>
      <c r="FS3" s="5"/>
      <c r="FT3" s="6"/>
      <c r="FU3" s="7"/>
      <c r="FV3" s="4"/>
      <c r="FW3" s="5"/>
      <c r="FX3" s="6"/>
      <c r="FY3" s="7"/>
      <c r="FZ3" s="4"/>
      <c r="GA3" s="5"/>
      <c r="GB3" s="6"/>
      <c r="GC3" s="7"/>
      <c r="GD3" s="4"/>
      <c r="GE3" s="5"/>
      <c r="GF3" s="6"/>
      <c r="GG3" s="7"/>
      <c r="GH3" s="4"/>
      <c r="GI3" s="5"/>
      <c r="GJ3" s="6"/>
      <c r="GK3" s="7"/>
      <c r="GL3" s="4"/>
      <c r="GM3" s="5"/>
      <c r="GN3" s="6"/>
      <c r="GO3" s="7"/>
      <c r="GP3" s="4"/>
      <c r="GQ3" s="5"/>
      <c r="GR3" s="6"/>
      <c r="GS3" s="7"/>
      <c r="GT3" s="4"/>
      <c r="GU3" s="5"/>
      <c r="GV3" s="6"/>
      <c r="GW3" s="7"/>
      <c r="GX3" s="4"/>
      <c r="GY3" s="5"/>
      <c r="GZ3" s="6"/>
      <c r="HA3" s="7"/>
      <c r="HB3" s="4"/>
      <c r="HC3" s="5"/>
      <c r="HD3" s="6"/>
      <c r="HE3" s="7"/>
      <c r="HF3" s="4"/>
      <c r="HG3" s="5"/>
      <c r="HH3" s="6"/>
      <c r="HI3" s="7"/>
      <c r="HJ3" s="4"/>
      <c r="HK3" s="5"/>
      <c r="HL3" s="6"/>
      <c r="HM3" s="7"/>
      <c r="HN3" s="4"/>
      <c r="HO3" s="5"/>
      <c r="HP3" s="6"/>
      <c r="HQ3" s="7"/>
      <c r="HR3" s="4"/>
      <c r="HS3" s="5"/>
      <c r="HT3" s="6"/>
      <c r="HU3" s="7"/>
      <c r="HV3" s="4"/>
      <c r="HW3" s="5"/>
      <c r="HX3" s="6"/>
      <c r="HY3" s="7"/>
      <c r="HZ3" s="4"/>
      <c r="IA3" s="5"/>
      <c r="IB3" s="6"/>
      <c r="IC3" s="7"/>
      <c r="ID3" s="4"/>
      <c r="IE3" s="5"/>
      <c r="IF3" s="6"/>
      <c r="IG3" s="7"/>
      <c r="IH3" s="4"/>
      <c r="II3" s="5"/>
      <c r="IJ3" s="6"/>
      <c r="IK3" s="7"/>
      <c r="IL3" s="4"/>
      <c r="IM3" s="5"/>
      <c r="IN3" s="6"/>
      <c r="IO3" s="7"/>
      <c r="IP3" s="4"/>
      <c r="IQ3" s="5"/>
      <c r="IR3" s="6"/>
      <c r="IS3" s="7"/>
      <c r="IT3" s="4"/>
      <c r="IU3" s="5"/>
      <c r="IV3" s="6"/>
      <c r="IW3" s="7"/>
    </row>
    <row r="4" spans="2:257" s="8" customFormat="1" ht="15" x14ac:dyDescent="0.3">
      <c r="B4" s="46" t="s">
        <v>42</v>
      </c>
      <c r="C4" s="47" t="s">
        <v>43</v>
      </c>
      <c r="D4" s="6"/>
      <c r="E4" s="7"/>
      <c r="F4" s="4"/>
      <c r="G4" s="5"/>
      <c r="H4" s="6"/>
      <c r="I4" s="7"/>
      <c r="J4" s="4"/>
      <c r="K4" s="5"/>
      <c r="L4" s="6"/>
      <c r="M4" s="7"/>
      <c r="N4" s="4"/>
      <c r="O4" s="5"/>
      <c r="P4" s="6"/>
      <c r="Q4" s="7"/>
      <c r="R4" s="4"/>
      <c r="S4" s="5"/>
      <c r="T4" s="6"/>
      <c r="U4" s="7"/>
      <c r="V4" s="4"/>
      <c r="W4" s="5"/>
      <c r="X4" s="6"/>
      <c r="Y4" s="7"/>
      <c r="Z4" s="4"/>
      <c r="AA4" s="5"/>
      <c r="AB4" s="6"/>
      <c r="AC4" s="7"/>
      <c r="AD4" s="4"/>
      <c r="AE4" s="5"/>
      <c r="AF4" s="6"/>
      <c r="AG4" s="7"/>
      <c r="AH4" s="4"/>
      <c r="AI4" s="5"/>
      <c r="AJ4" s="6"/>
      <c r="AK4" s="7"/>
      <c r="AL4" s="4"/>
      <c r="AM4" s="5"/>
      <c r="AN4" s="6"/>
      <c r="AO4" s="7"/>
      <c r="AP4" s="4"/>
      <c r="AQ4" s="5"/>
      <c r="AR4" s="6"/>
      <c r="AS4" s="7"/>
      <c r="AT4" s="4"/>
      <c r="AU4" s="5"/>
      <c r="AV4" s="6"/>
      <c r="AW4" s="7"/>
      <c r="AX4" s="4"/>
      <c r="AY4" s="5"/>
      <c r="AZ4" s="6"/>
      <c r="BA4" s="7"/>
      <c r="BB4" s="4"/>
      <c r="BC4" s="5"/>
      <c r="BD4" s="6"/>
      <c r="BE4" s="7"/>
      <c r="BF4" s="4"/>
      <c r="BG4" s="5"/>
      <c r="BH4" s="6"/>
      <c r="BI4" s="7"/>
      <c r="BJ4" s="4"/>
      <c r="BK4" s="5"/>
      <c r="BL4" s="6"/>
      <c r="BM4" s="7"/>
      <c r="BN4" s="4"/>
      <c r="BO4" s="5"/>
      <c r="BP4" s="6"/>
      <c r="BQ4" s="7"/>
      <c r="BR4" s="4"/>
      <c r="BS4" s="5"/>
      <c r="BT4" s="6"/>
      <c r="BU4" s="7"/>
      <c r="BV4" s="4"/>
      <c r="BW4" s="5"/>
      <c r="BX4" s="6"/>
      <c r="BY4" s="7"/>
      <c r="BZ4" s="4"/>
      <c r="CA4" s="5"/>
      <c r="CB4" s="6"/>
      <c r="CC4" s="7"/>
      <c r="CD4" s="4"/>
      <c r="CE4" s="5"/>
      <c r="CF4" s="6"/>
      <c r="CG4" s="7"/>
      <c r="CH4" s="4"/>
      <c r="CI4" s="5"/>
      <c r="CJ4" s="6"/>
      <c r="CK4" s="7"/>
      <c r="CL4" s="4"/>
      <c r="CM4" s="5"/>
      <c r="CN4" s="6"/>
      <c r="CO4" s="7"/>
      <c r="CP4" s="4"/>
      <c r="CQ4" s="5"/>
      <c r="CR4" s="6"/>
      <c r="CS4" s="7"/>
      <c r="CT4" s="4"/>
      <c r="CU4" s="5"/>
      <c r="CV4" s="6"/>
      <c r="CW4" s="7"/>
      <c r="CX4" s="4"/>
      <c r="CY4" s="5"/>
      <c r="CZ4" s="6"/>
      <c r="DA4" s="7"/>
      <c r="DB4" s="4"/>
      <c r="DC4" s="5"/>
      <c r="DD4" s="6"/>
      <c r="DE4" s="7"/>
      <c r="DF4" s="4"/>
      <c r="DG4" s="5"/>
      <c r="DH4" s="6"/>
      <c r="DI4" s="7"/>
      <c r="DJ4" s="4"/>
      <c r="DK4" s="5"/>
      <c r="DL4" s="6"/>
      <c r="DM4" s="7"/>
      <c r="DN4" s="4"/>
      <c r="DO4" s="5"/>
      <c r="DP4" s="6"/>
      <c r="DQ4" s="7"/>
      <c r="DR4" s="4"/>
      <c r="DS4" s="5"/>
      <c r="DT4" s="6"/>
      <c r="DU4" s="7"/>
      <c r="DV4" s="4"/>
      <c r="DW4" s="5"/>
      <c r="DX4" s="6"/>
      <c r="DY4" s="7"/>
      <c r="DZ4" s="4"/>
      <c r="EA4" s="5"/>
      <c r="EB4" s="6"/>
      <c r="EC4" s="7"/>
      <c r="ED4" s="4"/>
      <c r="EE4" s="5"/>
      <c r="EF4" s="6"/>
      <c r="EG4" s="7"/>
      <c r="EH4" s="4"/>
      <c r="EI4" s="5"/>
      <c r="EJ4" s="6"/>
      <c r="EK4" s="7"/>
      <c r="EL4" s="4"/>
      <c r="EM4" s="5"/>
      <c r="EN4" s="6"/>
      <c r="EO4" s="7"/>
      <c r="EP4" s="4"/>
      <c r="EQ4" s="5"/>
      <c r="ER4" s="6"/>
      <c r="ES4" s="7"/>
      <c r="ET4" s="4"/>
      <c r="EU4" s="5"/>
      <c r="EV4" s="6"/>
      <c r="EW4" s="7"/>
      <c r="EX4" s="4"/>
      <c r="EY4" s="5"/>
      <c r="EZ4" s="6"/>
      <c r="FA4" s="7"/>
      <c r="FB4" s="4"/>
      <c r="FC4" s="5"/>
      <c r="FD4" s="6"/>
      <c r="FE4" s="7"/>
      <c r="FF4" s="4"/>
      <c r="FG4" s="5"/>
      <c r="FH4" s="6"/>
      <c r="FI4" s="7"/>
      <c r="FJ4" s="4"/>
      <c r="FK4" s="5"/>
      <c r="FL4" s="6"/>
      <c r="FM4" s="7"/>
      <c r="FN4" s="4"/>
      <c r="FO4" s="5"/>
      <c r="FP4" s="6"/>
      <c r="FQ4" s="7"/>
      <c r="FR4" s="4"/>
      <c r="FS4" s="5"/>
      <c r="FT4" s="6"/>
      <c r="FU4" s="7"/>
      <c r="FV4" s="4"/>
      <c r="FW4" s="5"/>
      <c r="FX4" s="6"/>
      <c r="FY4" s="7"/>
      <c r="FZ4" s="4"/>
      <c r="GA4" s="5"/>
      <c r="GB4" s="6"/>
      <c r="GC4" s="7"/>
      <c r="GD4" s="4"/>
      <c r="GE4" s="5"/>
      <c r="GF4" s="6"/>
      <c r="GG4" s="7"/>
      <c r="GH4" s="4"/>
      <c r="GI4" s="5"/>
      <c r="GJ4" s="6"/>
      <c r="GK4" s="7"/>
      <c r="GL4" s="4"/>
      <c r="GM4" s="5"/>
      <c r="GN4" s="6"/>
      <c r="GO4" s="7"/>
      <c r="GP4" s="4"/>
      <c r="GQ4" s="5"/>
      <c r="GR4" s="6"/>
      <c r="GS4" s="7"/>
      <c r="GT4" s="4"/>
      <c r="GU4" s="5"/>
      <c r="GV4" s="6"/>
      <c r="GW4" s="7"/>
      <c r="GX4" s="4"/>
      <c r="GY4" s="5"/>
      <c r="GZ4" s="6"/>
      <c r="HA4" s="7"/>
      <c r="HB4" s="4"/>
      <c r="HC4" s="5"/>
      <c r="HD4" s="6"/>
      <c r="HE4" s="7"/>
      <c r="HF4" s="4"/>
      <c r="HG4" s="5"/>
      <c r="HH4" s="6"/>
      <c r="HI4" s="7"/>
      <c r="HJ4" s="4"/>
      <c r="HK4" s="5"/>
      <c r="HL4" s="6"/>
      <c r="HM4" s="7"/>
      <c r="HN4" s="4"/>
      <c r="HO4" s="5"/>
      <c r="HP4" s="6"/>
      <c r="HQ4" s="7"/>
      <c r="HR4" s="4"/>
      <c r="HS4" s="5"/>
      <c r="HT4" s="6"/>
      <c r="HU4" s="7"/>
      <c r="HV4" s="4"/>
      <c r="HW4" s="5"/>
      <c r="HX4" s="6"/>
      <c r="HY4" s="7"/>
      <c r="HZ4" s="4"/>
      <c r="IA4" s="5"/>
      <c r="IB4" s="6"/>
      <c r="IC4" s="7"/>
      <c r="ID4" s="4"/>
      <c r="IE4" s="5"/>
      <c r="IF4" s="6"/>
      <c r="IG4" s="7"/>
      <c r="IH4" s="4"/>
      <c r="II4" s="5"/>
      <c r="IJ4" s="6"/>
      <c r="IK4" s="7"/>
      <c r="IL4" s="4"/>
      <c r="IM4" s="5"/>
      <c r="IN4" s="6"/>
      <c r="IO4" s="7"/>
      <c r="IP4" s="4"/>
      <c r="IQ4" s="5"/>
      <c r="IR4" s="6"/>
      <c r="IS4" s="7"/>
      <c r="IT4" s="4"/>
      <c r="IU4" s="5"/>
      <c r="IV4" s="6"/>
      <c r="IW4" s="7"/>
    </row>
    <row r="5" spans="2:257" s="8" customFormat="1" ht="15" x14ac:dyDescent="0.3">
      <c r="B5" s="4"/>
      <c r="C5" s="5"/>
      <c r="D5" s="6"/>
      <c r="E5" s="7"/>
      <c r="F5" s="4"/>
      <c r="G5" s="5"/>
      <c r="H5" s="6"/>
      <c r="I5" s="7"/>
      <c r="J5" s="4"/>
      <c r="K5" s="5"/>
      <c r="L5" s="6"/>
      <c r="M5" s="7"/>
      <c r="N5" s="4"/>
      <c r="O5" s="5"/>
      <c r="P5" s="6"/>
      <c r="Q5" s="7"/>
      <c r="R5" s="4"/>
      <c r="S5" s="5"/>
      <c r="T5" s="6"/>
      <c r="U5" s="7"/>
      <c r="V5" s="4"/>
      <c r="W5" s="5"/>
      <c r="X5" s="6"/>
      <c r="Y5" s="7"/>
      <c r="Z5" s="4"/>
      <c r="AA5" s="5"/>
      <c r="AB5" s="6"/>
      <c r="AC5" s="7"/>
      <c r="AD5" s="4"/>
      <c r="AE5" s="5"/>
      <c r="AF5" s="6"/>
      <c r="AG5" s="7"/>
      <c r="AH5" s="4"/>
      <c r="AI5" s="5"/>
      <c r="AJ5" s="6"/>
      <c r="AK5" s="7"/>
      <c r="AL5" s="4"/>
      <c r="AM5" s="5"/>
      <c r="AN5" s="6"/>
      <c r="AO5" s="7"/>
      <c r="AP5" s="4"/>
      <c r="AQ5" s="5"/>
      <c r="AR5" s="6"/>
      <c r="AS5" s="7"/>
      <c r="AT5" s="4"/>
      <c r="AU5" s="5"/>
      <c r="AV5" s="6"/>
      <c r="AW5" s="7"/>
      <c r="AX5" s="4"/>
      <c r="AY5" s="5"/>
      <c r="AZ5" s="6"/>
      <c r="BA5" s="7"/>
      <c r="BB5" s="4"/>
      <c r="BC5" s="5"/>
      <c r="BD5" s="6"/>
      <c r="BE5" s="7"/>
      <c r="BF5" s="4"/>
      <c r="BG5" s="5"/>
      <c r="BH5" s="6"/>
      <c r="BI5" s="7"/>
      <c r="BJ5" s="4"/>
      <c r="BK5" s="5"/>
      <c r="BL5" s="6"/>
      <c r="BM5" s="7"/>
      <c r="BN5" s="4"/>
      <c r="BO5" s="5"/>
      <c r="BP5" s="6"/>
      <c r="BQ5" s="7"/>
      <c r="BR5" s="4"/>
      <c r="BS5" s="5"/>
      <c r="BT5" s="6"/>
      <c r="BU5" s="7"/>
      <c r="BV5" s="4"/>
      <c r="BW5" s="5"/>
      <c r="BX5" s="6"/>
      <c r="BY5" s="7"/>
      <c r="BZ5" s="4"/>
      <c r="CA5" s="5"/>
      <c r="CB5" s="6"/>
      <c r="CC5" s="7"/>
      <c r="CD5" s="4"/>
      <c r="CE5" s="5"/>
      <c r="CF5" s="6"/>
      <c r="CG5" s="7"/>
      <c r="CH5" s="4"/>
      <c r="CI5" s="5"/>
      <c r="CJ5" s="6"/>
      <c r="CK5" s="7"/>
      <c r="CL5" s="4"/>
      <c r="CM5" s="5"/>
      <c r="CN5" s="6"/>
      <c r="CO5" s="7"/>
      <c r="CP5" s="4"/>
      <c r="CQ5" s="5"/>
      <c r="CR5" s="6"/>
      <c r="CS5" s="7"/>
      <c r="CT5" s="4"/>
      <c r="CU5" s="5"/>
      <c r="CV5" s="6"/>
      <c r="CW5" s="7"/>
      <c r="CX5" s="4"/>
      <c r="CY5" s="5"/>
      <c r="CZ5" s="6"/>
      <c r="DA5" s="7"/>
      <c r="DB5" s="4"/>
      <c r="DC5" s="5"/>
      <c r="DD5" s="6"/>
      <c r="DE5" s="7"/>
      <c r="DF5" s="4"/>
      <c r="DG5" s="5"/>
      <c r="DH5" s="6"/>
      <c r="DI5" s="7"/>
      <c r="DJ5" s="4"/>
      <c r="DK5" s="5"/>
      <c r="DL5" s="6"/>
      <c r="DM5" s="7"/>
      <c r="DN5" s="4"/>
      <c r="DO5" s="5"/>
      <c r="DP5" s="6"/>
      <c r="DQ5" s="7"/>
      <c r="DR5" s="4"/>
      <c r="DS5" s="5"/>
      <c r="DT5" s="6"/>
      <c r="DU5" s="7"/>
      <c r="DV5" s="4"/>
      <c r="DW5" s="5"/>
      <c r="DX5" s="6"/>
      <c r="DY5" s="7"/>
      <c r="DZ5" s="4"/>
      <c r="EA5" s="5"/>
      <c r="EB5" s="6"/>
      <c r="EC5" s="7"/>
      <c r="ED5" s="4"/>
      <c r="EE5" s="5"/>
      <c r="EF5" s="6"/>
      <c r="EG5" s="7"/>
      <c r="EH5" s="4"/>
      <c r="EI5" s="5"/>
      <c r="EJ5" s="6"/>
      <c r="EK5" s="7"/>
      <c r="EL5" s="4"/>
      <c r="EM5" s="5"/>
      <c r="EN5" s="6"/>
      <c r="EO5" s="7"/>
      <c r="EP5" s="4"/>
      <c r="EQ5" s="5"/>
      <c r="ER5" s="6"/>
      <c r="ES5" s="7"/>
      <c r="ET5" s="4"/>
      <c r="EU5" s="5"/>
      <c r="EV5" s="6"/>
      <c r="EW5" s="7"/>
      <c r="EX5" s="4"/>
      <c r="EY5" s="5"/>
      <c r="EZ5" s="6"/>
      <c r="FA5" s="7"/>
      <c r="FB5" s="4"/>
      <c r="FC5" s="5"/>
      <c r="FD5" s="6"/>
      <c r="FE5" s="7"/>
      <c r="FF5" s="4"/>
      <c r="FG5" s="5"/>
      <c r="FH5" s="6"/>
      <c r="FI5" s="7"/>
      <c r="FJ5" s="4"/>
      <c r="FK5" s="5"/>
      <c r="FL5" s="6"/>
      <c r="FM5" s="7"/>
      <c r="FN5" s="4"/>
      <c r="FO5" s="5"/>
      <c r="FP5" s="6"/>
      <c r="FQ5" s="7"/>
      <c r="FR5" s="4"/>
      <c r="FS5" s="5"/>
      <c r="FT5" s="6"/>
      <c r="FU5" s="7"/>
      <c r="FV5" s="4"/>
      <c r="FW5" s="5"/>
      <c r="FX5" s="6"/>
      <c r="FY5" s="7"/>
      <c r="FZ5" s="4"/>
      <c r="GA5" s="5"/>
      <c r="GB5" s="6"/>
      <c r="GC5" s="7"/>
      <c r="GD5" s="4"/>
      <c r="GE5" s="5"/>
      <c r="GF5" s="6"/>
      <c r="GG5" s="7"/>
      <c r="GH5" s="4"/>
      <c r="GI5" s="5"/>
      <c r="GJ5" s="6"/>
      <c r="GK5" s="7"/>
      <c r="GL5" s="4"/>
      <c r="GM5" s="5"/>
      <c r="GN5" s="6"/>
      <c r="GO5" s="7"/>
      <c r="GP5" s="4"/>
      <c r="GQ5" s="5"/>
      <c r="GR5" s="6"/>
      <c r="GS5" s="7"/>
      <c r="GT5" s="4"/>
      <c r="GU5" s="5"/>
      <c r="GV5" s="6"/>
      <c r="GW5" s="7"/>
      <c r="GX5" s="4"/>
      <c r="GY5" s="5"/>
      <c r="GZ5" s="6"/>
      <c r="HA5" s="7"/>
      <c r="HB5" s="4"/>
      <c r="HC5" s="5"/>
      <c r="HD5" s="6"/>
      <c r="HE5" s="7"/>
      <c r="HF5" s="4"/>
      <c r="HG5" s="5"/>
      <c r="HH5" s="6"/>
      <c r="HI5" s="7"/>
      <c r="HJ5" s="4"/>
      <c r="HK5" s="5"/>
      <c r="HL5" s="6"/>
      <c r="HM5" s="7"/>
      <c r="HN5" s="4"/>
      <c r="HO5" s="5"/>
      <c r="HP5" s="6"/>
      <c r="HQ5" s="7"/>
      <c r="HR5" s="4"/>
      <c r="HS5" s="5"/>
      <c r="HT5" s="6"/>
      <c r="HU5" s="7"/>
      <c r="HV5" s="4"/>
      <c r="HW5" s="5"/>
      <c r="HX5" s="6"/>
      <c r="HY5" s="7"/>
      <c r="HZ5" s="4"/>
      <c r="IA5" s="5"/>
      <c r="IB5" s="6"/>
      <c r="IC5" s="7"/>
      <c r="ID5" s="4"/>
      <c r="IE5" s="5"/>
      <c r="IF5" s="6"/>
      <c r="IG5" s="7"/>
      <c r="IH5" s="4"/>
      <c r="II5" s="5"/>
      <c r="IJ5" s="6"/>
      <c r="IK5" s="7"/>
      <c r="IL5" s="4"/>
      <c r="IM5" s="5"/>
      <c r="IN5" s="6"/>
      <c r="IO5" s="7"/>
      <c r="IP5" s="4"/>
      <c r="IQ5" s="5"/>
      <c r="IR5" s="6"/>
      <c r="IS5" s="7"/>
      <c r="IT5" s="4"/>
      <c r="IU5" s="5"/>
      <c r="IV5" s="6"/>
      <c r="IW5" s="7"/>
    </row>
    <row r="6" spans="2:257" s="8" customFormat="1" ht="15.6" x14ac:dyDescent="0.3">
      <c r="B6" s="27" t="s">
        <v>44</v>
      </c>
      <c r="C6" s="48"/>
      <c r="D6" s="49"/>
      <c r="E6" s="50"/>
      <c r="F6" s="4"/>
      <c r="G6" s="5"/>
      <c r="H6" s="6"/>
      <c r="I6" s="7"/>
      <c r="J6" s="4"/>
      <c r="K6" s="5"/>
      <c r="L6" s="6"/>
      <c r="M6" s="7"/>
      <c r="N6" s="4"/>
      <c r="O6" s="5"/>
      <c r="P6" s="6"/>
      <c r="Q6" s="7"/>
      <c r="R6" s="4"/>
      <c r="S6" s="5"/>
      <c r="T6" s="6"/>
      <c r="U6" s="7"/>
      <c r="V6" s="4"/>
      <c r="W6" s="5"/>
      <c r="X6" s="6"/>
      <c r="Y6" s="7"/>
      <c r="Z6" s="4"/>
      <c r="AA6" s="5"/>
      <c r="AB6" s="6"/>
      <c r="AC6" s="7"/>
      <c r="AD6" s="4"/>
      <c r="AE6" s="5"/>
      <c r="AF6" s="6"/>
      <c r="AG6" s="7"/>
      <c r="AH6" s="4"/>
      <c r="AI6" s="5"/>
      <c r="AJ6" s="6"/>
      <c r="AK6" s="7"/>
      <c r="AL6" s="4"/>
      <c r="AM6" s="5"/>
      <c r="AN6" s="6"/>
      <c r="AO6" s="7"/>
      <c r="AP6" s="4"/>
      <c r="AQ6" s="5"/>
      <c r="AR6" s="6"/>
      <c r="AS6" s="7"/>
      <c r="AT6" s="4"/>
      <c r="AU6" s="5"/>
      <c r="AV6" s="6"/>
      <c r="AW6" s="7"/>
      <c r="AX6" s="4"/>
      <c r="AY6" s="5"/>
      <c r="AZ6" s="6"/>
      <c r="BA6" s="7"/>
      <c r="BB6" s="4"/>
      <c r="BC6" s="5"/>
      <c r="BD6" s="6"/>
      <c r="BE6" s="7"/>
      <c r="BF6" s="4"/>
      <c r="BG6" s="5"/>
      <c r="BH6" s="6"/>
      <c r="BI6" s="7"/>
      <c r="BJ6" s="4"/>
      <c r="BK6" s="5"/>
      <c r="BL6" s="6"/>
      <c r="BM6" s="7"/>
      <c r="BN6" s="4"/>
      <c r="BO6" s="5"/>
      <c r="BP6" s="6"/>
      <c r="BQ6" s="7"/>
      <c r="BR6" s="4"/>
      <c r="BS6" s="5"/>
      <c r="BT6" s="6"/>
      <c r="BU6" s="7"/>
      <c r="BV6" s="4"/>
      <c r="BW6" s="5"/>
      <c r="BX6" s="6"/>
      <c r="BY6" s="7"/>
      <c r="BZ6" s="4"/>
      <c r="CA6" s="5"/>
      <c r="CB6" s="6"/>
      <c r="CC6" s="7"/>
      <c r="CD6" s="4"/>
      <c r="CE6" s="5"/>
      <c r="CF6" s="6"/>
      <c r="CG6" s="7"/>
      <c r="CH6" s="4"/>
      <c r="CI6" s="5"/>
      <c r="CJ6" s="6"/>
      <c r="CK6" s="7"/>
      <c r="CL6" s="4"/>
      <c r="CM6" s="5"/>
      <c r="CN6" s="6"/>
      <c r="CO6" s="7"/>
      <c r="CP6" s="4"/>
      <c r="CQ6" s="5"/>
      <c r="CR6" s="6"/>
      <c r="CS6" s="7"/>
      <c r="CT6" s="4"/>
      <c r="CU6" s="5"/>
      <c r="CV6" s="6"/>
      <c r="CW6" s="7"/>
      <c r="CX6" s="4"/>
      <c r="CY6" s="5"/>
      <c r="CZ6" s="6"/>
      <c r="DA6" s="7"/>
      <c r="DB6" s="4"/>
      <c r="DC6" s="5"/>
      <c r="DD6" s="6"/>
      <c r="DE6" s="7"/>
      <c r="DF6" s="4"/>
      <c r="DG6" s="5"/>
      <c r="DH6" s="6"/>
      <c r="DI6" s="7"/>
      <c r="DJ6" s="4"/>
      <c r="DK6" s="5"/>
      <c r="DL6" s="6"/>
      <c r="DM6" s="7"/>
      <c r="DN6" s="4"/>
      <c r="DO6" s="5"/>
      <c r="DP6" s="6"/>
      <c r="DQ6" s="7"/>
      <c r="DR6" s="4"/>
      <c r="DS6" s="5"/>
      <c r="DT6" s="6"/>
      <c r="DU6" s="7"/>
      <c r="DV6" s="4"/>
      <c r="DW6" s="5"/>
      <c r="DX6" s="6"/>
      <c r="DY6" s="7"/>
      <c r="DZ6" s="4"/>
      <c r="EA6" s="5"/>
      <c r="EB6" s="6"/>
      <c r="EC6" s="7"/>
      <c r="ED6" s="4"/>
      <c r="EE6" s="5"/>
      <c r="EF6" s="6"/>
      <c r="EG6" s="7"/>
      <c r="EH6" s="4"/>
      <c r="EI6" s="5"/>
      <c r="EJ6" s="6"/>
      <c r="EK6" s="7"/>
      <c r="EL6" s="4"/>
      <c r="EM6" s="5"/>
      <c r="EN6" s="6"/>
      <c r="EO6" s="7"/>
      <c r="EP6" s="4"/>
      <c r="EQ6" s="5"/>
      <c r="ER6" s="6"/>
      <c r="ES6" s="7"/>
      <c r="ET6" s="4"/>
      <c r="EU6" s="5"/>
      <c r="EV6" s="6"/>
      <c r="EW6" s="7"/>
      <c r="EX6" s="4"/>
      <c r="EY6" s="5"/>
      <c r="EZ6" s="6"/>
      <c r="FA6" s="7"/>
      <c r="FB6" s="4"/>
      <c r="FC6" s="5"/>
      <c r="FD6" s="6"/>
      <c r="FE6" s="7"/>
      <c r="FF6" s="4"/>
      <c r="FG6" s="5"/>
      <c r="FH6" s="6"/>
      <c r="FI6" s="7"/>
      <c r="FJ6" s="4"/>
      <c r="FK6" s="5"/>
      <c r="FL6" s="6"/>
      <c r="FM6" s="7"/>
      <c r="FN6" s="4"/>
      <c r="FO6" s="5"/>
      <c r="FP6" s="6"/>
      <c r="FQ6" s="7"/>
      <c r="FR6" s="4"/>
      <c r="FS6" s="5"/>
      <c r="FT6" s="6"/>
      <c r="FU6" s="7"/>
      <c r="FV6" s="4"/>
      <c r="FW6" s="5"/>
      <c r="FX6" s="6"/>
      <c r="FY6" s="7"/>
      <c r="FZ6" s="4"/>
      <c r="GA6" s="5"/>
      <c r="GB6" s="6"/>
      <c r="GC6" s="7"/>
      <c r="GD6" s="4"/>
      <c r="GE6" s="5"/>
      <c r="GF6" s="6"/>
      <c r="GG6" s="7"/>
      <c r="GH6" s="4"/>
      <c r="GI6" s="5"/>
      <c r="GJ6" s="6"/>
      <c r="GK6" s="7"/>
      <c r="GL6" s="4"/>
      <c r="GM6" s="5"/>
      <c r="GN6" s="6"/>
      <c r="GO6" s="7"/>
      <c r="GP6" s="4"/>
      <c r="GQ6" s="5"/>
      <c r="GR6" s="6"/>
      <c r="GS6" s="7"/>
      <c r="GT6" s="4"/>
      <c r="GU6" s="5"/>
      <c r="GV6" s="6"/>
      <c r="GW6" s="7"/>
      <c r="GX6" s="4"/>
      <c r="GY6" s="5"/>
      <c r="GZ6" s="6"/>
      <c r="HA6" s="7"/>
      <c r="HB6" s="4"/>
      <c r="HC6" s="5"/>
      <c r="HD6" s="6"/>
      <c r="HE6" s="7"/>
      <c r="HF6" s="4"/>
      <c r="HG6" s="5"/>
      <c r="HH6" s="6"/>
      <c r="HI6" s="7"/>
      <c r="HJ6" s="4"/>
      <c r="HK6" s="5"/>
      <c r="HL6" s="6"/>
      <c r="HM6" s="7"/>
      <c r="HN6" s="4"/>
      <c r="HO6" s="5"/>
      <c r="HP6" s="6"/>
      <c r="HQ6" s="7"/>
      <c r="HR6" s="4"/>
      <c r="HS6" s="5"/>
      <c r="HT6" s="6"/>
      <c r="HU6" s="7"/>
      <c r="HV6" s="4"/>
      <c r="HW6" s="5"/>
      <c r="HX6" s="6"/>
      <c r="HY6" s="7"/>
      <c r="HZ6" s="4"/>
      <c r="IA6" s="5"/>
      <c r="IB6" s="6"/>
      <c r="IC6" s="7"/>
      <c r="ID6" s="4"/>
      <c r="IE6" s="5"/>
      <c r="IF6" s="6"/>
      <c r="IG6" s="7"/>
      <c r="IH6" s="4"/>
      <c r="II6" s="5"/>
      <c r="IJ6" s="6"/>
      <c r="IK6" s="7"/>
      <c r="IL6" s="4"/>
      <c r="IM6" s="5"/>
      <c r="IN6" s="6"/>
      <c r="IO6" s="7"/>
      <c r="IP6" s="4"/>
      <c r="IQ6" s="5"/>
      <c r="IR6" s="6"/>
      <c r="IS6" s="7"/>
      <c r="IT6" s="4"/>
      <c r="IU6" s="5"/>
      <c r="IV6" s="6"/>
      <c r="IW6" s="7"/>
    </row>
    <row r="7" spans="2:257" s="23" customFormat="1" x14ac:dyDescent="0.3">
      <c r="B7" s="28" t="s">
        <v>8</v>
      </c>
      <c r="C7" s="28" t="s">
        <v>7</v>
      </c>
      <c r="D7" s="28" t="s">
        <v>45</v>
      </c>
      <c r="E7" s="28" t="s">
        <v>46</v>
      </c>
    </row>
    <row r="8" spans="2:257" s="8" customFormat="1" ht="15" x14ac:dyDescent="0.3">
      <c r="B8" s="51" t="s">
        <v>460</v>
      </c>
      <c r="C8" s="52" t="s">
        <v>461</v>
      </c>
      <c r="D8" s="53" t="s">
        <v>462</v>
      </c>
      <c r="E8" s="54" t="s">
        <v>463</v>
      </c>
      <c r="F8" s="4"/>
      <c r="G8" s="5"/>
      <c r="H8" s="6"/>
      <c r="I8" s="7"/>
      <c r="J8" s="4"/>
      <c r="K8" s="5"/>
      <c r="L8" s="6"/>
      <c r="M8" s="7"/>
      <c r="N8" s="4"/>
      <c r="O8" s="5"/>
      <c r="P8" s="6"/>
      <c r="Q8" s="7"/>
      <c r="R8" s="4"/>
      <c r="S8" s="5"/>
      <c r="T8" s="6"/>
      <c r="U8" s="7"/>
      <c r="V8" s="4"/>
      <c r="W8" s="5"/>
      <c r="X8" s="6"/>
      <c r="Y8" s="7"/>
      <c r="Z8" s="4"/>
      <c r="AA8" s="5"/>
      <c r="AB8" s="6"/>
      <c r="AC8" s="7"/>
      <c r="AD8" s="4"/>
      <c r="AE8" s="5"/>
      <c r="AF8" s="6"/>
      <c r="AG8" s="7"/>
      <c r="AH8" s="4"/>
      <c r="AI8" s="5"/>
      <c r="AJ8" s="6"/>
      <c r="AK8" s="7"/>
      <c r="AL8" s="4"/>
      <c r="AM8" s="5"/>
      <c r="AN8" s="6"/>
      <c r="AO8" s="7"/>
      <c r="AP8" s="4"/>
      <c r="AQ8" s="5"/>
      <c r="AR8" s="6"/>
      <c r="AS8" s="7"/>
      <c r="AT8" s="4"/>
      <c r="AU8" s="5"/>
      <c r="AV8" s="6"/>
      <c r="AW8" s="7"/>
      <c r="AX8" s="4"/>
      <c r="AY8" s="5"/>
      <c r="AZ8" s="6"/>
      <c r="BA8" s="7"/>
      <c r="BB8" s="4"/>
      <c r="BC8" s="5"/>
      <c r="BD8" s="6"/>
      <c r="BE8" s="7"/>
      <c r="BF8" s="4"/>
      <c r="BG8" s="5"/>
      <c r="BH8" s="6"/>
      <c r="BI8" s="7"/>
      <c r="BJ8" s="4"/>
      <c r="BK8" s="5"/>
      <c r="BL8" s="6"/>
      <c r="BM8" s="7"/>
      <c r="BN8" s="4"/>
      <c r="BO8" s="5"/>
      <c r="BP8" s="6"/>
      <c r="BQ8" s="7"/>
      <c r="BR8" s="4"/>
      <c r="BS8" s="5"/>
      <c r="BT8" s="6"/>
      <c r="BU8" s="7"/>
      <c r="BV8" s="4"/>
      <c r="BW8" s="5"/>
      <c r="BX8" s="6"/>
      <c r="BY8" s="7"/>
      <c r="BZ8" s="4"/>
      <c r="CA8" s="5"/>
      <c r="CB8" s="6"/>
      <c r="CC8" s="7"/>
      <c r="CD8" s="4"/>
      <c r="CE8" s="5"/>
      <c r="CF8" s="6"/>
      <c r="CG8" s="7"/>
      <c r="CH8" s="4"/>
      <c r="CI8" s="5"/>
      <c r="CJ8" s="6"/>
      <c r="CK8" s="7"/>
      <c r="CL8" s="4"/>
      <c r="CM8" s="5"/>
      <c r="CN8" s="6"/>
      <c r="CO8" s="7"/>
      <c r="CP8" s="4"/>
      <c r="CQ8" s="5"/>
      <c r="CR8" s="6"/>
      <c r="CS8" s="7"/>
      <c r="CT8" s="4"/>
      <c r="CU8" s="5"/>
      <c r="CV8" s="6"/>
      <c r="CW8" s="7"/>
      <c r="CX8" s="4"/>
      <c r="CY8" s="5"/>
      <c r="CZ8" s="6"/>
      <c r="DA8" s="7"/>
      <c r="DB8" s="4"/>
      <c r="DC8" s="5"/>
      <c r="DD8" s="6"/>
      <c r="DE8" s="7"/>
      <c r="DF8" s="4"/>
      <c r="DG8" s="5"/>
      <c r="DH8" s="6"/>
      <c r="DI8" s="7"/>
      <c r="DJ8" s="4"/>
      <c r="DK8" s="5"/>
      <c r="DL8" s="6"/>
      <c r="DM8" s="7"/>
      <c r="DN8" s="4"/>
      <c r="DO8" s="5"/>
      <c r="DP8" s="6"/>
      <c r="DQ8" s="7"/>
      <c r="DR8" s="4"/>
      <c r="DS8" s="5"/>
      <c r="DT8" s="6"/>
      <c r="DU8" s="7"/>
      <c r="DV8" s="4"/>
      <c r="DW8" s="5"/>
      <c r="DX8" s="6"/>
      <c r="DY8" s="7"/>
      <c r="DZ8" s="4"/>
      <c r="EA8" s="5"/>
      <c r="EB8" s="6"/>
      <c r="EC8" s="7"/>
      <c r="ED8" s="4"/>
      <c r="EE8" s="5"/>
      <c r="EF8" s="6"/>
      <c r="EG8" s="7"/>
      <c r="EH8" s="4"/>
      <c r="EI8" s="5"/>
      <c r="EJ8" s="6"/>
      <c r="EK8" s="7"/>
      <c r="EL8" s="4"/>
      <c r="EM8" s="5"/>
      <c r="EN8" s="6"/>
      <c r="EO8" s="7"/>
      <c r="EP8" s="4"/>
      <c r="EQ8" s="5"/>
      <c r="ER8" s="6"/>
      <c r="ES8" s="7"/>
      <c r="ET8" s="4"/>
      <c r="EU8" s="5"/>
      <c r="EV8" s="6"/>
      <c r="EW8" s="7"/>
      <c r="EX8" s="4"/>
      <c r="EY8" s="5"/>
      <c r="EZ8" s="6"/>
      <c r="FA8" s="7"/>
      <c r="FB8" s="4"/>
      <c r="FC8" s="5"/>
      <c r="FD8" s="6"/>
      <c r="FE8" s="7"/>
      <c r="FF8" s="4"/>
      <c r="FG8" s="5"/>
      <c r="FH8" s="6"/>
      <c r="FI8" s="7"/>
      <c r="FJ8" s="4"/>
      <c r="FK8" s="5"/>
      <c r="FL8" s="6"/>
      <c r="FM8" s="7"/>
      <c r="FN8" s="4"/>
      <c r="FO8" s="5"/>
      <c r="FP8" s="6"/>
      <c r="FQ8" s="7"/>
      <c r="FR8" s="4"/>
      <c r="FS8" s="5"/>
      <c r="FT8" s="6"/>
      <c r="FU8" s="7"/>
      <c r="FV8" s="4"/>
      <c r="FW8" s="5"/>
      <c r="FX8" s="6"/>
      <c r="FY8" s="7"/>
      <c r="FZ8" s="4"/>
      <c r="GA8" s="5"/>
      <c r="GB8" s="6"/>
      <c r="GC8" s="7"/>
      <c r="GD8" s="4"/>
      <c r="GE8" s="5"/>
      <c r="GF8" s="6"/>
      <c r="GG8" s="7"/>
      <c r="GH8" s="4"/>
      <c r="GI8" s="5"/>
      <c r="GJ8" s="6"/>
      <c r="GK8" s="7"/>
      <c r="GL8" s="4"/>
      <c r="GM8" s="5"/>
      <c r="GN8" s="6"/>
      <c r="GO8" s="7"/>
      <c r="GP8" s="4"/>
      <c r="GQ8" s="5"/>
      <c r="GR8" s="6"/>
      <c r="GS8" s="7"/>
      <c r="GT8" s="4"/>
      <c r="GU8" s="5"/>
      <c r="GV8" s="6"/>
      <c r="GW8" s="7"/>
      <c r="GX8" s="4"/>
      <c r="GY8" s="5"/>
      <c r="GZ8" s="6"/>
      <c r="HA8" s="7"/>
      <c r="HB8" s="4"/>
      <c r="HC8" s="5"/>
      <c r="HD8" s="6"/>
      <c r="HE8" s="7"/>
      <c r="HF8" s="4"/>
      <c r="HG8" s="5"/>
      <c r="HH8" s="6"/>
      <c r="HI8" s="7"/>
      <c r="HJ8" s="4"/>
      <c r="HK8" s="5"/>
      <c r="HL8" s="6"/>
      <c r="HM8" s="7"/>
      <c r="HN8" s="4"/>
      <c r="HO8" s="5"/>
      <c r="HP8" s="6"/>
      <c r="HQ8" s="7"/>
      <c r="HR8" s="4"/>
      <c r="HS8" s="5"/>
      <c r="HT8" s="6"/>
      <c r="HU8" s="7"/>
      <c r="HV8" s="4"/>
      <c r="HW8" s="5"/>
      <c r="HX8" s="6"/>
      <c r="HY8" s="7"/>
      <c r="HZ8" s="4"/>
      <c r="IA8" s="5"/>
      <c r="IB8" s="6"/>
      <c r="IC8" s="7"/>
      <c r="ID8" s="4"/>
      <c r="IE8" s="5"/>
      <c r="IF8" s="6"/>
      <c r="IG8" s="7"/>
      <c r="IH8" s="4"/>
      <c r="II8" s="5"/>
      <c r="IJ8" s="6"/>
      <c r="IK8" s="7"/>
      <c r="IL8" s="4"/>
      <c r="IM8" s="5"/>
      <c r="IN8" s="6"/>
      <c r="IO8" s="7"/>
      <c r="IP8" s="4"/>
      <c r="IQ8" s="5"/>
      <c r="IR8" s="6"/>
      <c r="IS8" s="7"/>
      <c r="IT8" s="4"/>
      <c r="IU8" s="5"/>
      <c r="IV8" s="6"/>
      <c r="IW8" s="7"/>
    </row>
    <row r="9" spans="2:257" s="8" customFormat="1" ht="15" x14ac:dyDescent="0.3">
      <c r="B9" s="51" t="s">
        <v>508</v>
      </c>
      <c r="C9" s="52" t="s">
        <v>509</v>
      </c>
      <c r="D9" s="53" t="s">
        <v>462</v>
      </c>
      <c r="E9" s="54" t="s">
        <v>463</v>
      </c>
      <c r="F9" s="4"/>
      <c r="G9" s="5"/>
      <c r="H9" s="6"/>
      <c r="I9" s="7"/>
      <c r="J9" s="4"/>
      <c r="K9" s="5"/>
      <c r="L9" s="6"/>
      <c r="M9" s="7"/>
      <c r="N9" s="4"/>
      <c r="O9" s="5"/>
      <c r="P9" s="6"/>
      <c r="Q9" s="7"/>
      <c r="R9" s="4"/>
      <c r="S9" s="5"/>
      <c r="T9" s="6"/>
      <c r="U9" s="7"/>
      <c r="V9" s="4"/>
      <c r="W9" s="5"/>
      <c r="X9" s="6"/>
      <c r="Y9" s="7"/>
      <c r="Z9" s="4"/>
      <c r="AA9" s="5"/>
      <c r="AB9" s="6"/>
      <c r="AC9" s="7"/>
      <c r="AD9" s="4"/>
      <c r="AE9" s="5"/>
      <c r="AF9" s="6"/>
      <c r="AG9" s="7"/>
      <c r="AH9" s="4"/>
      <c r="AI9" s="5"/>
      <c r="AJ9" s="6"/>
      <c r="AK9" s="7"/>
      <c r="AL9" s="4"/>
      <c r="AM9" s="5"/>
      <c r="AN9" s="6"/>
      <c r="AO9" s="7"/>
      <c r="AP9" s="4"/>
      <c r="AQ9" s="5"/>
      <c r="AR9" s="6"/>
      <c r="AS9" s="7"/>
      <c r="AT9" s="4"/>
      <c r="AU9" s="5"/>
      <c r="AV9" s="6"/>
      <c r="AW9" s="7"/>
      <c r="AX9" s="4"/>
      <c r="AY9" s="5"/>
      <c r="AZ9" s="6"/>
      <c r="BA9" s="7"/>
      <c r="BB9" s="4"/>
      <c r="BC9" s="5"/>
      <c r="BD9" s="6"/>
      <c r="BE9" s="7"/>
      <c r="BF9" s="4"/>
      <c r="BG9" s="5"/>
      <c r="BH9" s="6"/>
      <c r="BI9" s="7"/>
      <c r="BJ9" s="4"/>
      <c r="BK9" s="5"/>
      <c r="BL9" s="6"/>
      <c r="BM9" s="7"/>
      <c r="BN9" s="4"/>
      <c r="BO9" s="5"/>
      <c r="BP9" s="6"/>
      <c r="BQ9" s="7"/>
      <c r="BR9" s="4"/>
      <c r="BS9" s="5"/>
      <c r="BT9" s="6"/>
      <c r="BU9" s="7"/>
      <c r="BV9" s="4"/>
      <c r="BW9" s="5"/>
      <c r="BX9" s="6"/>
      <c r="BY9" s="7"/>
      <c r="BZ9" s="4"/>
      <c r="CA9" s="5"/>
      <c r="CB9" s="6"/>
      <c r="CC9" s="7"/>
      <c r="CD9" s="4"/>
      <c r="CE9" s="5"/>
      <c r="CF9" s="6"/>
      <c r="CG9" s="7"/>
      <c r="CH9" s="4"/>
      <c r="CI9" s="5"/>
      <c r="CJ9" s="6"/>
      <c r="CK9" s="7"/>
      <c r="CL9" s="4"/>
      <c r="CM9" s="5"/>
      <c r="CN9" s="6"/>
      <c r="CO9" s="7"/>
      <c r="CP9" s="4"/>
      <c r="CQ9" s="5"/>
      <c r="CR9" s="6"/>
      <c r="CS9" s="7"/>
      <c r="CT9" s="4"/>
      <c r="CU9" s="5"/>
      <c r="CV9" s="6"/>
      <c r="CW9" s="7"/>
      <c r="CX9" s="4"/>
      <c r="CY9" s="5"/>
      <c r="CZ9" s="6"/>
      <c r="DA9" s="7"/>
      <c r="DB9" s="4"/>
      <c r="DC9" s="5"/>
      <c r="DD9" s="6"/>
      <c r="DE9" s="7"/>
      <c r="DF9" s="4"/>
      <c r="DG9" s="5"/>
      <c r="DH9" s="6"/>
      <c r="DI9" s="7"/>
      <c r="DJ9" s="4"/>
      <c r="DK9" s="5"/>
      <c r="DL9" s="6"/>
      <c r="DM9" s="7"/>
      <c r="DN9" s="4"/>
      <c r="DO9" s="5"/>
      <c r="DP9" s="6"/>
      <c r="DQ9" s="7"/>
      <c r="DR9" s="4"/>
      <c r="DS9" s="5"/>
      <c r="DT9" s="6"/>
      <c r="DU9" s="7"/>
      <c r="DV9" s="4"/>
      <c r="DW9" s="5"/>
      <c r="DX9" s="6"/>
      <c r="DY9" s="7"/>
      <c r="DZ9" s="4"/>
      <c r="EA9" s="5"/>
      <c r="EB9" s="6"/>
      <c r="EC9" s="7"/>
      <c r="ED9" s="4"/>
      <c r="EE9" s="5"/>
      <c r="EF9" s="6"/>
      <c r="EG9" s="7"/>
      <c r="EH9" s="4"/>
      <c r="EI9" s="5"/>
      <c r="EJ9" s="6"/>
      <c r="EK9" s="7"/>
      <c r="EL9" s="4"/>
      <c r="EM9" s="5"/>
      <c r="EN9" s="6"/>
      <c r="EO9" s="7"/>
      <c r="EP9" s="4"/>
      <c r="EQ9" s="5"/>
      <c r="ER9" s="6"/>
      <c r="ES9" s="7"/>
      <c r="ET9" s="4"/>
      <c r="EU9" s="5"/>
      <c r="EV9" s="6"/>
      <c r="EW9" s="7"/>
      <c r="EX9" s="4"/>
      <c r="EY9" s="5"/>
      <c r="EZ9" s="6"/>
      <c r="FA9" s="7"/>
      <c r="FB9" s="4"/>
      <c r="FC9" s="5"/>
      <c r="FD9" s="6"/>
      <c r="FE9" s="7"/>
      <c r="FF9" s="4"/>
      <c r="FG9" s="5"/>
      <c r="FH9" s="6"/>
      <c r="FI9" s="7"/>
      <c r="FJ9" s="4"/>
      <c r="FK9" s="5"/>
      <c r="FL9" s="6"/>
      <c r="FM9" s="7"/>
      <c r="FN9" s="4"/>
      <c r="FO9" s="5"/>
      <c r="FP9" s="6"/>
      <c r="FQ9" s="7"/>
      <c r="FR9" s="4"/>
      <c r="FS9" s="5"/>
      <c r="FT9" s="6"/>
      <c r="FU9" s="7"/>
      <c r="FV9" s="4"/>
      <c r="FW9" s="5"/>
      <c r="FX9" s="6"/>
      <c r="FY9" s="7"/>
      <c r="FZ9" s="4"/>
      <c r="GA9" s="5"/>
      <c r="GB9" s="6"/>
      <c r="GC9" s="7"/>
      <c r="GD9" s="4"/>
      <c r="GE9" s="5"/>
      <c r="GF9" s="6"/>
      <c r="GG9" s="7"/>
      <c r="GH9" s="4"/>
      <c r="GI9" s="5"/>
      <c r="GJ9" s="6"/>
      <c r="GK9" s="7"/>
      <c r="GL9" s="4"/>
      <c r="GM9" s="5"/>
      <c r="GN9" s="6"/>
      <c r="GO9" s="7"/>
      <c r="GP9" s="4"/>
      <c r="GQ9" s="5"/>
      <c r="GR9" s="6"/>
      <c r="GS9" s="7"/>
      <c r="GT9" s="4"/>
      <c r="GU9" s="5"/>
      <c r="GV9" s="6"/>
      <c r="GW9" s="7"/>
      <c r="GX9" s="4"/>
      <c r="GY9" s="5"/>
      <c r="GZ9" s="6"/>
      <c r="HA9" s="7"/>
      <c r="HB9" s="4"/>
      <c r="HC9" s="5"/>
      <c r="HD9" s="6"/>
      <c r="HE9" s="7"/>
      <c r="HF9" s="4"/>
      <c r="HG9" s="5"/>
      <c r="HH9" s="6"/>
      <c r="HI9" s="7"/>
      <c r="HJ9" s="4"/>
      <c r="HK9" s="5"/>
      <c r="HL9" s="6"/>
      <c r="HM9" s="7"/>
      <c r="HN9" s="4"/>
      <c r="HO9" s="5"/>
      <c r="HP9" s="6"/>
      <c r="HQ9" s="7"/>
      <c r="HR9" s="4"/>
      <c r="HS9" s="5"/>
      <c r="HT9" s="6"/>
      <c r="HU9" s="7"/>
      <c r="HV9" s="4"/>
      <c r="HW9" s="5"/>
      <c r="HX9" s="6"/>
      <c r="HY9" s="7"/>
      <c r="HZ9" s="4"/>
      <c r="IA9" s="5"/>
      <c r="IB9" s="6"/>
      <c r="IC9" s="7"/>
      <c r="ID9" s="4"/>
      <c r="IE9" s="5"/>
      <c r="IF9" s="6"/>
      <c r="IG9" s="7"/>
      <c r="IH9" s="4"/>
      <c r="II9" s="5"/>
      <c r="IJ9" s="6"/>
      <c r="IK9" s="7"/>
      <c r="IL9" s="4"/>
      <c r="IM9" s="5"/>
      <c r="IN9" s="6"/>
      <c r="IO9" s="7"/>
      <c r="IP9" s="4"/>
      <c r="IQ9" s="5"/>
      <c r="IR9" s="6"/>
      <c r="IS9" s="7"/>
      <c r="IT9" s="4"/>
      <c r="IU9" s="5"/>
      <c r="IV9" s="6"/>
      <c r="IW9" s="7"/>
    </row>
    <row r="10" spans="2:257" s="8" customFormat="1" ht="15" x14ac:dyDescent="0.3">
      <c r="B10" s="51" t="s">
        <v>511</v>
      </c>
      <c r="C10" s="52" t="s">
        <v>518</v>
      </c>
      <c r="D10" s="53" t="s">
        <v>462</v>
      </c>
      <c r="E10" s="54" t="s">
        <v>463</v>
      </c>
      <c r="F10" s="4"/>
      <c r="G10" s="5"/>
      <c r="H10" s="6"/>
      <c r="I10" s="7"/>
      <c r="J10" s="4"/>
      <c r="K10" s="5"/>
      <c r="L10" s="6"/>
      <c r="M10" s="7"/>
      <c r="N10" s="4"/>
      <c r="O10" s="5"/>
      <c r="P10" s="6"/>
      <c r="Q10" s="7"/>
      <c r="R10" s="4"/>
      <c r="S10" s="5"/>
      <c r="T10" s="6"/>
      <c r="U10" s="7"/>
      <c r="V10" s="4"/>
      <c r="W10" s="5"/>
      <c r="X10" s="6"/>
      <c r="Y10" s="7"/>
      <c r="Z10" s="4"/>
      <c r="AA10" s="5"/>
      <c r="AB10" s="6"/>
      <c r="AC10" s="7"/>
      <c r="AD10" s="4"/>
      <c r="AE10" s="5"/>
      <c r="AF10" s="6"/>
      <c r="AG10" s="7"/>
      <c r="AH10" s="4"/>
      <c r="AI10" s="5"/>
      <c r="AJ10" s="6"/>
      <c r="AK10" s="7"/>
      <c r="AL10" s="4"/>
      <c r="AM10" s="5"/>
      <c r="AN10" s="6"/>
      <c r="AO10" s="7"/>
      <c r="AP10" s="4"/>
      <c r="AQ10" s="5"/>
      <c r="AR10" s="6"/>
      <c r="AS10" s="7"/>
      <c r="AT10" s="4"/>
      <c r="AU10" s="5"/>
      <c r="AV10" s="6"/>
      <c r="AW10" s="7"/>
      <c r="AX10" s="4"/>
      <c r="AY10" s="5"/>
      <c r="AZ10" s="6"/>
      <c r="BA10" s="7"/>
      <c r="BB10" s="4"/>
      <c r="BC10" s="5"/>
      <c r="BD10" s="6"/>
      <c r="BE10" s="7"/>
      <c r="BF10" s="4"/>
      <c r="BG10" s="5"/>
      <c r="BH10" s="6"/>
      <c r="BI10" s="7"/>
      <c r="BJ10" s="4"/>
      <c r="BK10" s="5"/>
      <c r="BL10" s="6"/>
      <c r="BM10" s="7"/>
      <c r="BN10" s="4"/>
      <c r="BO10" s="5"/>
      <c r="BP10" s="6"/>
      <c r="BQ10" s="7"/>
      <c r="BR10" s="4"/>
      <c r="BS10" s="5"/>
      <c r="BT10" s="6"/>
      <c r="BU10" s="7"/>
      <c r="BV10" s="4"/>
      <c r="BW10" s="5"/>
      <c r="BX10" s="6"/>
      <c r="BY10" s="7"/>
      <c r="BZ10" s="4"/>
      <c r="CA10" s="5"/>
      <c r="CB10" s="6"/>
      <c r="CC10" s="7"/>
      <c r="CD10" s="4"/>
      <c r="CE10" s="5"/>
      <c r="CF10" s="6"/>
      <c r="CG10" s="7"/>
      <c r="CH10" s="4"/>
      <c r="CI10" s="5"/>
      <c r="CJ10" s="6"/>
      <c r="CK10" s="7"/>
      <c r="CL10" s="4"/>
      <c r="CM10" s="5"/>
      <c r="CN10" s="6"/>
      <c r="CO10" s="7"/>
      <c r="CP10" s="4"/>
      <c r="CQ10" s="5"/>
      <c r="CR10" s="6"/>
      <c r="CS10" s="7"/>
      <c r="CT10" s="4"/>
      <c r="CU10" s="5"/>
      <c r="CV10" s="6"/>
      <c r="CW10" s="7"/>
      <c r="CX10" s="4"/>
      <c r="CY10" s="5"/>
      <c r="CZ10" s="6"/>
      <c r="DA10" s="7"/>
      <c r="DB10" s="4"/>
      <c r="DC10" s="5"/>
      <c r="DD10" s="6"/>
      <c r="DE10" s="7"/>
      <c r="DF10" s="4"/>
      <c r="DG10" s="5"/>
      <c r="DH10" s="6"/>
      <c r="DI10" s="7"/>
      <c r="DJ10" s="4"/>
      <c r="DK10" s="5"/>
      <c r="DL10" s="6"/>
      <c r="DM10" s="7"/>
      <c r="DN10" s="4"/>
      <c r="DO10" s="5"/>
      <c r="DP10" s="6"/>
      <c r="DQ10" s="7"/>
      <c r="DR10" s="4"/>
      <c r="DS10" s="5"/>
      <c r="DT10" s="6"/>
      <c r="DU10" s="7"/>
      <c r="DV10" s="4"/>
      <c r="DW10" s="5"/>
      <c r="DX10" s="6"/>
      <c r="DY10" s="7"/>
      <c r="DZ10" s="4"/>
      <c r="EA10" s="5"/>
      <c r="EB10" s="6"/>
      <c r="EC10" s="7"/>
      <c r="ED10" s="4"/>
      <c r="EE10" s="5"/>
      <c r="EF10" s="6"/>
      <c r="EG10" s="7"/>
      <c r="EH10" s="4"/>
      <c r="EI10" s="5"/>
      <c r="EJ10" s="6"/>
      <c r="EK10" s="7"/>
      <c r="EL10" s="4"/>
      <c r="EM10" s="5"/>
      <c r="EN10" s="6"/>
      <c r="EO10" s="7"/>
      <c r="EP10" s="4"/>
      <c r="EQ10" s="5"/>
      <c r="ER10" s="6"/>
      <c r="ES10" s="7"/>
      <c r="ET10" s="4"/>
      <c r="EU10" s="5"/>
      <c r="EV10" s="6"/>
      <c r="EW10" s="7"/>
      <c r="EX10" s="4"/>
      <c r="EY10" s="5"/>
      <c r="EZ10" s="6"/>
      <c r="FA10" s="7"/>
      <c r="FB10" s="4"/>
      <c r="FC10" s="5"/>
      <c r="FD10" s="6"/>
      <c r="FE10" s="7"/>
      <c r="FF10" s="4"/>
      <c r="FG10" s="5"/>
      <c r="FH10" s="6"/>
      <c r="FI10" s="7"/>
      <c r="FJ10" s="4"/>
      <c r="FK10" s="5"/>
      <c r="FL10" s="6"/>
      <c r="FM10" s="7"/>
      <c r="FN10" s="4"/>
      <c r="FO10" s="5"/>
      <c r="FP10" s="6"/>
      <c r="FQ10" s="7"/>
      <c r="FR10" s="4"/>
      <c r="FS10" s="5"/>
      <c r="FT10" s="6"/>
      <c r="FU10" s="7"/>
      <c r="FV10" s="4"/>
      <c r="FW10" s="5"/>
      <c r="FX10" s="6"/>
      <c r="FY10" s="7"/>
      <c r="FZ10" s="4"/>
      <c r="GA10" s="5"/>
      <c r="GB10" s="6"/>
      <c r="GC10" s="7"/>
      <c r="GD10" s="4"/>
      <c r="GE10" s="5"/>
      <c r="GF10" s="6"/>
      <c r="GG10" s="7"/>
      <c r="GH10" s="4"/>
      <c r="GI10" s="5"/>
      <c r="GJ10" s="6"/>
      <c r="GK10" s="7"/>
      <c r="GL10" s="4"/>
      <c r="GM10" s="5"/>
      <c r="GN10" s="6"/>
      <c r="GO10" s="7"/>
      <c r="GP10" s="4"/>
      <c r="GQ10" s="5"/>
      <c r="GR10" s="6"/>
      <c r="GS10" s="7"/>
      <c r="GT10" s="4"/>
      <c r="GU10" s="5"/>
      <c r="GV10" s="6"/>
      <c r="GW10" s="7"/>
      <c r="GX10" s="4"/>
      <c r="GY10" s="5"/>
      <c r="GZ10" s="6"/>
      <c r="HA10" s="7"/>
      <c r="HB10" s="4"/>
      <c r="HC10" s="5"/>
      <c r="HD10" s="6"/>
      <c r="HE10" s="7"/>
      <c r="HF10" s="4"/>
      <c r="HG10" s="5"/>
      <c r="HH10" s="6"/>
      <c r="HI10" s="7"/>
      <c r="HJ10" s="4"/>
      <c r="HK10" s="5"/>
      <c r="HL10" s="6"/>
      <c r="HM10" s="7"/>
      <c r="HN10" s="4"/>
      <c r="HO10" s="5"/>
      <c r="HP10" s="6"/>
      <c r="HQ10" s="7"/>
      <c r="HR10" s="4"/>
      <c r="HS10" s="5"/>
      <c r="HT10" s="6"/>
      <c r="HU10" s="7"/>
      <c r="HV10" s="4"/>
      <c r="HW10" s="5"/>
      <c r="HX10" s="6"/>
      <c r="HY10" s="7"/>
      <c r="HZ10" s="4"/>
      <c r="IA10" s="5"/>
      <c r="IB10" s="6"/>
      <c r="IC10" s="7"/>
      <c r="ID10" s="4"/>
      <c r="IE10" s="5"/>
      <c r="IF10" s="6"/>
      <c r="IG10" s="7"/>
      <c r="IH10" s="4"/>
      <c r="II10" s="5"/>
      <c r="IJ10" s="6"/>
      <c r="IK10" s="7"/>
      <c r="IL10" s="4"/>
      <c r="IM10" s="5"/>
      <c r="IN10" s="6"/>
      <c r="IO10" s="7"/>
      <c r="IP10" s="4"/>
      <c r="IQ10" s="5"/>
      <c r="IR10" s="6"/>
      <c r="IS10" s="7"/>
      <c r="IT10" s="4"/>
      <c r="IU10" s="5"/>
      <c r="IV10" s="6"/>
      <c r="IW10" s="7"/>
    </row>
    <row r="11" spans="2:257" s="8" customFormat="1" ht="15" x14ac:dyDescent="0.3">
      <c r="B11" s="51" t="s">
        <v>525</v>
      </c>
      <c r="C11" s="52" t="s">
        <v>765</v>
      </c>
      <c r="D11" s="53" t="s">
        <v>462</v>
      </c>
      <c r="E11" s="54" t="s">
        <v>463</v>
      </c>
      <c r="F11" s="4"/>
      <c r="G11" s="5"/>
      <c r="H11" s="6"/>
      <c r="I11" s="7"/>
      <c r="J11" s="4"/>
      <c r="K11" s="5"/>
      <c r="L11" s="6"/>
      <c r="M11" s="7"/>
      <c r="N11" s="4"/>
      <c r="O11" s="5"/>
      <c r="P11" s="6"/>
      <c r="Q11" s="7"/>
      <c r="R11" s="4"/>
      <c r="S11" s="5"/>
      <c r="T11" s="6"/>
      <c r="U11" s="7"/>
      <c r="V11" s="4"/>
      <c r="W11" s="5"/>
      <c r="X11" s="6"/>
      <c r="Y11" s="7"/>
      <c r="Z11" s="4"/>
      <c r="AA11" s="5"/>
      <c r="AB11" s="6"/>
      <c r="AC11" s="7"/>
      <c r="AD11" s="4"/>
      <c r="AE11" s="5"/>
      <c r="AF11" s="6"/>
      <c r="AG11" s="7"/>
      <c r="AH11" s="4"/>
      <c r="AI11" s="5"/>
      <c r="AJ11" s="6"/>
      <c r="AK11" s="7"/>
      <c r="AL11" s="4"/>
      <c r="AM11" s="5"/>
      <c r="AN11" s="6"/>
      <c r="AO11" s="7"/>
      <c r="AP11" s="4"/>
      <c r="AQ11" s="5"/>
      <c r="AR11" s="6"/>
      <c r="AS11" s="7"/>
      <c r="AT11" s="4"/>
      <c r="AU11" s="5"/>
      <c r="AV11" s="6"/>
      <c r="AW11" s="7"/>
      <c r="AX11" s="4"/>
      <c r="AY11" s="5"/>
      <c r="AZ11" s="6"/>
      <c r="BA11" s="7"/>
      <c r="BB11" s="4"/>
      <c r="BC11" s="5"/>
      <c r="BD11" s="6"/>
      <c r="BE11" s="7"/>
      <c r="BF11" s="4"/>
      <c r="BG11" s="5"/>
      <c r="BH11" s="6"/>
      <c r="BI11" s="7"/>
      <c r="BJ11" s="4"/>
      <c r="BK11" s="5"/>
      <c r="BL11" s="6"/>
      <c r="BM11" s="7"/>
      <c r="BN11" s="4"/>
      <c r="BO11" s="5"/>
      <c r="BP11" s="6"/>
      <c r="BQ11" s="7"/>
      <c r="BR11" s="4"/>
      <c r="BS11" s="5"/>
      <c r="BT11" s="6"/>
      <c r="BU11" s="7"/>
      <c r="BV11" s="4"/>
      <c r="BW11" s="5"/>
      <c r="BX11" s="6"/>
      <c r="BY11" s="7"/>
      <c r="BZ11" s="4"/>
      <c r="CA11" s="5"/>
      <c r="CB11" s="6"/>
      <c r="CC11" s="7"/>
      <c r="CD11" s="4"/>
      <c r="CE11" s="5"/>
      <c r="CF11" s="6"/>
      <c r="CG11" s="7"/>
      <c r="CH11" s="4"/>
      <c r="CI11" s="5"/>
      <c r="CJ11" s="6"/>
      <c r="CK11" s="7"/>
      <c r="CL11" s="4"/>
      <c r="CM11" s="5"/>
      <c r="CN11" s="6"/>
      <c r="CO11" s="7"/>
      <c r="CP11" s="4"/>
      <c r="CQ11" s="5"/>
      <c r="CR11" s="6"/>
      <c r="CS11" s="7"/>
      <c r="CT11" s="4"/>
      <c r="CU11" s="5"/>
      <c r="CV11" s="6"/>
      <c r="CW11" s="7"/>
      <c r="CX11" s="4"/>
      <c r="CY11" s="5"/>
      <c r="CZ11" s="6"/>
      <c r="DA11" s="7"/>
      <c r="DB11" s="4"/>
      <c r="DC11" s="5"/>
      <c r="DD11" s="6"/>
      <c r="DE11" s="7"/>
      <c r="DF11" s="4"/>
      <c r="DG11" s="5"/>
      <c r="DH11" s="6"/>
      <c r="DI11" s="7"/>
      <c r="DJ11" s="4"/>
      <c r="DK11" s="5"/>
      <c r="DL11" s="6"/>
      <c r="DM11" s="7"/>
      <c r="DN11" s="4"/>
      <c r="DO11" s="5"/>
      <c r="DP11" s="6"/>
      <c r="DQ11" s="7"/>
      <c r="DR11" s="4"/>
      <c r="DS11" s="5"/>
      <c r="DT11" s="6"/>
      <c r="DU11" s="7"/>
      <c r="DV11" s="4"/>
      <c r="DW11" s="5"/>
      <c r="DX11" s="6"/>
      <c r="DY11" s="7"/>
      <c r="DZ11" s="4"/>
      <c r="EA11" s="5"/>
      <c r="EB11" s="6"/>
      <c r="EC11" s="7"/>
      <c r="ED11" s="4"/>
      <c r="EE11" s="5"/>
      <c r="EF11" s="6"/>
      <c r="EG11" s="7"/>
      <c r="EH11" s="4"/>
      <c r="EI11" s="5"/>
      <c r="EJ11" s="6"/>
      <c r="EK11" s="7"/>
      <c r="EL11" s="4"/>
      <c r="EM11" s="5"/>
      <c r="EN11" s="6"/>
      <c r="EO11" s="7"/>
      <c r="EP11" s="4"/>
      <c r="EQ11" s="5"/>
      <c r="ER11" s="6"/>
      <c r="ES11" s="7"/>
      <c r="ET11" s="4"/>
      <c r="EU11" s="5"/>
      <c r="EV11" s="6"/>
      <c r="EW11" s="7"/>
      <c r="EX11" s="4"/>
      <c r="EY11" s="5"/>
      <c r="EZ11" s="6"/>
      <c r="FA11" s="7"/>
      <c r="FB11" s="4"/>
      <c r="FC11" s="5"/>
      <c r="FD11" s="6"/>
      <c r="FE11" s="7"/>
      <c r="FF11" s="4"/>
      <c r="FG11" s="5"/>
      <c r="FH11" s="6"/>
      <c r="FI11" s="7"/>
      <c r="FJ11" s="4"/>
      <c r="FK11" s="5"/>
      <c r="FL11" s="6"/>
      <c r="FM11" s="7"/>
      <c r="FN11" s="4"/>
      <c r="FO11" s="5"/>
      <c r="FP11" s="6"/>
      <c r="FQ11" s="7"/>
      <c r="FR11" s="4"/>
      <c r="FS11" s="5"/>
      <c r="FT11" s="6"/>
      <c r="FU11" s="7"/>
      <c r="FV11" s="4"/>
      <c r="FW11" s="5"/>
      <c r="FX11" s="6"/>
      <c r="FY11" s="7"/>
      <c r="FZ11" s="4"/>
      <c r="GA11" s="5"/>
      <c r="GB11" s="6"/>
      <c r="GC11" s="7"/>
      <c r="GD11" s="4"/>
      <c r="GE11" s="5"/>
      <c r="GF11" s="6"/>
      <c r="GG11" s="7"/>
      <c r="GH11" s="4"/>
      <c r="GI11" s="5"/>
      <c r="GJ11" s="6"/>
      <c r="GK11" s="7"/>
      <c r="GL11" s="4"/>
      <c r="GM11" s="5"/>
      <c r="GN11" s="6"/>
      <c r="GO11" s="7"/>
      <c r="GP11" s="4"/>
      <c r="GQ11" s="5"/>
      <c r="GR11" s="6"/>
      <c r="GS11" s="7"/>
      <c r="GT11" s="4"/>
      <c r="GU11" s="5"/>
      <c r="GV11" s="6"/>
      <c r="GW11" s="7"/>
      <c r="GX11" s="4"/>
      <c r="GY11" s="5"/>
      <c r="GZ11" s="6"/>
      <c r="HA11" s="7"/>
      <c r="HB11" s="4"/>
      <c r="HC11" s="5"/>
      <c r="HD11" s="6"/>
      <c r="HE11" s="7"/>
      <c r="HF11" s="4"/>
      <c r="HG11" s="5"/>
      <c r="HH11" s="6"/>
      <c r="HI11" s="7"/>
      <c r="HJ11" s="4"/>
      <c r="HK11" s="5"/>
      <c r="HL11" s="6"/>
      <c r="HM11" s="7"/>
      <c r="HN11" s="4"/>
      <c r="HO11" s="5"/>
      <c r="HP11" s="6"/>
      <c r="HQ11" s="7"/>
      <c r="HR11" s="4"/>
      <c r="HS11" s="5"/>
      <c r="HT11" s="6"/>
      <c r="HU11" s="7"/>
      <c r="HV11" s="4"/>
      <c r="HW11" s="5"/>
      <c r="HX11" s="6"/>
      <c r="HY11" s="7"/>
      <c r="HZ11" s="4"/>
      <c r="IA11" s="5"/>
      <c r="IB11" s="6"/>
      <c r="IC11" s="7"/>
      <c r="ID11" s="4"/>
      <c r="IE11" s="5"/>
      <c r="IF11" s="6"/>
      <c r="IG11" s="7"/>
      <c r="IH11" s="4"/>
      <c r="II11" s="5"/>
      <c r="IJ11" s="6"/>
      <c r="IK11" s="7"/>
      <c r="IL11" s="4"/>
      <c r="IM11" s="5"/>
      <c r="IN11" s="6"/>
      <c r="IO11" s="7"/>
      <c r="IP11" s="4"/>
      <c r="IQ11" s="5"/>
      <c r="IR11" s="6"/>
      <c r="IS11" s="7"/>
      <c r="IT11" s="4"/>
      <c r="IU11" s="5"/>
      <c r="IV11" s="6"/>
      <c r="IW11" s="7"/>
    </row>
    <row r="12" spans="2:257" s="8" customFormat="1" ht="15" x14ac:dyDescent="0.3">
      <c r="B12" s="4"/>
      <c r="C12" s="5"/>
      <c r="D12" s="6"/>
      <c r="E12" s="7"/>
      <c r="F12" s="4"/>
      <c r="G12" s="5"/>
      <c r="H12" s="6"/>
      <c r="I12" s="7"/>
      <c r="J12" s="4"/>
      <c r="K12" s="5"/>
      <c r="L12" s="6"/>
      <c r="M12" s="7"/>
      <c r="N12" s="4"/>
      <c r="O12" s="5"/>
      <c r="P12" s="6"/>
      <c r="Q12" s="7"/>
      <c r="R12" s="4"/>
      <c r="S12" s="5"/>
      <c r="T12" s="6"/>
      <c r="U12" s="7"/>
      <c r="V12" s="4"/>
      <c r="W12" s="5"/>
      <c r="X12" s="6"/>
      <c r="Y12" s="7"/>
      <c r="Z12" s="4"/>
      <c r="AA12" s="5"/>
      <c r="AB12" s="6"/>
      <c r="AC12" s="7"/>
      <c r="AD12" s="4"/>
      <c r="AE12" s="5"/>
      <c r="AF12" s="6"/>
      <c r="AG12" s="7"/>
      <c r="AH12" s="4"/>
      <c r="AI12" s="5"/>
      <c r="AJ12" s="6"/>
      <c r="AK12" s="7"/>
      <c r="AL12" s="4"/>
      <c r="AM12" s="5"/>
      <c r="AN12" s="6"/>
      <c r="AO12" s="7"/>
      <c r="AP12" s="4"/>
      <c r="AQ12" s="5"/>
      <c r="AR12" s="6"/>
      <c r="AS12" s="7"/>
      <c r="AT12" s="4"/>
      <c r="AU12" s="5"/>
      <c r="AV12" s="6"/>
      <c r="AW12" s="7"/>
      <c r="AX12" s="4"/>
      <c r="AY12" s="5"/>
      <c r="AZ12" s="6"/>
      <c r="BA12" s="7"/>
      <c r="BB12" s="4"/>
      <c r="BC12" s="5"/>
      <c r="BD12" s="6"/>
      <c r="BE12" s="7"/>
      <c r="BF12" s="4"/>
      <c r="BG12" s="5"/>
      <c r="BH12" s="6"/>
      <c r="BI12" s="7"/>
      <c r="BJ12" s="4"/>
      <c r="BK12" s="5"/>
      <c r="BL12" s="6"/>
      <c r="BM12" s="7"/>
      <c r="BN12" s="4"/>
      <c r="BO12" s="5"/>
      <c r="BP12" s="6"/>
      <c r="BQ12" s="7"/>
      <c r="BR12" s="4"/>
      <c r="BS12" s="5"/>
      <c r="BT12" s="6"/>
      <c r="BU12" s="7"/>
      <c r="BV12" s="4"/>
      <c r="BW12" s="5"/>
      <c r="BX12" s="6"/>
      <c r="BY12" s="7"/>
      <c r="BZ12" s="4"/>
      <c r="CA12" s="5"/>
      <c r="CB12" s="6"/>
      <c r="CC12" s="7"/>
      <c r="CD12" s="4"/>
      <c r="CE12" s="5"/>
      <c r="CF12" s="6"/>
      <c r="CG12" s="7"/>
      <c r="CH12" s="4"/>
      <c r="CI12" s="5"/>
      <c r="CJ12" s="6"/>
      <c r="CK12" s="7"/>
      <c r="CL12" s="4"/>
      <c r="CM12" s="5"/>
      <c r="CN12" s="6"/>
      <c r="CO12" s="7"/>
      <c r="CP12" s="4"/>
      <c r="CQ12" s="5"/>
      <c r="CR12" s="6"/>
      <c r="CS12" s="7"/>
      <c r="CT12" s="4"/>
      <c r="CU12" s="5"/>
      <c r="CV12" s="6"/>
      <c r="CW12" s="7"/>
      <c r="CX12" s="4"/>
      <c r="CY12" s="5"/>
      <c r="CZ12" s="6"/>
      <c r="DA12" s="7"/>
      <c r="DB12" s="4"/>
      <c r="DC12" s="5"/>
      <c r="DD12" s="6"/>
      <c r="DE12" s="7"/>
      <c r="DF12" s="4"/>
      <c r="DG12" s="5"/>
      <c r="DH12" s="6"/>
      <c r="DI12" s="7"/>
      <c r="DJ12" s="4"/>
      <c r="DK12" s="5"/>
      <c r="DL12" s="6"/>
      <c r="DM12" s="7"/>
      <c r="DN12" s="4"/>
      <c r="DO12" s="5"/>
      <c r="DP12" s="6"/>
      <c r="DQ12" s="7"/>
      <c r="DR12" s="4"/>
      <c r="DS12" s="5"/>
      <c r="DT12" s="6"/>
      <c r="DU12" s="7"/>
      <c r="DV12" s="4"/>
      <c r="DW12" s="5"/>
      <c r="DX12" s="6"/>
      <c r="DY12" s="7"/>
      <c r="DZ12" s="4"/>
      <c r="EA12" s="5"/>
      <c r="EB12" s="6"/>
      <c r="EC12" s="7"/>
      <c r="ED12" s="4"/>
      <c r="EE12" s="5"/>
      <c r="EF12" s="6"/>
      <c r="EG12" s="7"/>
      <c r="EH12" s="4"/>
      <c r="EI12" s="5"/>
      <c r="EJ12" s="6"/>
      <c r="EK12" s="7"/>
      <c r="EL12" s="4"/>
      <c r="EM12" s="5"/>
      <c r="EN12" s="6"/>
      <c r="EO12" s="7"/>
      <c r="EP12" s="4"/>
      <c r="EQ12" s="5"/>
      <c r="ER12" s="6"/>
      <c r="ES12" s="7"/>
      <c r="ET12" s="4"/>
      <c r="EU12" s="5"/>
      <c r="EV12" s="6"/>
      <c r="EW12" s="7"/>
      <c r="EX12" s="4"/>
      <c r="EY12" s="5"/>
      <c r="EZ12" s="6"/>
      <c r="FA12" s="7"/>
      <c r="FB12" s="4"/>
      <c r="FC12" s="5"/>
      <c r="FD12" s="6"/>
      <c r="FE12" s="7"/>
      <c r="FF12" s="4"/>
      <c r="FG12" s="5"/>
      <c r="FH12" s="6"/>
      <c r="FI12" s="7"/>
      <c r="FJ12" s="4"/>
      <c r="FK12" s="5"/>
      <c r="FL12" s="6"/>
      <c r="FM12" s="7"/>
      <c r="FN12" s="4"/>
      <c r="FO12" s="5"/>
      <c r="FP12" s="6"/>
      <c r="FQ12" s="7"/>
      <c r="FR12" s="4"/>
      <c r="FS12" s="5"/>
      <c r="FT12" s="6"/>
      <c r="FU12" s="7"/>
      <c r="FV12" s="4"/>
      <c r="FW12" s="5"/>
      <c r="FX12" s="6"/>
      <c r="FY12" s="7"/>
      <c r="FZ12" s="4"/>
      <c r="GA12" s="5"/>
      <c r="GB12" s="6"/>
      <c r="GC12" s="7"/>
      <c r="GD12" s="4"/>
      <c r="GE12" s="5"/>
      <c r="GF12" s="6"/>
      <c r="GG12" s="7"/>
      <c r="GH12" s="4"/>
      <c r="GI12" s="5"/>
      <c r="GJ12" s="6"/>
      <c r="GK12" s="7"/>
      <c r="GL12" s="4"/>
      <c r="GM12" s="5"/>
      <c r="GN12" s="6"/>
      <c r="GO12" s="7"/>
      <c r="GP12" s="4"/>
      <c r="GQ12" s="5"/>
      <c r="GR12" s="6"/>
      <c r="GS12" s="7"/>
      <c r="GT12" s="4"/>
      <c r="GU12" s="5"/>
      <c r="GV12" s="6"/>
      <c r="GW12" s="7"/>
      <c r="GX12" s="4"/>
      <c r="GY12" s="5"/>
      <c r="GZ12" s="6"/>
      <c r="HA12" s="7"/>
      <c r="HB12" s="4"/>
      <c r="HC12" s="5"/>
      <c r="HD12" s="6"/>
      <c r="HE12" s="7"/>
      <c r="HF12" s="4"/>
      <c r="HG12" s="5"/>
      <c r="HH12" s="6"/>
      <c r="HI12" s="7"/>
      <c r="HJ12" s="4"/>
      <c r="HK12" s="5"/>
      <c r="HL12" s="6"/>
      <c r="HM12" s="7"/>
      <c r="HN12" s="4"/>
      <c r="HO12" s="5"/>
      <c r="HP12" s="6"/>
      <c r="HQ12" s="7"/>
      <c r="HR12" s="4"/>
      <c r="HS12" s="5"/>
      <c r="HT12" s="6"/>
      <c r="HU12" s="7"/>
      <c r="HV12" s="4"/>
      <c r="HW12" s="5"/>
      <c r="HX12" s="6"/>
      <c r="HY12" s="7"/>
      <c r="HZ12" s="4"/>
      <c r="IA12" s="5"/>
      <c r="IB12" s="6"/>
      <c r="IC12" s="7"/>
      <c r="ID12" s="4"/>
      <c r="IE12" s="5"/>
      <c r="IF12" s="6"/>
      <c r="IG12" s="7"/>
      <c r="IH12" s="4"/>
      <c r="II12" s="5"/>
      <c r="IJ12" s="6"/>
      <c r="IK12" s="7"/>
      <c r="IL12" s="4"/>
      <c r="IM12" s="5"/>
      <c r="IN12" s="6"/>
      <c r="IO12" s="7"/>
      <c r="IP12" s="4"/>
      <c r="IQ12" s="5"/>
      <c r="IR12" s="6"/>
      <c r="IS12" s="7"/>
      <c r="IT12" s="4"/>
      <c r="IU12" s="5"/>
      <c r="IV12" s="6"/>
      <c r="IW12" s="7"/>
    </row>
    <row r="13" spans="2:257" s="8" customFormat="1" ht="15" x14ac:dyDescent="0.3">
      <c r="B13" s="4"/>
      <c r="C13" s="5"/>
      <c r="D13" s="6"/>
      <c r="E13" s="7"/>
      <c r="F13" s="4"/>
      <c r="G13" s="5"/>
      <c r="H13" s="6"/>
      <c r="I13" s="7"/>
      <c r="J13" s="4"/>
      <c r="K13" s="5"/>
      <c r="L13" s="6"/>
      <c r="M13" s="7"/>
      <c r="N13" s="4"/>
      <c r="O13" s="5"/>
      <c r="P13" s="6"/>
      <c r="Q13" s="7"/>
      <c r="R13" s="4"/>
      <c r="S13" s="5"/>
      <c r="T13" s="6"/>
      <c r="U13" s="7"/>
      <c r="V13" s="4"/>
      <c r="W13" s="5"/>
      <c r="X13" s="6"/>
      <c r="Y13" s="7"/>
      <c r="Z13" s="4"/>
      <c r="AA13" s="5"/>
      <c r="AB13" s="6"/>
      <c r="AC13" s="7"/>
      <c r="AD13" s="4"/>
      <c r="AE13" s="5"/>
      <c r="AF13" s="6"/>
      <c r="AG13" s="7"/>
      <c r="AH13" s="4"/>
      <c r="AI13" s="5"/>
      <c r="AJ13" s="6"/>
      <c r="AK13" s="7"/>
      <c r="AL13" s="4"/>
      <c r="AM13" s="5"/>
      <c r="AN13" s="6"/>
      <c r="AO13" s="7"/>
      <c r="AP13" s="4"/>
      <c r="AQ13" s="5"/>
      <c r="AR13" s="6"/>
      <c r="AS13" s="7"/>
      <c r="AT13" s="4"/>
      <c r="AU13" s="5"/>
      <c r="AV13" s="6"/>
      <c r="AW13" s="7"/>
      <c r="AX13" s="4"/>
      <c r="AY13" s="5"/>
      <c r="AZ13" s="6"/>
      <c r="BA13" s="7"/>
      <c r="BB13" s="4"/>
      <c r="BC13" s="5"/>
      <c r="BD13" s="6"/>
      <c r="BE13" s="7"/>
      <c r="BF13" s="4"/>
      <c r="BG13" s="5"/>
      <c r="BH13" s="6"/>
      <c r="BI13" s="7"/>
      <c r="BJ13" s="4"/>
      <c r="BK13" s="5"/>
      <c r="BL13" s="6"/>
      <c r="BM13" s="7"/>
      <c r="BN13" s="4"/>
      <c r="BO13" s="5"/>
      <c r="BP13" s="6"/>
      <c r="BQ13" s="7"/>
      <c r="BR13" s="4"/>
      <c r="BS13" s="5"/>
      <c r="BT13" s="6"/>
      <c r="BU13" s="7"/>
      <c r="BV13" s="4"/>
      <c r="BW13" s="5"/>
      <c r="BX13" s="6"/>
      <c r="BY13" s="7"/>
      <c r="BZ13" s="4"/>
      <c r="CA13" s="5"/>
      <c r="CB13" s="6"/>
      <c r="CC13" s="7"/>
      <c r="CD13" s="4"/>
      <c r="CE13" s="5"/>
      <c r="CF13" s="6"/>
      <c r="CG13" s="7"/>
      <c r="CH13" s="4"/>
      <c r="CI13" s="5"/>
      <c r="CJ13" s="6"/>
      <c r="CK13" s="7"/>
      <c r="CL13" s="4"/>
      <c r="CM13" s="5"/>
      <c r="CN13" s="6"/>
      <c r="CO13" s="7"/>
      <c r="CP13" s="4"/>
      <c r="CQ13" s="5"/>
      <c r="CR13" s="6"/>
      <c r="CS13" s="7"/>
      <c r="CT13" s="4"/>
      <c r="CU13" s="5"/>
      <c r="CV13" s="6"/>
      <c r="CW13" s="7"/>
      <c r="CX13" s="4"/>
      <c r="CY13" s="5"/>
      <c r="CZ13" s="6"/>
      <c r="DA13" s="7"/>
      <c r="DB13" s="4"/>
      <c r="DC13" s="5"/>
      <c r="DD13" s="6"/>
      <c r="DE13" s="7"/>
      <c r="DF13" s="4"/>
      <c r="DG13" s="5"/>
      <c r="DH13" s="6"/>
      <c r="DI13" s="7"/>
      <c r="DJ13" s="4"/>
      <c r="DK13" s="5"/>
      <c r="DL13" s="6"/>
      <c r="DM13" s="7"/>
      <c r="DN13" s="4"/>
      <c r="DO13" s="5"/>
      <c r="DP13" s="6"/>
      <c r="DQ13" s="7"/>
      <c r="DR13" s="4"/>
      <c r="DS13" s="5"/>
      <c r="DT13" s="6"/>
      <c r="DU13" s="7"/>
      <c r="DV13" s="4"/>
      <c r="DW13" s="5"/>
      <c r="DX13" s="6"/>
      <c r="DY13" s="7"/>
      <c r="DZ13" s="4"/>
      <c r="EA13" s="5"/>
      <c r="EB13" s="6"/>
      <c r="EC13" s="7"/>
      <c r="ED13" s="4"/>
      <c r="EE13" s="5"/>
      <c r="EF13" s="6"/>
      <c r="EG13" s="7"/>
      <c r="EH13" s="4"/>
      <c r="EI13" s="5"/>
      <c r="EJ13" s="6"/>
      <c r="EK13" s="7"/>
      <c r="EL13" s="4"/>
      <c r="EM13" s="5"/>
      <c r="EN13" s="6"/>
      <c r="EO13" s="7"/>
      <c r="EP13" s="4"/>
      <c r="EQ13" s="5"/>
      <c r="ER13" s="6"/>
      <c r="ES13" s="7"/>
      <c r="ET13" s="4"/>
      <c r="EU13" s="5"/>
      <c r="EV13" s="6"/>
      <c r="EW13" s="7"/>
      <c r="EX13" s="4"/>
      <c r="EY13" s="5"/>
      <c r="EZ13" s="6"/>
      <c r="FA13" s="7"/>
      <c r="FB13" s="4"/>
      <c r="FC13" s="5"/>
      <c r="FD13" s="6"/>
      <c r="FE13" s="7"/>
      <c r="FF13" s="4"/>
      <c r="FG13" s="5"/>
      <c r="FH13" s="6"/>
      <c r="FI13" s="7"/>
      <c r="FJ13" s="4"/>
      <c r="FK13" s="5"/>
      <c r="FL13" s="6"/>
      <c r="FM13" s="7"/>
      <c r="FN13" s="4"/>
      <c r="FO13" s="5"/>
      <c r="FP13" s="6"/>
      <c r="FQ13" s="7"/>
      <c r="FR13" s="4"/>
      <c r="FS13" s="5"/>
      <c r="FT13" s="6"/>
      <c r="FU13" s="7"/>
      <c r="FV13" s="4"/>
      <c r="FW13" s="5"/>
      <c r="FX13" s="6"/>
      <c r="FY13" s="7"/>
      <c r="FZ13" s="4"/>
      <c r="GA13" s="5"/>
      <c r="GB13" s="6"/>
      <c r="GC13" s="7"/>
      <c r="GD13" s="4"/>
      <c r="GE13" s="5"/>
      <c r="GF13" s="6"/>
      <c r="GG13" s="7"/>
      <c r="GH13" s="4"/>
      <c r="GI13" s="5"/>
      <c r="GJ13" s="6"/>
      <c r="GK13" s="7"/>
      <c r="GL13" s="4"/>
      <c r="GM13" s="5"/>
      <c r="GN13" s="6"/>
      <c r="GO13" s="7"/>
      <c r="GP13" s="4"/>
      <c r="GQ13" s="5"/>
      <c r="GR13" s="6"/>
      <c r="GS13" s="7"/>
      <c r="GT13" s="4"/>
      <c r="GU13" s="5"/>
      <c r="GV13" s="6"/>
      <c r="GW13" s="7"/>
      <c r="GX13" s="4"/>
      <c r="GY13" s="5"/>
      <c r="GZ13" s="6"/>
      <c r="HA13" s="7"/>
      <c r="HB13" s="4"/>
      <c r="HC13" s="5"/>
      <c r="HD13" s="6"/>
      <c r="HE13" s="7"/>
      <c r="HF13" s="4"/>
      <c r="HG13" s="5"/>
      <c r="HH13" s="6"/>
      <c r="HI13" s="7"/>
      <c r="HJ13" s="4"/>
      <c r="HK13" s="5"/>
      <c r="HL13" s="6"/>
      <c r="HM13" s="7"/>
      <c r="HN13" s="4"/>
      <c r="HO13" s="5"/>
      <c r="HP13" s="6"/>
      <c r="HQ13" s="7"/>
      <c r="HR13" s="4"/>
      <c r="HS13" s="5"/>
      <c r="HT13" s="6"/>
      <c r="HU13" s="7"/>
      <c r="HV13" s="4"/>
      <c r="HW13" s="5"/>
      <c r="HX13" s="6"/>
      <c r="HY13" s="7"/>
      <c r="HZ13" s="4"/>
      <c r="IA13" s="5"/>
      <c r="IB13" s="6"/>
      <c r="IC13" s="7"/>
      <c r="ID13" s="4"/>
      <c r="IE13" s="5"/>
      <c r="IF13" s="6"/>
      <c r="IG13" s="7"/>
      <c r="IH13" s="4"/>
      <c r="II13" s="5"/>
      <c r="IJ13" s="6"/>
      <c r="IK13" s="7"/>
      <c r="IL13" s="4"/>
      <c r="IM13" s="5"/>
      <c r="IN13" s="6"/>
      <c r="IO13" s="7"/>
      <c r="IP13" s="4"/>
      <c r="IQ13" s="5"/>
      <c r="IR13" s="6"/>
      <c r="IS13" s="7"/>
      <c r="IT13" s="4"/>
      <c r="IU13" s="5"/>
      <c r="IV13" s="6"/>
      <c r="IW13" s="7"/>
    </row>
    <row r="14" spans="2:257" ht="15.6" x14ac:dyDescent="0.3">
      <c r="B14" s="9" t="s">
        <v>47</v>
      </c>
      <c r="C14" s="10"/>
      <c r="D14" s="10"/>
      <c r="E14" s="10"/>
    </row>
    <row r="15" spans="2:257" x14ac:dyDescent="0.3">
      <c r="B15" s="11" t="s">
        <v>7</v>
      </c>
      <c r="C15" s="11" t="s">
        <v>8</v>
      </c>
      <c r="D15" s="11" t="s">
        <v>9</v>
      </c>
      <c r="E15" s="11" t="s">
        <v>10</v>
      </c>
    </row>
    <row r="16" spans="2:257" s="22" customFormat="1" x14ac:dyDescent="0.3">
      <c r="B16" s="43" t="s">
        <v>461</v>
      </c>
      <c r="C16" s="26" t="s">
        <v>460</v>
      </c>
      <c r="D16" s="26" t="s">
        <v>462</v>
      </c>
      <c r="E16" s="29" t="s">
        <v>464</v>
      </c>
    </row>
    <row r="17" spans="2:5" s="22" customFormat="1" x14ac:dyDescent="0.3">
      <c r="B17" s="43" t="s">
        <v>509</v>
      </c>
      <c r="C17" s="26" t="s">
        <v>508</v>
      </c>
      <c r="D17" s="26" t="s">
        <v>462</v>
      </c>
      <c r="E17" s="29" t="s">
        <v>510</v>
      </c>
    </row>
    <row r="18" spans="2:5" s="24" customFormat="1" x14ac:dyDescent="0.3">
      <c r="B18" s="43" t="s">
        <v>519</v>
      </c>
      <c r="C18" s="26" t="s">
        <v>511</v>
      </c>
      <c r="D18" s="26" t="s">
        <v>462</v>
      </c>
      <c r="E18" s="25" t="s">
        <v>520</v>
      </c>
    </row>
    <row r="19" spans="2:5" s="24" customFormat="1" x14ac:dyDescent="0.3">
      <c r="B19" s="43" t="s">
        <v>765</v>
      </c>
      <c r="C19" s="26" t="s">
        <v>525</v>
      </c>
      <c r="D19" s="26" t="s">
        <v>462</v>
      </c>
      <c r="E19" s="25" t="s">
        <v>766</v>
      </c>
    </row>
    <row r="20" spans="2:5" x14ac:dyDescent="0.3">
      <c r="B20" s="24"/>
      <c r="C20" s="24"/>
      <c r="D20" s="24"/>
      <c r="E20" s="24"/>
    </row>
    <row r="21" spans="2:5" ht="15.6" x14ac:dyDescent="0.3">
      <c r="B21" s="27" t="s">
        <v>11</v>
      </c>
      <c r="C21" s="24"/>
      <c r="D21" s="24"/>
      <c r="E21" s="24"/>
    </row>
    <row r="22" spans="2:5" x14ac:dyDescent="0.3">
      <c r="B22" s="28" t="s">
        <v>7</v>
      </c>
      <c r="C22" s="28" t="s">
        <v>12</v>
      </c>
      <c r="D22" s="28" t="s">
        <v>20</v>
      </c>
      <c r="E22" s="28" t="s">
        <v>21</v>
      </c>
    </row>
    <row r="23" spans="2:5" s="22" customFormat="1" x14ac:dyDescent="0.3">
      <c r="B23" s="43" t="s">
        <v>519</v>
      </c>
      <c r="C23" s="26" t="s">
        <v>511</v>
      </c>
      <c r="D23" s="29" t="s">
        <v>521</v>
      </c>
      <c r="E23" s="29" t="s">
        <v>522</v>
      </c>
    </row>
    <row r="24" spans="2:5" s="22" customFormat="1" x14ac:dyDescent="0.3">
      <c r="B24" s="43" t="s">
        <v>765</v>
      </c>
      <c r="C24" s="26" t="s">
        <v>525</v>
      </c>
      <c r="D24" s="29" t="s">
        <v>521</v>
      </c>
      <c r="E24" s="29" t="s">
        <v>522</v>
      </c>
    </row>
    <row r="25" spans="2:5" x14ac:dyDescent="0.3">
      <c r="B25" s="24"/>
      <c r="C25" s="24"/>
      <c r="D25" s="24"/>
      <c r="E25" s="24"/>
    </row>
    <row r="26" spans="2:5" ht="15.6" x14ac:dyDescent="0.3">
      <c r="B26" s="9" t="s">
        <v>48</v>
      </c>
    </row>
    <row r="27" spans="2:5" x14ac:dyDescent="0.3">
      <c r="B27" s="11" t="s">
        <v>7</v>
      </c>
      <c r="C27" s="11" t="s">
        <v>12</v>
      </c>
      <c r="D27" s="11" t="s">
        <v>13</v>
      </c>
      <c r="E27" s="11" t="s">
        <v>14</v>
      </c>
    </row>
    <row r="28" spans="2:5" x14ac:dyDescent="0.3">
      <c r="B28" s="43" t="s">
        <v>519</v>
      </c>
      <c r="C28" s="35" t="s">
        <v>511</v>
      </c>
      <c r="D28" s="35" t="s">
        <v>523</v>
      </c>
      <c r="E28" s="12"/>
    </row>
    <row r="29" spans="2:5" s="23" customFormat="1" x14ac:dyDescent="0.3">
      <c r="B29" s="43" t="s">
        <v>765</v>
      </c>
      <c r="C29" s="26" t="s">
        <v>525</v>
      </c>
      <c r="D29" s="35" t="s">
        <v>523</v>
      </c>
      <c r="E29" s="12"/>
    </row>
    <row r="35" spans="2:14" x14ac:dyDescent="0.3">
      <c r="B35" s="381"/>
      <c r="C35" s="381"/>
      <c r="D35" s="381"/>
      <c r="E35" s="380" t="s">
        <v>15</v>
      </c>
      <c r="F35" s="380"/>
      <c r="G35" s="380"/>
      <c r="H35" s="380"/>
      <c r="I35" s="380"/>
      <c r="J35" s="380"/>
      <c r="K35" s="380"/>
      <c r="L35" s="380"/>
      <c r="M35" s="380"/>
      <c r="N35" s="380"/>
    </row>
  </sheetData>
  <sheetProtection password="DAE1" sheet="1" objects="1" scenarios="1" formatColumns="0" formatRows="0" autoFilter="0"/>
  <mergeCells count="4">
    <mergeCell ref="E35:I35"/>
    <mergeCell ref="J35:N35"/>
    <mergeCell ref="B35:D35"/>
    <mergeCell ref="D2:E2"/>
  </mergeCell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F23"/>
  <sheetViews>
    <sheetView workbookViewId="0"/>
  </sheetViews>
  <sheetFormatPr defaultRowHeight="14.4" x14ac:dyDescent="0.3"/>
  <cols>
    <col min="2" max="2" width="9.109375" style="32"/>
    <col min="3" max="3" width="15.33203125" style="32" customWidth="1"/>
    <col min="4" max="4" width="19.33203125" style="32" bestFit="1" customWidth="1"/>
    <col min="6" max="6" width="30.88671875" style="32" customWidth="1"/>
  </cols>
  <sheetData>
    <row r="2" spans="2:6" x14ac:dyDescent="0.3">
      <c r="B2" s="112" t="s">
        <v>415</v>
      </c>
      <c r="C2" s="112" t="s">
        <v>772</v>
      </c>
      <c r="D2" s="112" t="s">
        <v>515</v>
      </c>
      <c r="F2" s="112" t="s">
        <v>388</v>
      </c>
    </row>
    <row r="3" spans="2:6" x14ac:dyDescent="0.3">
      <c r="B3" s="32" t="s">
        <v>432</v>
      </c>
      <c r="C3" s="32" t="s">
        <v>455</v>
      </c>
      <c r="D3" s="32" t="s">
        <v>455</v>
      </c>
      <c r="F3" s="32" t="s">
        <v>767</v>
      </c>
    </row>
    <row r="4" spans="2:6" x14ac:dyDescent="0.3">
      <c r="B4" s="32">
        <v>1</v>
      </c>
      <c r="C4" s="32" t="s">
        <v>416</v>
      </c>
      <c r="D4" s="32" t="s">
        <v>424</v>
      </c>
      <c r="F4" s="32" t="s">
        <v>768</v>
      </c>
    </row>
    <row r="5" spans="2:6" x14ac:dyDescent="0.3">
      <c r="B5" s="32">
        <v>2</v>
      </c>
      <c r="C5" s="32" t="s">
        <v>416</v>
      </c>
      <c r="D5" s="32" t="s">
        <v>424</v>
      </c>
      <c r="F5" s="32" t="s">
        <v>769</v>
      </c>
    </row>
    <row r="6" spans="2:6" x14ac:dyDescent="0.3">
      <c r="B6" s="32">
        <v>3</v>
      </c>
      <c r="C6" s="32" t="s">
        <v>416</v>
      </c>
      <c r="D6" s="32" t="s">
        <v>424</v>
      </c>
      <c r="F6" s="32" t="s">
        <v>770</v>
      </c>
    </row>
    <row r="7" spans="2:6" s="15" customFormat="1" x14ac:dyDescent="0.3">
      <c r="B7" s="32">
        <v>4</v>
      </c>
      <c r="C7" s="32" t="s">
        <v>417</v>
      </c>
      <c r="D7" s="32" t="s">
        <v>425</v>
      </c>
      <c r="F7" s="32" t="s">
        <v>771</v>
      </c>
    </row>
    <row r="8" spans="2:6" x14ac:dyDescent="0.3">
      <c r="B8" s="32">
        <v>5</v>
      </c>
      <c r="C8" s="32" t="s">
        <v>417</v>
      </c>
      <c r="D8" s="32" t="s">
        <v>425</v>
      </c>
    </row>
    <row r="9" spans="2:6" x14ac:dyDescent="0.3">
      <c r="B9" s="32">
        <v>6</v>
      </c>
      <c r="C9" s="32" t="s">
        <v>417</v>
      </c>
      <c r="D9" s="32" t="s">
        <v>425</v>
      </c>
    </row>
    <row r="10" spans="2:6" x14ac:dyDescent="0.3">
      <c r="B10" s="32">
        <v>7</v>
      </c>
      <c r="C10" s="32" t="s">
        <v>418</v>
      </c>
      <c r="D10" s="32" t="s">
        <v>426</v>
      </c>
    </row>
    <row r="11" spans="2:6" x14ac:dyDescent="0.3">
      <c r="B11" s="32">
        <v>8</v>
      </c>
      <c r="C11" s="32" t="s">
        <v>418</v>
      </c>
      <c r="D11" s="32" t="s">
        <v>426</v>
      </c>
    </row>
    <row r="12" spans="2:6" x14ac:dyDescent="0.3">
      <c r="B12" s="32">
        <v>9</v>
      </c>
      <c r="C12" s="32" t="s">
        <v>418</v>
      </c>
      <c r="D12" s="32" t="s">
        <v>426</v>
      </c>
    </row>
    <row r="13" spans="2:6" x14ac:dyDescent="0.3">
      <c r="B13" s="32">
        <v>10</v>
      </c>
      <c r="C13" s="32" t="s">
        <v>419</v>
      </c>
      <c r="D13" s="32" t="s">
        <v>427</v>
      </c>
    </row>
    <row r="14" spans="2:6" s="23" customFormat="1" x14ac:dyDescent="0.3">
      <c r="B14" s="32">
        <v>11</v>
      </c>
      <c r="C14" s="32" t="s">
        <v>419</v>
      </c>
      <c r="D14" s="32" t="s">
        <v>427</v>
      </c>
      <c r="F14" s="32"/>
    </row>
    <row r="15" spans="2:6" x14ac:dyDescent="0.3">
      <c r="B15" s="32">
        <v>12</v>
      </c>
      <c r="C15" s="32" t="s">
        <v>419</v>
      </c>
      <c r="D15" s="32" t="s">
        <v>427</v>
      </c>
    </row>
    <row r="16" spans="2:6" x14ac:dyDescent="0.3">
      <c r="B16" s="32">
        <v>13</v>
      </c>
      <c r="C16" s="32" t="s">
        <v>419</v>
      </c>
      <c r="D16" s="32" t="s">
        <v>481</v>
      </c>
    </row>
    <row r="17" spans="2:6" x14ac:dyDescent="0.3">
      <c r="B17" s="32">
        <v>14</v>
      </c>
      <c r="C17" s="32" t="s">
        <v>419</v>
      </c>
      <c r="D17" s="32" t="s">
        <v>481</v>
      </c>
    </row>
    <row r="18" spans="2:6" x14ac:dyDescent="0.3">
      <c r="B18" s="32">
        <v>15</v>
      </c>
      <c r="C18" s="32" t="s">
        <v>419</v>
      </c>
      <c r="D18" s="32" t="s">
        <v>481</v>
      </c>
    </row>
    <row r="23" spans="2:6" s="23" customFormat="1" x14ac:dyDescent="0.3">
      <c r="B23" s="32"/>
      <c r="C23" s="32"/>
      <c r="D23" s="32"/>
      <c r="F23" s="32"/>
    </row>
  </sheetData>
  <sheetProtection password="DAE1" sheet="1" objects="1" scenarios="1" formatColumns="0" formatRows="0" autoFilter="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125F2465CDC5B46B294B210E92A9A97" ma:contentTypeVersion="4" ma:contentTypeDescription="Create a new document." ma:contentTypeScope="" ma:versionID="e7ba8eef6fdd3cc5168c1bfca171455a">
  <xsd:schema xmlns:xsd="http://www.w3.org/2001/XMLSchema" xmlns:xs="http://www.w3.org/2001/XMLSchema" xmlns:p="http://schemas.microsoft.com/office/2006/metadata/properties" xmlns:ns2="62b97aa6-7050-43d0-aacf-a5ee2042ed0f" targetNamespace="http://schemas.microsoft.com/office/2006/metadata/properties" ma:root="true" ma:fieldsID="e1e88b9958623878036b100b7e0af81c" ns2:_="">
    <xsd:import namespace="62b97aa6-7050-43d0-aacf-a5ee2042ed0f"/>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b97aa6-7050-43d0-aacf-a5ee2042ed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41695A-22A3-412F-B5AA-5D93B5E4414D}">
  <ds:schemaRefs>
    <ds:schemaRef ds:uri="http://purl.org/dc/terms/"/>
    <ds:schemaRef ds:uri="http://purl.org/dc/dcmitype/"/>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CDC71359-5A1C-41D5-B3A7-D71A0C0C7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b97aa6-7050-43d0-aacf-a5ee2042ed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CD9EB6-F17C-4C77-ACC2-2EC3CCE457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20k Cross Ref (ODM)</vt:lpstr>
      <vt:lpstr>20k Cross Ref (DSSubject)</vt:lpstr>
      <vt:lpstr>20k Cross Ref (SD)-root</vt:lpstr>
      <vt:lpstr>20k Cross Ref (SD)</vt:lpstr>
      <vt:lpstr>Control Panel</vt:lpstr>
      <vt:lpstr>1. Overview (OMMi)</vt:lpstr>
      <vt:lpstr>2. Instructions (OMMi)</vt:lpstr>
      <vt:lpstr>3. CSA STAR - Guidance</vt:lpstr>
      <vt:lpstr>Report (OMMi) - Var 1</vt:lpstr>
      <vt:lpstr>Report (OMMi) - Var 2</vt:lpstr>
      <vt:lpstr>Report (OMMi) - Var 3</vt:lpstr>
      <vt:lpstr>4. ODM Scoring (OMMi)</vt:lpstr>
      <vt:lpstr>4.1 Service Desk</vt:lpstr>
      <vt:lpstr>5. Subject 1 Scoring (OMMi)</vt:lpstr>
      <vt:lpstr>6. Subject 2 Scoring (OMMi)</vt:lpstr>
      <vt:lpstr>7. Subject 3 Scoring (OMMi)</vt:lpstr>
      <vt:lpstr>8. Subject 4 Scoring (OMMi)</vt:lpstr>
      <vt:lpstr>9. Subject 5 Scoring (OMMi)</vt:lpstr>
      <vt:lpstr>10. Subject 6 Scoring (OMMi)</vt:lpstr>
      <vt:lpstr>11. Subject 7 Scoring (OMMi)</vt:lpstr>
      <vt:lpstr>12. Subject 8 Scoring (OMMi)</vt:lpstr>
      <vt:lpstr>13. Subject 9 Scoring (OMMi)</vt:lpstr>
      <vt:lpstr>14. Subject 10 Scoring (OMMi)</vt:lpstr>
      <vt:lpstr>15. Subject 11 Scoring (OMMi)</vt:lpstr>
      <vt:lpstr>16. Subject 12 Scoring (OMMi)</vt:lpstr>
      <vt:lpstr>17. Subject 13 Scoring (OMMi)</vt:lpstr>
      <vt:lpstr>18. Subject 14 Scoring (OMMi)</vt:lpstr>
      <vt:lpstr>19. Subject 15 Scoring (OMMi)</vt:lpstr>
      <vt:lpstr>20k-1 2018_9k 2015 (ISO)</vt:lpstr>
      <vt:lpstr>Document Control</vt:lpstr>
      <vt:lpstr>LookUps</vt:lpstr>
      <vt:lpstr>Finding_Type</vt:lpstr>
      <vt:lpstr>Scores</vt:lpstr>
    </vt:vector>
  </TitlesOfParts>
  <Company>Capgemini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Operational Maturity Model Index</dc:title>
  <dc:subject>OMMI</dc:subject>
  <dc:creator>Neil Walters</dc:creator>
  <dc:description>Developed for Infra Delivery Excellence.</dc:description>
  <cp:lastModifiedBy>Puppala, Pradeep</cp:lastModifiedBy>
  <cp:lastPrinted>2017-02-02T13:17:32Z</cp:lastPrinted>
  <dcterms:created xsi:type="dcterms:W3CDTF">2015-11-17T12:12:21Z</dcterms:created>
  <dcterms:modified xsi:type="dcterms:W3CDTF">2019-05-24T20:01:17Z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0x010100D125F2465CDC5B46B294B210E92A9A97</vt:lpwstr>
  </property>
</Properties>
</file>